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iones" sheetId="1" state="visible" r:id="rId3"/>
    <sheet name="Resumen" sheetId="2" state="visible" r:id="rId4"/>
    <sheet name="Tarjetas" sheetId="3" state="visible" r:id="rId5"/>
    <sheet name="Parametros" sheetId="4" state="visible" r:id="rId6"/>
    <sheet name="Calc" sheetId="5" state="visible" r:id="rId7"/>
    <sheet name="No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<sst xmlns="http://schemas.openxmlformats.org/spreadsheetml/2006/main" count="462" uniqueCount="435">
  <si>
    <t xml:space="preserve">Registro de sesiones asistidas — piloto exploratorio (datos reales)</t>
  </si>
  <si>
    <t xml:space="preserve">Una fila por sesión (SA01, SA02…). Edita solo las celdas amarillas; las columnas Tarjeta 1–3 y las de la derecha (Elegible… Total Likert) son fórmulas. Llena solo con sesiones realizadas: nada de datos de prueba.</t>
  </si>
  <si>
    <t xml:space="preserve">Código de sesión</t>
  </si>
  <si>
    <t xml:space="preserve">Fecha</t>
  </si>
  <si>
    <t xml:space="preserve">Aplicador</t>
  </si>
  <si>
    <t xml:space="preserve">Rango de edad</t>
  </si>
  <si>
    <t xml:space="preserve">¿Vive en Juliaca?</t>
  </si>
  <si>
    <t xml:space="preserve">¿Trámite presencial en la MPSR (12 meses)?</t>
  </si>
  <si>
    <t xml:space="preserve">Categoría del trámite</t>
  </si>
  <si>
    <t xml:space="preserve">Tiempo presencial (rango)</t>
  </si>
  <si>
    <t xml:space="preserve">Veces que volvió o hizo seguimiento</t>
  </si>
  <si>
    <t xml:space="preserve">Dif.: información no clara (1 = sí)</t>
  </si>
  <si>
    <t xml:space="preserve">Dif.: demora excesiva (1 = sí)</t>
  </si>
  <si>
    <t xml:space="preserve">Dif.: colas largas (1 = sí)</t>
  </si>
  <si>
    <t xml:space="preserve">Dif.: falta de orientación (1 = sí)</t>
  </si>
  <si>
    <t xml:space="preserve">Dif.: ninguna (1 = sí)</t>
  </si>
  <si>
    <t xml:space="preserve">Dif.: otra (1 = sí)</t>
  </si>
  <si>
    <t xml:space="preserve">Pre P7 atención presencial rápida</t>
  </si>
  <si>
    <t xml:space="preserve">Pre P8 resolver dudas sin ir presencialmente</t>
  </si>
  <si>
    <t xml:space="preserve">Pre P9 requisitos claros</t>
  </si>
  <si>
    <t xml:space="preserve">Pre P10 satisfacción general</t>
  </si>
  <si>
    <t xml:space="preserve">Tarjeta 1</t>
  </si>
  <si>
    <t xml:space="preserve">Tarjeta 2</t>
  </si>
  <si>
    <t xml:space="preserve">Tarjeta 3</t>
  </si>
  <si>
    <t xml:space="preserve">Consulta 1: texto escrito</t>
  </si>
  <si>
    <t xml:space="preserve">Consulta 1: tiempo hasta respuesta útil (s)</t>
  </si>
  <si>
    <t xml:space="preserve">Consulta 1: mensajes enviados</t>
  </si>
  <si>
    <t xml:space="preserve">Consulta 1: ¿la persona obtuvo lo que necesitaba?</t>
  </si>
  <si>
    <t xml:space="preserve">Consulta 1: ¿respuesta correcta? (aplicador)</t>
  </si>
  <si>
    <t xml:space="preserve">Consulta 1: ¿dijo «no entendí»?</t>
  </si>
  <si>
    <t xml:space="preserve">Consulta 2: texto escrito</t>
  </si>
  <si>
    <t xml:space="preserve">Consulta 2: tiempo hasta respuesta útil (s)</t>
  </si>
  <si>
    <t xml:space="preserve">Consulta 2: mensajes enviados</t>
  </si>
  <si>
    <t xml:space="preserve">Consulta 2: ¿la persona obtuvo lo que necesitaba?</t>
  </si>
  <si>
    <t xml:space="preserve">Consulta 2: ¿respuesta correcta? (aplicador)</t>
  </si>
  <si>
    <t xml:space="preserve">Consulta 2: ¿dijo «no entendí»?</t>
  </si>
  <si>
    <t xml:space="preserve">Consulta 3: texto escrito</t>
  </si>
  <si>
    <t xml:space="preserve">Consulta 3: tiempo hasta respuesta útil (s)</t>
  </si>
  <si>
    <t xml:space="preserve">Consulta 3: mensajes enviados</t>
  </si>
  <si>
    <t xml:space="preserve">Consulta 3: ¿la persona obtuvo lo que necesitaba?</t>
  </si>
  <si>
    <t xml:space="preserve">Consulta 3: ¿respuesta correcta? (aplicador)</t>
  </si>
  <si>
    <t xml:space="preserve">Consulta 3: ¿dijo «no entendí»?</t>
  </si>
  <si>
    <t xml:space="preserve">Post ítem 1: fácil de usar</t>
  </si>
  <si>
    <t xml:space="preserve">Post ítem 2: tiempo adecuado</t>
  </si>
  <si>
    <t xml:space="preserve">Post ítem 3: respuestas claras</t>
  </si>
  <si>
    <t xml:space="preserve">Post ítem 4: resolvió mi consulta</t>
  </si>
  <si>
    <t xml:space="preserve">Post ítem 5: confío en la información</t>
  </si>
  <si>
    <t xml:space="preserve">Post ítem 6: prefiero usarlo antes que ir presencialmente</t>
  </si>
  <si>
    <t xml:space="preserve">Post ítem 7: lo usaría de nuevo</t>
  </si>
  <si>
    <t xml:space="preserve">Post ítem 8: lo recomendaría</t>
  </si>
  <si>
    <t xml:space="preserve">Post ítem 9: satisfacción general (pareada con P10)</t>
  </si>
  <si>
    <t xml:space="preserve">Complementaria: tiempo presencial estimado para la consulta 1</t>
  </si>
  <si>
    <t xml:space="preserve">Incidencias técnicas</t>
  </si>
  <si>
    <t xml:space="preserve">Elegible y completa</t>
  </si>
  <si>
    <t xml:space="preserve">Minutos pre (línea base)</t>
  </si>
  <si>
    <t xml:space="preserve">Minutos post (promedio de 3 consultas)</t>
  </si>
  <si>
    <t xml:space="preserve">Diferencia post − pre (min)</t>
  </si>
  <si>
    <t xml:space="preserve">% de reducción</t>
  </si>
  <si>
    <t xml:space="preserve">Satisfacción pre (P10)</t>
  </si>
  <si>
    <t xml:space="preserve">Satisfacción post (ítem 9)</t>
  </si>
  <si>
    <t xml:space="preserve">Diferencia de satisfacción</t>
  </si>
  <si>
    <t xml:space="preserve">Consultas con respuesta útil (de 3)</t>
  </si>
  <si>
    <t xml:space="preserve">Consultas correctas (de 3)</t>
  </si>
  <si>
    <t xml:space="preserve">Consultas con «no entendí» (de 3)</t>
  </si>
  <si>
    <t xml:space="preserve">Total Likert ítems 1–8</t>
  </si>
  <si>
    <t xml:space="preserve">SA01</t>
  </si>
  <si>
    <t xml:space="preserve">SA02</t>
  </si>
  <si>
    <t xml:space="preserve">SA03</t>
  </si>
  <si>
    <t xml:space="preserve">SA04</t>
  </si>
  <si>
    <t xml:space="preserve">SA05</t>
  </si>
  <si>
    <t xml:space="preserve">SA06</t>
  </si>
  <si>
    <t xml:space="preserve">SA07</t>
  </si>
  <si>
    <t xml:space="preserve">SA08</t>
  </si>
  <si>
    <t xml:space="preserve">SA09</t>
  </si>
  <si>
    <t xml:space="preserve">SA10</t>
  </si>
  <si>
    <t xml:space="preserve">SA11</t>
  </si>
  <si>
    <t xml:space="preserve">SA12</t>
  </si>
  <si>
    <t xml:space="preserve">SA13</t>
  </si>
  <si>
    <t xml:space="preserve">SA14</t>
  </si>
  <si>
    <t xml:space="preserve">SA15</t>
  </si>
  <si>
    <t xml:space="preserve">SA16</t>
  </si>
  <si>
    <t xml:space="preserve">SA17</t>
  </si>
  <si>
    <t xml:space="preserve">SA18</t>
  </si>
  <si>
    <t xml:space="preserve">SA19</t>
  </si>
  <si>
    <t xml:space="preserve">SA20</t>
  </si>
  <si>
    <t xml:space="preserve">SA21</t>
  </si>
  <si>
    <t xml:space="preserve">SA22</t>
  </si>
  <si>
    <t xml:space="preserve">SA23</t>
  </si>
  <si>
    <t xml:space="preserve">SA24</t>
  </si>
  <si>
    <t xml:space="preserve">SA25</t>
  </si>
  <si>
    <t xml:space="preserve">SA26</t>
  </si>
  <si>
    <t xml:space="preserve">SA27</t>
  </si>
  <si>
    <t xml:space="preserve">SA28</t>
  </si>
  <si>
    <t xml:space="preserve">SA29</t>
  </si>
  <si>
    <t xml:space="preserve">SA30</t>
  </si>
  <si>
    <t xml:space="preserve">SA31</t>
  </si>
  <si>
    <t xml:space="preserve">SA32</t>
  </si>
  <si>
    <t xml:space="preserve">SA33</t>
  </si>
  <si>
    <t xml:space="preserve">SA34</t>
  </si>
  <si>
    <t xml:space="preserve">SA35</t>
  </si>
  <si>
    <t xml:space="preserve">SA36</t>
  </si>
  <si>
    <t xml:space="preserve">SA37</t>
  </si>
  <si>
    <t xml:space="preserve">SA38</t>
  </si>
  <si>
    <t xml:space="preserve">SA39</t>
  </si>
  <si>
    <t xml:space="preserve">SA40</t>
  </si>
  <si>
    <t xml:space="preserve">SA41</t>
  </si>
  <si>
    <t xml:space="preserve">SA42</t>
  </si>
  <si>
    <t xml:space="preserve">SA43</t>
  </si>
  <si>
    <t xml:space="preserve">SA44</t>
  </si>
  <si>
    <t xml:space="preserve">SA45</t>
  </si>
  <si>
    <t xml:space="preserve">SA46</t>
  </si>
  <si>
    <t xml:space="preserve">SA47</t>
  </si>
  <si>
    <t xml:space="preserve">SA48</t>
  </si>
  <si>
    <t xml:space="preserve">SA49</t>
  </si>
  <si>
    <t xml:space="preserve">SA50</t>
  </si>
  <si>
    <t xml:space="preserve">SA51</t>
  </si>
  <si>
    <t xml:space="preserve">SA52</t>
  </si>
  <si>
    <t xml:space="preserve">SA53</t>
  </si>
  <si>
    <t xml:space="preserve">SA54</t>
  </si>
  <si>
    <t xml:space="preserve">SA55</t>
  </si>
  <si>
    <t xml:space="preserve">SA56</t>
  </si>
  <si>
    <t xml:space="preserve">SA57</t>
  </si>
  <si>
    <t xml:space="preserve">SA58</t>
  </si>
  <si>
    <t xml:space="preserve">SA59</t>
  </si>
  <si>
    <t xml:space="preserve">SA60</t>
  </si>
  <si>
    <t xml:space="preserve">SA61</t>
  </si>
  <si>
    <t xml:space="preserve">SA62</t>
  </si>
  <si>
    <t xml:space="preserve">SA63</t>
  </si>
  <si>
    <t xml:space="preserve">SA64</t>
  </si>
  <si>
    <t xml:space="preserve">SA65</t>
  </si>
  <si>
    <t xml:space="preserve">SA66</t>
  </si>
  <si>
    <t xml:space="preserve">SA67</t>
  </si>
  <si>
    <t xml:space="preserve">SA68</t>
  </si>
  <si>
    <t xml:space="preserve">SA69</t>
  </si>
  <si>
    <t xml:space="preserve">SA70</t>
  </si>
  <si>
    <t xml:space="preserve">SA71</t>
  </si>
  <si>
    <t xml:space="preserve">SA72</t>
  </si>
  <si>
    <t xml:space="preserve">SA73</t>
  </si>
  <si>
    <t xml:space="preserve">SA74</t>
  </si>
  <si>
    <t xml:space="preserve">SA75</t>
  </si>
  <si>
    <t xml:space="preserve">Ejemplo de fila completada (solo muestra el formato; no cuenta en ningún cálculo):</t>
  </si>
  <si>
    <t xml:space="preserve">EJ01</t>
  </si>
  <si>
    <t xml:space="preserve">Tesista</t>
  </si>
  <si>
    <t xml:space="preserve">30–44</t>
  </si>
  <si>
    <t xml:space="preserve">Sí</t>
  </si>
  <si>
    <t xml:space="preserve">Licencias y autorizaciones</t>
  </si>
  <si>
    <t xml:space="preserve">1–2 horas</t>
  </si>
  <si>
    <t xml:space="preserve">1 vez</t>
  </si>
  <si>
    <t xml:space="preserve">S01</t>
  </si>
  <si>
    <t xml:space="preserve">S02</t>
  </si>
  <si>
    <t xml:space="preserve">S03</t>
  </si>
  <si>
    <t xml:space="preserve">Qué papeles piden para abrir una tienda</t>
  </si>
  <si>
    <t xml:space="preserve">No</t>
  </si>
  <si>
    <t xml:space="preserve">Cuánto cuesta el permiso</t>
  </si>
  <si>
    <t xml:space="preserve">Parcial</t>
  </si>
  <si>
    <t xml:space="preserve">En cuánto tiempo me lo dan</t>
  </si>
  <si>
    <t xml:space="preserve">Ninguna</t>
  </si>
  <si>
    <t xml:space="preserve">Resumen del piloto exploratorio (sesión asistida)</t>
  </si>
  <si>
    <t xml:space="preserve">Todo son fórmulas sobre la hoja Sesiones, solo con sesiones elegibles y completas. La prueba de hipótesis (Shapiro-Wilk, luego t pareada o Wilcoxon) se corre con el script de análisis; esta hoja solo resume.</t>
  </si>
  <si>
    <t xml:space="preserve">Avance</t>
  </si>
  <si>
    <t xml:space="preserve">Sesiones registradas</t>
  </si>
  <si>
    <t xml:space="preserve">Sesiones elegibles y completas</t>
  </si>
  <si>
    <t xml:space="preserve">No elegibles (sin trámite presencial en 12 meses)</t>
  </si>
  <si>
    <t xml:space="preserve">Incompletas (elegibles con datos faltantes)</t>
  </si>
  <si>
    <t xml:space="preserve">Completa los datos faltantes o reemplaza la sesión.</t>
  </si>
  <si>
    <t xml:space="preserve">Meta de sesiones</t>
  </si>
  <si>
    <t xml:space="preserve">Faltan</t>
  </si>
  <si>
    <t xml:space="preserve">Estado</t>
  </si>
  <si>
    <t xml:space="preserve">Si no se llega a la meta, el piloto se presenta con el n real y se declara.</t>
  </si>
  <si>
    <t xml:space="preserve">Tiempo (OE3) — línea base recordada frente a prueba con el asistente</t>
  </si>
  <si>
    <t xml:space="preserve">Tiempo medio presencial (línea base recordada), minutos</t>
  </si>
  <si>
    <t xml:space="preserve">Punto medio de cada rango (hoja Parametros).</t>
  </si>
  <si>
    <t xml:space="preserve">Tiempo medio con el asistente, minutos</t>
  </si>
  <si>
    <t xml:space="preserve">Promedio de las 3 consultas por persona, en minutos.</t>
  </si>
  <si>
    <t xml:space="preserve">Reducción del tiempo medio</t>
  </si>
  <si>
    <t xml:space="preserve">Reducción media individual</t>
  </si>
  <si>
    <t xml:space="preserve">Promedio de los porcentajes de cada persona.</t>
  </si>
  <si>
    <t xml:space="preserve">Satisfacción (OE4)</t>
  </si>
  <si>
    <t xml:space="preserve">Satisfacción previa con la atención presencial (P10), media</t>
  </si>
  <si>
    <t xml:space="preserve">Satisfacción con el asistente (ítem 9), media</t>
  </si>
  <si>
    <t xml:space="preserve">Diferencia media (post − pre)</t>
  </si>
  <si>
    <t xml:space="preserve">Media de los ítems 1–8 del asistente</t>
  </si>
  <si>
    <t xml:space="preserve">Alfa de Cronbach (ítems 1–8)</t>
  </si>
  <si>
    <t xml:space="preserve">Desempeño del asistente en las consultas</t>
  </si>
  <si>
    <t xml:space="preserve">Consultas registradas (sesiones elegibles)</t>
  </si>
  <si>
    <t xml:space="preserve">Respuesta útil según la persona</t>
  </si>
  <si>
    <t xml:space="preserve">Respuesta correcta según el aplicador</t>
  </si>
  <si>
    <t xml:space="preserve">«Sí» solamente; las «Parcial» no se cuentan.</t>
  </si>
  <si>
    <t xml:space="preserve">Consultas con «no entendí»</t>
  </si>
  <si>
    <t xml:space="preserve">Mensajes promedio por consulta</t>
  </si>
  <si>
    <t xml:space="preserve">Mínimo de consultas por tarjeta</t>
  </si>
  <si>
    <t xml:space="preserve">Con 60 sesiones elegibles cada tarjeta debería tener 3 o más.</t>
  </si>
  <si>
    <t xml:space="preserve">Tarjetas de situación (catálogo)</t>
  </si>
  <si>
    <t xml:space="preserve">Las 56 situaciones del catálogo situaciones_lote1_v1.csv y la intención esperada de cada una. Cada código de sesión recibe 3 tarjetas fijas (hoja Sesiones, columnas Tarjeta 1–3). La columna D cuenta las consultas ya registradas de sesiones elegibles.</t>
  </si>
  <si>
    <t xml:space="preserve">Tarjeta</t>
  </si>
  <si>
    <t xml:space="preserve">Intención esperada</t>
  </si>
  <si>
    <t xml:space="preserve">Texto de la situación</t>
  </si>
  <si>
    <t xml:space="preserve">licencia_funcionamiento_requisitos</t>
  </si>
  <si>
    <t xml:space="preserve">Vas a abrir una tiendita en tu barrio y no sabes qué papeles te van a pedir en la municipalidad para poder atender legalmente.</t>
  </si>
  <si>
    <t xml:space="preserve">licencia_funcionamiento_costo</t>
  </si>
  <si>
    <t xml:space="preserve">Ya sabes que necesitas un permiso de la municipalidad para tu negocio y quieres saber cuánto tendrías que pagar por él.</t>
  </si>
  <si>
    <t xml:space="preserve">licencia_funcionamiento_plazo</t>
  </si>
  <si>
    <t xml:space="preserve">Entregaste tus papeles para el permiso de tu negocio y quieres saber cuántos días demoran en dártelo.</t>
  </si>
  <si>
    <t xml:space="preserve">S04</t>
  </si>
  <si>
    <t xml:space="preserve">licencia_edificacion_requisitos</t>
  </si>
  <si>
    <t xml:space="preserve">Quieres construir un segundo piso en tu casa y quieres saber qué documentos tendrías que presentar antes de empezar la obra.</t>
  </si>
  <si>
    <t xml:space="preserve">S05</t>
  </si>
  <si>
    <t xml:space="preserve">licencia_edificacion_costo</t>
  </si>
  <si>
    <t xml:space="preserve">Vas a construir en tu terreno y quieres saber cuánto cobra la municipalidad por autorizar la obra.</t>
  </si>
  <si>
    <t xml:space="preserve">S06</t>
  </si>
  <si>
    <t xml:space="preserve">renovacion_licencia</t>
  </si>
  <si>
    <t xml:space="preserve">El permiso de funcionamiento de tu negocio ya se venció y quieres saber qué tienes que hacer para dejarlo vigente otra vez.</t>
  </si>
  <si>
    <t xml:space="preserve">S07</t>
  </si>
  <si>
    <t xml:space="preserve">consulta_deuda_predial</t>
  </si>
  <si>
    <t xml:space="preserve">Quieres saber si debes impuestos por tu casa o terreno, y cuánto sería.</t>
  </si>
  <si>
    <t xml:space="preserve">S08</t>
  </si>
  <si>
    <t xml:space="preserve">pago_predial_como</t>
  </si>
  <si>
    <t xml:space="preserve">Ya sabes que debes pagar el impuesto de tu casa y quieres saber dónde o de qué forma puedes hacerlo.</t>
  </si>
  <si>
    <t xml:space="preserve">S09</t>
  </si>
  <si>
    <t xml:space="preserve">pago_arbitrios</t>
  </si>
  <si>
    <t xml:space="preserve">Te llegó un cobro por el recojo de basura, la limpieza de calles y el serenazgo, y quieres saber cómo pagarlo.</t>
  </si>
  <si>
    <t xml:space="preserve">S10</t>
  </si>
  <si>
    <t xml:space="preserve">impuesto_alcabala</t>
  </si>
  <si>
    <t xml:space="preserve">Acabas de comprar un terreno y te dijeron que hay un impuesto por esa compra; quieres saber de qué trata y cómo se paga.</t>
  </si>
  <si>
    <t xml:space="preserve">S11</t>
  </si>
  <si>
    <t xml:space="preserve">fraccionamiento_deuda</t>
  </si>
  <si>
    <t xml:space="preserve">Debes varios años de impuestos municipales y no puedes pagar todo de golpe; quieres saber si puedes pagarlo poco a poco.</t>
  </si>
  <si>
    <t xml:space="preserve">S12</t>
  </si>
  <si>
    <t xml:space="preserve">constancia_no_adeudo</t>
  </si>
  <si>
    <t xml:space="preserve">Te piden un papel que demuestre que no tienes deudas con la municipalidad y quieres saber cómo conseguirlo.</t>
  </si>
  <si>
    <t xml:space="preserve">S13</t>
  </si>
  <si>
    <t xml:space="preserve">requisitos_mesa_partes</t>
  </si>
  <si>
    <t xml:space="preserve">Quieres entregar una solicitud por escrito en la municipalidad y no sabes qué tienes que llevar.</t>
  </si>
  <si>
    <t xml:space="preserve">S14</t>
  </si>
  <si>
    <t xml:space="preserve">estado_tramite</t>
  </si>
  <si>
    <t xml:space="preserve">Dejaste unos papeles en la municipalidad hace semanas y quieres saber cómo va tu trámite.</t>
  </si>
  <si>
    <t xml:space="preserve">S15</t>
  </si>
  <si>
    <t xml:space="preserve">horario_mesa_partes</t>
  </si>
  <si>
    <t xml:space="preserve">Quieres ir a dejar un documento a la municipalidad y necesitas saber a qué hora y qué días puedes hacerlo.</t>
  </si>
  <si>
    <t xml:space="preserve">S16</t>
  </si>
  <si>
    <t xml:space="preserve">copia_documento</t>
  </si>
  <si>
    <t xml:space="preserve">Necesitas una copia sellada de un documento que presentaste antes y ya no la tienes.</t>
  </si>
  <si>
    <t xml:space="preserve">S17</t>
  </si>
  <si>
    <t xml:space="preserve">certificado_posesion</t>
  </si>
  <si>
    <t xml:space="preserve">Vives en un terreno que no tiene título y te piden un papel de la municipalidad que diga que tú lo ocupas; quieres saber cómo se consigue.</t>
  </si>
  <si>
    <t xml:space="preserve">S18</t>
  </si>
  <si>
    <t xml:space="preserve">constancia_domiciliaria</t>
  </si>
  <si>
    <t xml:space="preserve">Te piden un documento que pruebe en qué dirección vives y quieres saber cómo sacarlo en la municipalidad.</t>
  </si>
  <si>
    <t xml:space="preserve">S19</t>
  </si>
  <si>
    <t xml:space="preserve">certificado_defensa_civil</t>
  </si>
  <si>
    <t xml:space="preserve">Tu local necesita un certificado de seguridad para poder funcionar y quieres saber cómo se obtiene.</t>
  </si>
  <si>
    <t xml:space="preserve">S20</t>
  </si>
  <si>
    <t xml:space="preserve">inspeccion_tecnica</t>
  </si>
  <si>
    <t xml:space="preserve">Quieres que un inspector vaya a revisar si tu local cumple las medidas de seguridad y quieres saber cómo se pide esa visita.</t>
  </si>
  <si>
    <t xml:space="preserve">S21</t>
  </si>
  <si>
    <t xml:space="preserve">requisitos_defensa_civil</t>
  </si>
  <si>
    <t xml:space="preserve">Vas a pedir la revisión de seguridad de tu local y quieres saber qué cosas debes tener listas (equipos, planos, etc.).</t>
  </si>
  <si>
    <t xml:space="preserve">S22</t>
  </si>
  <si>
    <t xml:space="preserve">denuncia_seguridad_ciudadana</t>
  </si>
  <si>
    <t xml:space="preserve">En tu cuadra hay gente sospechosa y quieres avisar a alguien de la municipalidad para que intervenga.</t>
  </si>
  <si>
    <t xml:space="preserve">S23</t>
  </si>
  <si>
    <t xml:space="preserve">serenazgo_contacto</t>
  </si>
  <si>
    <t xml:space="preserve">Necesitas comunicarte con el personal que patrulla el distrito y quieres saber cómo contactarlos.</t>
  </si>
  <si>
    <t xml:space="preserve">S24</t>
  </si>
  <si>
    <t xml:space="preserve">partida_nacimiento</t>
  </si>
  <si>
    <t xml:space="preserve">Te piden el documento que prueba tu fecha y lugar de nacimiento y no sabes cómo conseguirlo.</t>
  </si>
  <si>
    <t xml:space="preserve">S25</t>
  </si>
  <si>
    <t xml:space="preserve">partida_matrimonio</t>
  </si>
  <si>
    <t xml:space="preserve">Te piden un documento que pruebe que estás casado(a) y no encuentras el original.</t>
  </si>
  <si>
    <t xml:space="preserve">S26</t>
  </si>
  <si>
    <t xml:space="preserve">partida_defuncion</t>
  </si>
  <si>
    <t xml:space="preserve">Falleció un familiar y necesitas el documento oficial que lo acredite para hacer trámites; quieres saber cómo se consigue.</t>
  </si>
  <si>
    <t xml:space="preserve">S27</t>
  </si>
  <si>
    <t xml:space="preserve">rectificacion_partida</t>
  </si>
  <si>
    <t xml:space="preserve">Tu documento de nacimiento tiene tu apellido mal escrito y quieres saber cómo se corrige.</t>
  </si>
  <si>
    <t xml:space="preserve">S28</t>
  </si>
  <si>
    <t xml:space="preserve">requisitos_matrimonio_civil</t>
  </si>
  <si>
    <t xml:space="preserve">Tu pareja y tú quieren casarse por lo civil en la municipalidad y quieren saber qué papeles necesitan.</t>
  </si>
  <si>
    <t xml:space="preserve">S29</t>
  </si>
  <si>
    <t xml:space="preserve">horario_recojo_basura</t>
  </si>
  <si>
    <t xml:space="preserve">El camión de la basura no pasó hoy por tu calle y quieres saber a qué hora suele pasar.</t>
  </si>
  <si>
    <t xml:space="preserve">S30</t>
  </si>
  <si>
    <t xml:space="preserve">reporte_alumbrado_publico</t>
  </si>
  <si>
    <t xml:space="preserve">En tu calle un poste no prende de noche y quieres avisar a la municipalidad.</t>
  </si>
  <si>
    <t xml:space="preserve">S31</t>
  </si>
  <si>
    <t xml:space="preserve">mantenimiento_parques</t>
  </si>
  <si>
    <t xml:space="preserve">El parque cerca de tu casa está descuidado y con los juegos malogrados; quieres pedir que lo arreglen.</t>
  </si>
  <si>
    <t xml:space="preserve">S32</t>
  </si>
  <si>
    <t xml:space="preserve">poda_arboles</t>
  </si>
  <si>
    <t xml:space="preserve">Un árbol de la vereda está tapando el paso y quieres que lo corten o lo recorten.</t>
  </si>
  <si>
    <t xml:space="preserve">S33</t>
  </si>
  <si>
    <t xml:space="preserve">limpieza_via_publica</t>
  </si>
  <si>
    <t xml:space="preserve">Tu cuadra tiene basura acumulada en la pista y quieres que la limpien.</t>
  </si>
  <si>
    <t xml:space="preserve">S34</t>
  </si>
  <si>
    <t xml:space="preserve">presentar_reclamo</t>
  </si>
  <si>
    <t xml:space="preserve">No estás conforme con cómo te resolvieron un trámite y quieres hacer un reclamo formal.</t>
  </si>
  <si>
    <t xml:space="preserve">S35</t>
  </si>
  <si>
    <t xml:space="preserve">estado_reclamo</t>
  </si>
  <si>
    <t xml:space="preserve">Hiciste un reclamo hace unos días y quieres saber si ya lo respondieron.</t>
  </si>
  <si>
    <t xml:space="preserve">S36</t>
  </si>
  <si>
    <t xml:space="preserve">libro_reclamaciones</t>
  </si>
  <si>
    <t xml:space="preserve">Quieres dejar tu queja en el libro oficial de reclamos y no sabes dónde está ni cómo se usa.</t>
  </si>
  <si>
    <t xml:space="preserve">S37</t>
  </si>
  <si>
    <t xml:space="preserve">queja_atencion</t>
  </si>
  <si>
    <t xml:space="preserve">Un trabajador te atendió de mala manera y quieres reportarlo.</t>
  </si>
  <si>
    <t xml:space="preserve">S38</t>
  </si>
  <si>
    <t xml:space="preserve">sugerencia</t>
  </si>
  <si>
    <t xml:space="preserve">Se te ocurrió una idea para mejorar la atención de la municipalidad y quieres comunicarla.</t>
  </si>
  <si>
    <t xml:space="preserve">S39</t>
  </si>
  <si>
    <t xml:space="preserve">horario_atencion_general</t>
  </si>
  <si>
    <t xml:space="preserve">Quieres ir a la municipalidad para cualquier gestión y quieres saber desde qué hora hasta qué hora está abierta y si abre los sábados.</t>
  </si>
  <si>
    <t xml:space="preserve">S40</t>
  </si>
  <si>
    <t xml:space="preserve">ubicacion_oficinas</t>
  </si>
  <si>
    <t xml:space="preserve">No conoces el local de la municipalidad y quieres saber dónde queda o cómo llegar.</t>
  </si>
  <si>
    <t xml:space="preserve">S41</t>
  </si>
  <si>
    <t xml:space="preserve">requisitos_generales</t>
  </si>
  <si>
    <t xml:space="preserve">Quieres hacer un trámite y quieres saber si basta con llevar tu DNI o necesitas algo más.</t>
  </si>
  <si>
    <t xml:space="preserve">S42</t>
  </si>
  <si>
    <t xml:space="preserve">costos_generales</t>
  </si>
  <si>
    <t xml:space="preserve">Quieres saber cuánto cuestan en general los trámites de la municipalidad y dónde puedes ver la lista de precios.</t>
  </si>
  <si>
    <t xml:space="preserve">S43</t>
  </si>
  <si>
    <t xml:space="preserve">contacto_telefonico</t>
  </si>
  <si>
    <t xml:space="preserve">Prefieres llamar en vez de ir y quieres saber a qué número o por qué medio comunicarte con la municipalidad.</t>
  </si>
  <si>
    <t xml:space="preserve">S44</t>
  </si>
  <si>
    <t xml:space="preserve">redes_sociales_mpsr</t>
  </si>
  <si>
    <t xml:space="preserve">Quieres enterarte de los avisos oficiales de la municipalidad y quieres saber dónde seguirla por internet.</t>
  </si>
  <si>
    <t xml:space="preserve">S45</t>
  </si>
  <si>
    <t xml:space="preserve">saludo</t>
  </si>
  <si>
    <t xml:space="preserve">Acabas de abrir el chat del asistente de la municipalidad. ¿Cómo lo saludarías?</t>
  </si>
  <si>
    <t xml:space="preserve">S46</t>
  </si>
  <si>
    <t xml:space="preserve">despedida</t>
  </si>
  <si>
    <t xml:space="preserve">Ya conseguiste la información que necesitabas y quieres terminar la conversación. ¿Cómo te despedirías?</t>
  </si>
  <si>
    <t xml:space="preserve">S47</t>
  </si>
  <si>
    <t xml:space="preserve">agradecimiento</t>
  </si>
  <si>
    <t xml:space="preserve">El asistente te dio justo la información que necesitabas. ¿Cómo se lo agradecerías?</t>
  </si>
  <si>
    <t xml:space="preserve">S48</t>
  </si>
  <si>
    <t xml:space="preserve">afirmar</t>
  </si>
  <si>
    <t xml:space="preserve">El asistente te pregunta si entendió bien tu consulta y la respuesta es sí. ¿Cómo responderías?</t>
  </si>
  <si>
    <t xml:space="preserve">S49</t>
  </si>
  <si>
    <t xml:space="preserve">negar</t>
  </si>
  <si>
    <t xml:space="preserve">El asistente te ofrece algo que no es lo que estabas buscando. ¿Cómo le dirías que no?</t>
  </si>
  <si>
    <t xml:space="preserve">S50</t>
  </si>
  <si>
    <t xml:space="preserve">fuera_de_alcance</t>
  </si>
  <si>
    <t xml:space="preserve">Quieres preguntarle al asistente algo que no tiene nada que ver con la municipalidad (por ejemplo, del clima, deportes, cultura general o una curiosidad).</t>
  </si>
  <si>
    <t xml:space="preserve">S51</t>
  </si>
  <si>
    <t xml:space="preserve">Quieres preguntarle algo sobre otra entidad o servicio (por ejemplo, la luz, el agua, la SUNAT, RENIEC o la policía) y no sobre la municipalidad.</t>
  </si>
  <si>
    <t xml:space="preserve">S52</t>
  </si>
  <si>
    <t xml:space="preserve">Quieres pedirle al asistente algo personal o fuera de lo normal (que cuente un chiste, que dé su opinión o que te haga la tarea).</t>
  </si>
  <si>
    <t xml:space="preserve">S53</t>
  </si>
  <si>
    <t xml:space="preserve">hablar_con_persona</t>
  </si>
  <si>
    <t xml:space="preserve">Prefieres que te atienda una persona y no un programa. ¿Qué le dirías al asistente?</t>
  </si>
  <si>
    <t xml:space="preserve">S54</t>
  </si>
  <si>
    <t xml:space="preserve">ayuda_chatbot</t>
  </si>
  <si>
    <t xml:space="preserve">No sabes para qué sirve este asistente ni qué cosas le puedes preguntar. ¿Qué le escribirías?</t>
  </si>
  <si>
    <t xml:space="preserve">S55</t>
  </si>
  <si>
    <t xml:space="preserve">consulta_no_entendida</t>
  </si>
  <si>
    <t xml:space="preserve">El asistente te respondió algo que no entendiste. ¿Qué le dirías?</t>
  </si>
  <si>
    <t xml:space="preserve">S56</t>
  </si>
  <si>
    <t xml:space="preserve">repetir_informacion</t>
  </si>
  <si>
    <t xml:space="preserve">El asistente te dio una información pero no alcanzaste a leerla ni a anotarla. ¿Cómo le pedirías que te la repita?</t>
  </si>
  <si>
    <t xml:space="preserve">Parámetros y listas</t>
  </si>
  <si>
    <t xml:space="preserve">Celdas amarillas = valores editables. Las listas alimentan los menús desplegables de Sesiones.</t>
  </si>
  <si>
    <t xml:space="preserve">Rango de tiempo (línea base)</t>
  </si>
  <si>
    <t xml:space="preserve">Minutos (punto medio)</t>
  </si>
  <si>
    <t xml:space="preserve">Sí / No</t>
  </si>
  <si>
    <t xml:space="preserve">Veces que volvió</t>
  </si>
  <si>
    <t xml:space="preserve">¿Correcta?</t>
  </si>
  <si>
    <t xml:space="preserve">Menos de 15 min</t>
  </si>
  <si>
    <t xml:space="preserve">18–29</t>
  </si>
  <si>
    <t xml:space="preserve">Ninguna, se resolvió a la primera</t>
  </si>
  <si>
    <t xml:space="preserve">15–30 min</t>
  </si>
  <si>
    <t xml:space="preserve">Tributos y pagos municipales</t>
  </si>
  <si>
    <t xml:space="preserve">30–60 min</t>
  </si>
  <si>
    <t xml:space="preserve">45–59</t>
  </si>
  <si>
    <t xml:space="preserve">Trámites documentarios</t>
  </si>
  <si>
    <t xml:space="preserve">2 a 3 veces</t>
  </si>
  <si>
    <t xml:space="preserve">60 a más</t>
  </si>
  <si>
    <t xml:space="preserve">Defensa civil y seguridad ciudadana</t>
  </si>
  <si>
    <t xml:space="preserve">Más de 3 veces</t>
  </si>
  <si>
    <t xml:space="preserve">2–4 horas</t>
  </si>
  <si>
    <t xml:space="preserve">Registro civil</t>
  </si>
  <si>
    <t xml:space="preserve">Más de 4 horas / varios días</t>
  </si>
  <si>
    <t xml:space="preserve">Servicios públicos</t>
  </si>
  <si>
    <t xml:space="preserve">Supuesto: se usa el punto medio de cada rango; para «Más de 4 horas / varios días» se asume 300 min (5 h). Es un supuesto editable.</t>
  </si>
  <si>
    <t xml:space="preserve">Reclamos y quejas</t>
  </si>
  <si>
    <t xml:space="preserve">Información general / otro</t>
  </si>
  <si>
    <t xml:space="preserve">Parámetro</t>
  </si>
  <si>
    <t xml:space="preserve">Valor</t>
  </si>
  <si>
    <t xml:space="preserve">Fuente / criterio</t>
  </si>
  <si>
    <t xml:space="preserve">Meta de sesiones elegibles y completas</t>
  </si>
  <si>
    <t xml:space="preserve">Decisión del tesista: piloto exploratorio de n = 60 (reduce los 120 del protocolo V1.2).</t>
  </si>
  <si>
    <t xml:space="preserve">Meta de reducción del tiempo</t>
  </si>
  <si>
    <t xml:space="preserve">Hipótesis de la tesis: reducción ≥ 60 %.</t>
  </si>
  <si>
    <t xml:space="preserve">Meta de satisfacción (Likert 1–5)</t>
  </si>
  <si>
    <t xml:space="preserve">Hipótesis de la tesis: Likert ≥ 4.0 sobre 5.</t>
  </si>
  <si>
    <t xml:space="preserve">Alfa de Cronbach mínimo</t>
  </si>
  <si>
    <t xml:space="preserve">Criterio del pre-piloto formal del protocolo V1.2.</t>
  </si>
  <si>
    <t xml:space="preserve">Tope de tiempo por consulta (segundos)</t>
  </si>
  <si>
    <t xml:space="preserve">Regla de la guía de aplicación: se corta a los 180 s sin respuesta útil. Solo informativo.</t>
  </si>
  <si>
    <t xml:space="preserve">Máximo de mensajes por consulta</t>
  </si>
  <si>
    <t xml:space="preserve">Regla de la guía de aplicación. Solo informativo.</t>
  </si>
  <si>
    <t xml:space="preserve">Modelo congelado (nombre / versión)</t>
  </si>
  <si>
    <t xml:space="preserve">Anótalo antes de la primera sesión; no se cambia durante las sesiones.</t>
  </si>
  <si>
    <t xml:space="preserve">Fecha de congelamiento del modelo</t>
  </si>
  <si>
    <t xml:space="preserve">Anótala junto con la versión.</t>
  </si>
  <si>
    <t xml:space="preserve">Cálculo auxiliar del alfa de Cronbach</t>
  </si>
  <si>
    <t xml:space="preserve">Solo fórmulas. Copia los ítems 1–8 de las sesiones elegibles y completas; las demás filas quedan vacías para no distorsionar la varianza.</t>
  </si>
  <si>
    <t xml:space="preserve">Código</t>
  </si>
  <si>
    <t xml:space="preserve">Ítem 1</t>
  </si>
  <si>
    <t xml:space="preserve">Ítem 2</t>
  </si>
  <si>
    <t xml:space="preserve">Ítem 3</t>
  </si>
  <si>
    <t xml:space="preserve">Ítem 4</t>
  </si>
  <si>
    <t xml:space="preserve">Ítem 5</t>
  </si>
  <si>
    <t xml:space="preserve">Ítem 6</t>
  </si>
  <si>
    <t xml:space="preserve">Ítem 7</t>
  </si>
  <si>
    <t xml:space="preserve">Ítem 8</t>
  </si>
  <si>
    <t xml:space="preserve">Total</t>
  </si>
  <si>
    <t xml:space="preserve">Notas de uso, criterios y fuentes</t>
  </si>
  <si>
    <t xml:space="preserve">Cómo usar</t>
  </si>
  <si>
    <t xml:space="preserve">1. Cada persona de la sesión asistida recibe un código SA01, SA02… (sin relación con su nombre). Las tres tarjetas de situación salen solas en las columnas Tarjeta 1–3 de Sesiones.</t>
  </si>
  <si>
    <t xml:space="preserve">2. Después de cada sesión, transcribe el formulario en la fila de la persona (celdas amarillas). No corrijas respuestas. Los tiempos van en segundos.</t>
  </si>
  <si>
    <t xml:space="preserve">3. «Elegible y completa» marca con Sí las sesiones que entran al análisis: trámite presencial en los últimos 12 meses, línea base, 3 tiempos y los 9 ítems post respondidos.</t>
  </si>
  <si>
    <t xml:space="preserve">4. Resumen calcula solo con las elegibles y completas. Las no elegibles se registran para llevar la cuenta y se reemplazan por otra persona.</t>
  </si>
  <si>
    <t xml:space="preserve">Criterios</t>
  </si>
  <si>
    <t xml:space="preserve">• Piloto exploratorio de n = 60 sesiones elegibles (decisión del tesista; reduce los 120 del protocolo V1.2). Sirve para mostrar viabilidad, no para confirmar hipótesis.</t>
  </si>
  <si>
    <t xml:space="preserve">• Diseño de una sola sesión: la línea base es recordada (Parte 1 del formulario) y el tiempo con el asistente se mide en la misma visita (Parte 2). Se declara como limitación (sesgo de recuerdo y de novedad).</t>
  </si>
  <si>
    <t xml:space="preserve">• Modelo congelado antes de la primera sesión (Parametros). Las consultas escritas quedan registradas como conjunto de prueba final: no se usan para ajustar el modelo durante las sesiones.</t>
  </si>
  <si>
    <t xml:space="preserve">• El ítem 9 de satisfacción empareja con P10 (misma redacción, referida al asistente). La pregunta complementaria de tiempo estimado para la consulta 1 no reemplaza la línea base de la Parte 1.</t>
  </si>
  <si>
    <t xml:space="preserve">• Tiempo sin respuesta útil: se registra el tiempo de corte (180 s o 3 mensajes) y la consulta se marca «No» en «obtuvo lo que necesitaba».</t>
  </si>
  <si>
    <t xml:space="preserve">Fuentes y supuestos</t>
  </si>
  <si>
    <t xml:space="preserve">• Reglas de cronometraje, tarjetas y elegibilidad: guía de aplicación del formulario Sesion_Asistida_Formulario_v1.</t>
  </si>
  <si>
    <t xml:space="preserve">• Catálogo de tarjetas: situaciones_lote1_v1.csv (56 situaciones, 54 intenciones). Reparto: 3 tarjetas por sesión en rotación; con 60 sesiones cada tarjeta sale 3 o 4 veces.</t>
  </si>
  <si>
    <t xml:space="preserve">• Conversión de rangos a minutos: punto medio de cada rango (supuesto editable en Parametros).</t>
  </si>
  <si>
    <t xml:space="preserve">• Metas de reducción (60 %), Likert (4.0) y Alfa (0.70): hipótesis de la tesis y protocolo V1.2.</t>
  </si>
  <si>
    <t xml:space="preserve">• Colores: azul = valor escrito a mano o dato fijo; negro = fórmula; verde = vínculo a otra hoja.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</si>
</sst>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"/>
    <numFmt numFmtId="167" formatCode="0%"/>
    <numFmt numFmtId="168" formatCode="0.00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9" min="8" style="0" width="17"/>
    <col collapsed="false" customWidth="true" hidden="false" outlineLevel="0" max="16" min="10" style="0" width="9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2" min="20" style="0" width="9"/>
    <col collapsed="false" customWidth="true" hidden="false" outlineLevel="0" max="23" min="23" style="0" width="3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30"/>
    <col collapsed="false" customWidth="true" hidden="false" outlineLevel="0" max="30" min="30" style="0" width="12"/>
    <col collapsed="false" customWidth="true" hidden="false" outlineLevel="0" max="31" min="31" style="0" width="10"/>
    <col collapsed="false" customWidth="true" hidden="false" outlineLevel="0" max="32" min="32" style="0" width="12"/>
    <col collapsed="false" customWidth="true" hidden="false" outlineLevel="0" max="33" min="33" style="0" width="11"/>
    <col collapsed="false" customWidth="true" hidden="false" outlineLevel="0" max="34" min="34" style="0" width="10"/>
    <col collapsed="false" customWidth="true" hidden="false" outlineLevel="0" max="35" min="35" style="0" width="30"/>
    <col collapsed="false" customWidth="true" hidden="false" outlineLevel="0" max="36" min="36" style="0" width="12"/>
    <col collapsed="false" customWidth="true" hidden="false" outlineLevel="0" max="37" min="37" style="0" width="10"/>
    <col collapsed="false" customWidth="true" hidden="false" outlineLevel="0" max="38" min="38" style="0" width="12"/>
    <col collapsed="false" customWidth="true" hidden="false" outlineLevel="0" max="39" min="39" style="0" width="11"/>
    <col collapsed="false" customWidth="true" hidden="false" outlineLevel="0" max="40" min="40" style="0" width="10"/>
    <col collapsed="false" customWidth="true" hidden="false" outlineLevel="0" max="49" min="41" style="0" width="12"/>
    <col collapsed="false" customWidth="true" hidden="false" outlineLevel="0" max="50" min="50" style="0" width="17"/>
    <col collapsed="false" customWidth="true" hidden="false" outlineLevel="0" max="51" min="51" style="0" width="24"/>
    <col collapsed="false" customWidth="true" hidden="false" outlineLevel="0" max="52" min="52" style="0" width="11"/>
    <col collapsed="false" customWidth="true" hidden="false" outlineLevel="0" max="53" min="53" style="0" width="10"/>
    <col collapsed="false" customWidth="true" hidden="false" outlineLevel="0" max="54" min="54" style="0" width="12"/>
    <col collapsed="false" customWidth="true" hidden="false" outlineLevel="0" max="55" min="55" style="0" width="11"/>
    <col collapsed="false" customWidth="true" hidden="false" outlineLevel="0" max="58" min="56" style="0" width="10"/>
    <col collapsed="false" customWidth="true" hidden="false" outlineLevel="0" max="62" min="59" style="0" width="11"/>
    <col collapsed="false" customWidth="true" hidden="false" outlineLevel="0" max="63" min="63" style="0" width="1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7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</row>
    <row r="4" customFormat="false" ht="15" hidden="false" customHeight="false" outlineLevel="0" collapsed="false">
      <c r="A4" s="4" t="s">
        <v>65</v>
      </c>
      <c r="B4" s="5"/>
      <c r="C4" s="6"/>
      <c r="D4" s="7"/>
      <c r="E4" s="7"/>
      <c r="F4" s="7"/>
      <c r="G4" s="6"/>
      <c r="H4" s="7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8" t="str">
        <f aca="false">INDEX(Tarjetas!$A$4:$A$59,MOD(3*(VALUE(MID(A4,3,2))-1)+0,ROWS(Tarjetas!$A$4:$A$59))+1)</f>
        <v>S01</v>
      </c>
      <c r="U4" s="8" t="str">
        <f aca="false">INDEX(Tarjetas!$A$4:$A$59,MOD(3*(VALUE(MID(A4,3,2))-1)+1,ROWS(Tarjetas!$A$4:$A$59))+1)</f>
        <v>S02</v>
      </c>
      <c r="V4" s="8" t="str">
        <f aca="false">INDEX(Tarjetas!$A$4:$A$59,MOD(3*(VALUE(MID(A4,3,2))-1)+2,ROWS(Tarjetas!$A$4:$A$59))+1)</f>
        <v>S03</v>
      </c>
      <c r="W4" s="6"/>
      <c r="X4" s="7"/>
      <c r="Y4" s="7"/>
      <c r="Z4" s="7"/>
      <c r="AA4" s="7"/>
      <c r="AB4" s="7"/>
      <c r="AC4" s="6"/>
      <c r="AD4" s="7"/>
      <c r="AE4" s="7"/>
      <c r="AF4" s="7"/>
      <c r="AG4" s="7"/>
      <c r="AH4" s="7"/>
      <c r="AI4" s="6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6"/>
      <c r="AZ4" s="9" t="str">
        <f aca="false">IF(COUNTA(B4,F4)=0,"",IF(AND(F4="Sí",H4&lt;&gt;"",S4&lt;&gt;"",COUNT(X4,AD4,AJ4)=3,COUNT(AO4:AV4)=8,AW4&lt;&gt;""),"Sí","No"))</f>
        <v/>
      </c>
      <c r="BA4" s="10" t="str">
        <f aca="false">IF(H4="","",IFERROR(INDEX(Parametros!$B$4:$B$9,MATCH(H4,Parametros!$A$4:$A$9,0)),""))</f>
        <v/>
      </c>
      <c r="BB4" s="11" t="str">
        <f aca="false">IF(COUNT(X4,AD4,AJ4)=3,AVERAGE(X4,AD4,AJ4)/60,"")</f>
        <v/>
      </c>
      <c r="BC4" s="11" t="str">
        <f aca="false">IF(AND(ISNUMBER(BA4),ISNUMBER(BB4)),BB4-BA4,"")</f>
        <v/>
      </c>
      <c r="BD4" s="12" t="str">
        <f aca="false">IF(AND(ISNUMBER(BA4),ISNUMBER(BB4)),IF(BA4&gt;0,(BA4-BB4)/BA4,""),"")</f>
        <v/>
      </c>
      <c r="BE4" s="9" t="str">
        <f aca="false">IF(S4="","",S4)</f>
        <v/>
      </c>
      <c r="BF4" s="9" t="str">
        <f aca="false">IF(AW4="","",AW4)</f>
        <v/>
      </c>
      <c r="BG4" s="9" t="str">
        <f aca="false">IF(AND(ISNUMBER(BE4),ISNUMBER(BF4)),BF4-BE4,"")</f>
        <v/>
      </c>
      <c r="BH4" s="9" t="str">
        <f aca="false">IF(COUNTA(Z4,AF4,AL4)=0,"",(Z4="Sí")+(AF4="Sí")+(AL4="Sí"))</f>
        <v/>
      </c>
      <c r="BI4" s="9" t="str">
        <f aca="false">IF(COUNTA(AA4,AG4,AM4)=0,"",(AA4="Sí")+(AG4="Sí")+(AM4="Sí"))</f>
        <v/>
      </c>
      <c r="BJ4" s="9" t="str">
        <f aca="false">IF(COUNTA(AB4,AH4,AN4)=0,"",(AB4="Sí")+(AH4="Sí")+(AN4="Sí"))</f>
        <v/>
      </c>
      <c r="BK4" s="9" t="str">
        <f aca="false">IF(COUNT(AO4:AV4)=8,SUM(AO4:AV4),"")</f>
        <v/>
      </c>
    </row>
    <row r="5" customFormat="false" ht="15" hidden="false" customHeight="false" outlineLevel="0" collapsed="false">
      <c r="A5" s="4" t="s">
        <v>66</v>
      </c>
      <c r="B5" s="5"/>
      <c r="C5" s="6"/>
      <c r="D5" s="7"/>
      <c r="E5" s="7"/>
      <c r="F5" s="7"/>
      <c r="G5" s="6"/>
      <c r="H5" s="7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8" t="str">
        <f aca="false">INDEX(Tarjetas!$A$4:$A$59,MOD(3*(VALUE(MID(A5,3,2))-1)+0,ROWS(Tarjetas!$A$4:$A$59))+1)</f>
        <v>S04</v>
      </c>
      <c r="U5" s="8" t="str">
        <f aca="false">INDEX(Tarjetas!$A$4:$A$59,MOD(3*(VALUE(MID(A5,3,2))-1)+1,ROWS(Tarjetas!$A$4:$A$59))+1)</f>
        <v>S05</v>
      </c>
      <c r="V5" s="8" t="str">
        <f aca="false">INDEX(Tarjetas!$A$4:$A$59,MOD(3*(VALUE(MID(A5,3,2))-1)+2,ROWS(Tarjetas!$A$4:$A$59))+1)</f>
        <v>S06</v>
      </c>
      <c r="W5" s="6"/>
      <c r="X5" s="7"/>
      <c r="Y5" s="7"/>
      <c r="Z5" s="7"/>
      <c r="AA5" s="7"/>
      <c r="AB5" s="7"/>
      <c r="AC5" s="6"/>
      <c r="AD5" s="7"/>
      <c r="AE5" s="7"/>
      <c r="AF5" s="7"/>
      <c r="AG5" s="7"/>
      <c r="AH5" s="7"/>
      <c r="AI5" s="6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6"/>
      <c r="AZ5" s="9" t="str">
        <f aca="false">IF(COUNTA(B5,F5)=0,"",IF(AND(F5="Sí",H5&lt;&gt;"",S5&lt;&gt;"",COUNT(X5,AD5,AJ5)=3,COUNT(AO5:AV5)=8,AW5&lt;&gt;""),"Sí","No"))</f>
        <v/>
      </c>
      <c r="BA5" s="10" t="str">
        <f aca="false">IF(H5="","",IFERROR(INDEX(Parametros!$B$4:$B$9,MATCH(H5,Parametros!$A$4:$A$9,0)),""))</f>
        <v/>
      </c>
      <c r="BB5" s="11" t="str">
        <f aca="false">IF(COUNT(X5,AD5,AJ5)=3,AVERAGE(X5,AD5,AJ5)/60,"")</f>
        <v/>
      </c>
      <c r="BC5" s="11" t="str">
        <f aca="false">IF(AND(ISNUMBER(BA5),ISNUMBER(BB5)),BB5-BA5,"")</f>
        <v/>
      </c>
      <c r="BD5" s="12" t="str">
        <f aca="false">IF(AND(ISNUMBER(BA5),ISNUMBER(BB5)),IF(BA5&gt;0,(BA5-BB5)/BA5,""),"")</f>
        <v/>
      </c>
      <c r="BE5" s="9" t="str">
        <f aca="false">IF(S5="","",S5)</f>
        <v/>
      </c>
      <c r="BF5" s="9" t="str">
        <f aca="false">IF(AW5="","",AW5)</f>
        <v/>
      </c>
      <c r="BG5" s="9" t="str">
        <f aca="false">IF(AND(ISNUMBER(BE5),ISNUMBER(BF5)),BF5-BE5,"")</f>
        <v/>
      </c>
      <c r="BH5" s="9" t="str">
        <f aca="false">IF(COUNTA(Z5,AF5,AL5)=0,"",(Z5="Sí")+(AF5="Sí")+(AL5="Sí"))</f>
        <v/>
      </c>
      <c r="BI5" s="9" t="str">
        <f aca="false">IF(COUNTA(AA5,AG5,AM5)=0,"",(AA5="Sí")+(AG5="Sí")+(AM5="Sí"))</f>
        <v/>
      </c>
      <c r="BJ5" s="9" t="str">
        <f aca="false">IF(COUNTA(AB5,AH5,AN5)=0,"",(AB5="Sí")+(AH5="Sí")+(AN5="Sí"))</f>
        <v/>
      </c>
      <c r="BK5" s="9" t="str">
        <f aca="false">IF(COUNT(AO5:AV5)=8,SUM(AO5:AV5),"")</f>
        <v/>
      </c>
    </row>
    <row r="6" customFormat="false" ht="15" hidden="false" customHeight="false" outlineLevel="0" collapsed="false">
      <c r="A6" s="4" t="s">
        <v>67</v>
      </c>
      <c r="B6" s="5"/>
      <c r="C6" s="6"/>
      <c r="D6" s="7"/>
      <c r="E6" s="7"/>
      <c r="F6" s="7"/>
      <c r="G6" s="6"/>
      <c r="H6" s="7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8" t="str">
        <f aca="false">INDEX(Tarjetas!$A$4:$A$59,MOD(3*(VALUE(MID(A6,3,2))-1)+0,ROWS(Tarjetas!$A$4:$A$59))+1)</f>
        <v>S07</v>
      </c>
      <c r="U6" s="8" t="str">
        <f aca="false">INDEX(Tarjetas!$A$4:$A$59,MOD(3*(VALUE(MID(A6,3,2))-1)+1,ROWS(Tarjetas!$A$4:$A$59))+1)</f>
        <v>S08</v>
      </c>
      <c r="V6" s="8" t="str">
        <f aca="false">INDEX(Tarjetas!$A$4:$A$59,MOD(3*(VALUE(MID(A6,3,2))-1)+2,ROWS(Tarjetas!$A$4:$A$59))+1)</f>
        <v>S09</v>
      </c>
      <c r="W6" s="6"/>
      <c r="X6" s="7"/>
      <c r="Y6" s="7"/>
      <c r="Z6" s="7"/>
      <c r="AA6" s="7"/>
      <c r="AB6" s="7"/>
      <c r="AC6" s="6"/>
      <c r="AD6" s="7"/>
      <c r="AE6" s="7"/>
      <c r="AF6" s="7"/>
      <c r="AG6" s="7"/>
      <c r="AH6" s="7"/>
      <c r="AI6" s="6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6"/>
      <c r="AZ6" s="9" t="str">
        <f aca="false">IF(COUNTA(B6,F6)=0,"",IF(AND(F6="Sí",H6&lt;&gt;"",S6&lt;&gt;"",COUNT(X6,AD6,AJ6)=3,COUNT(AO6:AV6)=8,AW6&lt;&gt;""),"Sí","No"))</f>
        <v/>
      </c>
      <c r="BA6" s="10" t="str">
        <f aca="false">IF(H6="","",IFERROR(INDEX(Parametros!$B$4:$B$9,MATCH(H6,Parametros!$A$4:$A$9,0)),""))</f>
        <v/>
      </c>
      <c r="BB6" s="11" t="str">
        <f aca="false">IF(COUNT(X6,AD6,AJ6)=3,AVERAGE(X6,AD6,AJ6)/60,"")</f>
        <v/>
      </c>
      <c r="BC6" s="11" t="str">
        <f aca="false">IF(AND(ISNUMBER(BA6),ISNUMBER(BB6)),BB6-BA6,"")</f>
        <v/>
      </c>
      <c r="BD6" s="12" t="str">
        <f aca="false">IF(AND(ISNUMBER(BA6),ISNUMBER(BB6)),IF(BA6&gt;0,(BA6-BB6)/BA6,""),"")</f>
        <v/>
      </c>
      <c r="BE6" s="9" t="str">
        <f aca="false">IF(S6="","",S6)</f>
        <v/>
      </c>
      <c r="BF6" s="9" t="str">
        <f aca="false">IF(AW6="","",AW6)</f>
        <v/>
      </c>
      <c r="BG6" s="9" t="str">
        <f aca="false">IF(AND(ISNUMBER(BE6),ISNUMBER(BF6)),BF6-BE6,"")</f>
        <v/>
      </c>
      <c r="BH6" s="9" t="str">
        <f aca="false">IF(COUNTA(Z6,AF6,AL6)=0,"",(Z6="Sí")+(AF6="Sí")+(AL6="Sí"))</f>
        <v/>
      </c>
      <c r="BI6" s="9" t="str">
        <f aca="false">IF(COUNTA(AA6,AG6,AM6)=0,"",(AA6="Sí")+(AG6="Sí")+(AM6="Sí"))</f>
        <v/>
      </c>
      <c r="BJ6" s="9" t="str">
        <f aca="false">IF(COUNTA(AB6,AH6,AN6)=0,"",(AB6="Sí")+(AH6="Sí")+(AN6="Sí"))</f>
        <v/>
      </c>
      <c r="BK6" s="9" t="str">
        <f aca="false">IF(COUNT(AO6:AV6)=8,SUM(AO6:AV6),"")</f>
        <v/>
      </c>
    </row>
    <row r="7" customFormat="false" ht="15" hidden="false" customHeight="false" outlineLevel="0" collapsed="false">
      <c r="A7" s="4" t="s">
        <v>68</v>
      </c>
      <c r="B7" s="5"/>
      <c r="C7" s="6"/>
      <c r="D7" s="7"/>
      <c r="E7" s="7"/>
      <c r="F7" s="7"/>
      <c r="G7" s="6"/>
      <c r="H7" s="7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8" t="str">
        <f aca="false">INDEX(Tarjetas!$A$4:$A$59,MOD(3*(VALUE(MID(A7,3,2))-1)+0,ROWS(Tarjetas!$A$4:$A$59))+1)</f>
        <v>S10</v>
      </c>
      <c r="U7" s="8" t="str">
        <f aca="false">INDEX(Tarjetas!$A$4:$A$59,MOD(3*(VALUE(MID(A7,3,2))-1)+1,ROWS(Tarjetas!$A$4:$A$59))+1)</f>
        <v>S11</v>
      </c>
      <c r="V7" s="8" t="str">
        <f aca="false">INDEX(Tarjetas!$A$4:$A$59,MOD(3*(VALUE(MID(A7,3,2))-1)+2,ROWS(Tarjetas!$A$4:$A$59))+1)</f>
        <v>S12</v>
      </c>
      <c r="W7" s="6"/>
      <c r="X7" s="7"/>
      <c r="Y7" s="7"/>
      <c r="Z7" s="7"/>
      <c r="AA7" s="7"/>
      <c r="AB7" s="7"/>
      <c r="AC7" s="6"/>
      <c r="AD7" s="7"/>
      <c r="AE7" s="7"/>
      <c r="AF7" s="7"/>
      <c r="AG7" s="7"/>
      <c r="AH7" s="7"/>
      <c r="AI7" s="6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6"/>
      <c r="AZ7" s="9" t="str">
        <f aca="false">IF(COUNTA(B7,F7)=0,"",IF(AND(F7="Sí",H7&lt;&gt;"",S7&lt;&gt;"",COUNT(X7,AD7,AJ7)=3,COUNT(AO7:AV7)=8,AW7&lt;&gt;""),"Sí","No"))</f>
        <v/>
      </c>
      <c r="BA7" s="10" t="str">
        <f aca="false">IF(H7="","",IFERROR(INDEX(Parametros!$B$4:$B$9,MATCH(H7,Parametros!$A$4:$A$9,0)),""))</f>
        <v/>
      </c>
      <c r="BB7" s="11" t="str">
        <f aca="false">IF(COUNT(X7,AD7,AJ7)=3,AVERAGE(X7,AD7,AJ7)/60,"")</f>
        <v/>
      </c>
      <c r="BC7" s="11" t="str">
        <f aca="false">IF(AND(ISNUMBER(BA7),ISNUMBER(BB7)),BB7-BA7,"")</f>
        <v/>
      </c>
      <c r="BD7" s="12" t="str">
        <f aca="false">IF(AND(ISNUMBER(BA7),ISNUMBER(BB7)),IF(BA7&gt;0,(BA7-BB7)/BA7,""),"")</f>
        <v/>
      </c>
      <c r="BE7" s="9" t="str">
        <f aca="false">IF(S7="","",S7)</f>
        <v/>
      </c>
      <c r="BF7" s="9" t="str">
        <f aca="false">IF(AW7="","",AW7)</f>
        <v/>
      </c>
      <c r="BG7" s="9" t="str">
        <f aca="false">IF(AND(ISNUMBER(BE7),ISNUMBER(BF7)),BF7-BE7,"")</f>
        <v/>
      </c>
      <c r="BH7" s="9" t="str">
        <f aca="false">IF(COUNTA(Z7,AF7,AL7)=0,"",(Z7="Sí")+(AF7="Sí")+(AL7="Sí"))</f>
        <v/>
      </c>
      <c r="BI7" s="9" t="str">
        <f aca="false">IF(COUNTA(AA7,AG7,AM7)=0,"",(AA7="Sí")+(AG7="Sí")+(AM7="Sí"))</f>
        <v/>
      </c>
      <c r="BJ7" s="9" t="str">
        <f aca="false">IF(COUNTA(AB7,AH7,AN7)=0,"",(AB7="Sí")+(AH7="Sí")+(AN7="Sí"))</f>
        <v/>
      </c>
      <c r="BK7" s="9" t="str">
        <f aca="false">IF(COUNT(AO7:AV7)=8,SUM(AO7:AV7),"")</f>
        <v/>
      </c>
    </row>
    <row r="8" customFormat="false" ht="15" hidden="false" customHeight="false" outlineLevel="0" collapsed="false">
      <c r="A8" s="4" t="s">
        <v>69</v>
      </c>
      <c r="B8" s="5"/>
      <c r="C8" s="6"/>
      <c r="D8" s="7"/>
      <c r="E8" s="7"/>
      <c r="F8" s="7"/>
      <c r="G8" s="6"/>
      <c r="H8" s="7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8" t="str">
        <f aca="false">INDEX(Tarjetas!$A$4:$A$59,MOD(3*(VALUE(MID(A8,3,2))-1)+0,ROWS(Tarjetas!$A$4:$A$59))+1)</f>
        <v>S13</v>
      </c>
      <c r="U8" s="8" t="str">
        <f aca="false">INDEX(Tarjetas!$A$4:$A$59,MOD(3*(VALUE(MID(A8,3,2))-1)+1,ROWS(Tarjetas!$A$4:$A$59))+1)</f>
        <v>S14</v>
      </c>
      <c r="V8" s="8" t="str">
        <f aca="false">INDEX(Tarjetas!$A$4:$A$59,MOD(3*(VALUE(MID(A8,3,2))-1)+2,ROWS(Tarjetas!$A$4:$A$59))+1)</f>
        <v>S15</v>
      </c>
      <c r="W8" s="6"/>
      <c r="X8" s="7"/>
      <c r="Y8" s="7"/>
      <c r="Z8" s="7"/>
      <c r="AA8" s="7"/>
      <c r="AB8" s="7"/>
      <c r="AC8" s="6"/>
      <c r="AD8" s="7"/>
      <c r="AE8" s="7"/>
      <c r="AF8" s="7"/>
      <c r="AG8" s="7"/>
      <c r="AH8" s="7"/>
      <c r="AI8" s="6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6"/>
      <c r="AZ8" s="9" t="str">
        <f aca="false">IF(COUNTA(B8,F8)=0,"",IF(AND(F8="Sí",H8&lt;&gt;"",S8&lt;&gt;"",COUNT(X8,AD8,AJ8)=3,COUNT(AO8:AV8)=8,AW8&lt;&gt;""),"Sí","No"))</f>
        <v/>
      </c>
      <c r="BA8" s="10" t="str">
        <f aca="false">IF(H8="","",IFERROR(INDEX(Parametros!$B$4:$B$9,MATCH(H8,Parametros!$A$4:$A$9,0)),""))</f>
        <v/>
      </c>
      <c r="BB8" s="11" t="str">
        <f aca="false">IF(COUNT(X8,AD8,AJ8)=3,AVERAGE(X8,AD8,AJ8)/60,"")</f>
        <v/>
      </c>
      <c r="BC8" s="11" t="str">
        <f aca="false">IF(AND(ISNUMBER(BA8),ISNUMBER(BB8)),BB8-BA8,"")</f>
        <v/>
      </c>
      <c r="BD8" s="12" t="str">
        <f aca="false">IF(AND(ISNUMBER(BA8),ISNUMBER(BB8)),IF(BA8&gt;0,(BA8-BB8)/BA8,""),"")</f>
        <v/>
      </c>
      <c r="BE8" s="9" t="str">
        <f aca="false">IF(S8="","",S8)</f>
        <v/>
      </c>
      <c r="BF8" s="9" t="str">
        <f aca="false">IF(AW8="","",AW8)</f>
        <v/>
      </c>
      <c r="BG8" s="9" t="str">
        <f aca="false">IF(AND(ISNUMBER(BE8),ISNUMBER(BF8)),BF8-BE8,"")</f>
        <v/>
      </c>
      <c r="BH8" s="9" t="str">
        <f aca="false">IF(COUNTA(Z8,AF8,AL8)=0,"",(Z8="Sí")+(AF8="Sí")+(AL8="Sí"))</f>
        <v/>
      </c>
      <c r="BI8" s="9" t="str">
        <f aca="false">IF(COUNTA(AA8,AG8,AM8)=0,"",(AA8="Sí")+(AG8="Sí")+(AM8="Sí"))</f>
        <v/>
      </c>
      <c r="BJ8" s="9" t="str">
        <f aca="false">IF(COUNTA(AB8,AH8,AN8)=0,"",(AB8="Sí")+(AH8="Sí")+(AN8="Sí"))</f>
        <v/>
      </c>
      <c r="BK8" s="9" t="str">
        <f aca="false">IF(COUNT(AO8:AV8)=8,SUM(AO8:AV8),"")</f>
        <v/>
      </c>
    </row>
    <row r="9" customFormat="false" ht="15" hidden="false" customHeight="false" outlineLevel="0" collapsed="false">
      <c r="A9" s="4" t="s">
        <v>70</v>
      </c>
      <c r="B9" s="5"/>
      <c r="C9" s="6"/>
      <c r="D9" s="7"/>
      <c r="E9" s="7"/>
      <c r="F9" s="7"/>
      <c r="G9" s="6"/>
      <c r="H9" s="7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8" t="str">
        <f aca="false">INDEX(Tarjetas!$A$4:$A$59,MOD(3*(VALUE(MID(A9,3,2))-1)+0,ROWS(Tarjetas!$A$4:$A$59))+1)</f>
        <v>S16</v>
      </c>
      <c r="U9" s="8" t="str">
        <f aca="false">INDEX(Tarjetas!$A$4:$A$59,MOD(3*(VALUE(MID(A9,3,2))-1)+1,ROWS(Tarjetas!$A$4:$A$59))+1)</f>
        <v>S17</v>
      </c>
      <c r="V9" s="8" t="str">
        <f aca="false">INDEX(Tarjetas!$A$4:$A$59,MOD(3*(VALUE(MID(A9,3,2))-1)+2,ROWS(Tarjetas!$A$4:$A$59))+1)</f>
        <v>S18</v>
      </c>
      <c r="W9" s="6"/>
      <c r="X9" s="7"/>
      <c r="Y9" s="7"/>
      <c r="Z9" s="7"/>
      <c r="AA9" s="7"/>
      <c r="AB9" s="7"/>
      <c r="AC9" s="6"/>
      <c r="AD9" s="7"/>
      <c r="AE9" s="7"/>
      <c r="AF9" s="7"/>
      <c r="AG9" s="7"/>
      <c r="AH9" s="7"/>
      <c r="AI9" s="6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6"/>
      <c r="AZ9" s="9" t="str">
        <f aca="false">IF(COUNTA(B9,F9)=0,"",IF(AND(F9="Sí",H9&lt;&gt;"",S9&lt;&gt;"",COUNT(X9,AD9,AJ9)=3,COUNT(AO9:AV9)=8,AW9&lt;&gt;""),"Sí","No"))</f>
        <v/>
      </c>
      <c r="BA9" s="10" t="str">
        <f aca="false">IF(H9="","",IFERROR(INDEX(Parametros!$B$4:$B$9,MATCH(H9,Parametros!$A$4:$A$9,0)),""))</f>
        <v/>
      </c>
      <c r="BB9" s="11" t="str">
        <f aca="false">IF(COUNT(X9,AD9,AJ9)=3,AVERAGE(X9,AD9,AJ9)/60,"")</f>
        <v/>
      </c>
      <c r="BC9" s="11" t="str">
        <f aca="false">IF(AND(ISNUMBER(BA9),ISNUMBER(BB9)),BB9-BA9,"")</f>
        <v/>
      </c>
      <c r="BD9" s="12" t="str">
        <f aca="false">IF(AND(ISNUMBER(BA9),ISNUMBER(BB9)),IF(BA9&gt;0,(BA9-BB9)/BA9,""),"")</f>
        <v/>
      </c>
      <c r="BE9" s="9" t="str">
        <f aca="false">IF(S9="","",S9)</f>
        <v/>
      </c>
      <c r="BF9" s="9" t="str">
        <f aca="false">IF(AW9="","",AW9)</f>
        <v/>
      </c>
      <c r="BG9" s="9" t="str">
        <f aca="false">IF(AND(ISNUMBER(BE9),ISNUMBER(BF9)),BF9-BE9,"")</f>
        <v/>
      </c>
      <c r="BH9" s="9" t="str">
        <f aca="false">IF(COUNTA(Z9,AF9,AL9)=0,"",(Z9="Sí")+(AF9="Sí")+(AL9="Sí"))</f>
        <v/>
      </c>
      <c r="BI9" s="9" t="str">
        <f aca="false">IF(COUNTA(AA9,AG9,AM9)=0,"",(AA9="Sí")+(AG9="Sí")+(AM9="Sí"))</f>
        <v/>
      </c>
      <c r="BJ9" s="9" t="str">
        <f aca="false">IF(COUNTA(AB9,AH9,AN9)=0,"",(AB9="Sí")+(AH9="Sí")+(AN9="Sí"))</f>
        <v/>
      </c>
      <c r="BK9" s="9" t="str">
        <f aca="false">IF(COUNT(AO9:AV9)=8,SUM(AO9:AV9),"")</f>
        <v/>
      </c>
    </row>
    <row r="10" customFormat="false" ht="15" hidden="false" customHeight="false" outlineLevel="0" collapsed="false">
      <c r="A10" s="4" t="s">
        <v>71</v>
      </c>
      <c r="B10" s="5"/>
      <c r="C10" s="6"/>
      <c r="D10" s="7"/>
      <c r="E10" s="7"/>
      <c r="F10" s="7"/>
      <c r="G10" s="6"/>
      <c r="H10" s="7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tr">
        <f aca="false">INDEX(Tarjetas!$A$4:$A$59,MOD(3*(VALUE(MID(A10,3,2))-1)+0,ROWS(Tarjetas!$A$4:$A$59))+1)</f>
        <v>S19</v>
      </c>
      <c r="U10" s="8" t="str">
        <f aca="false">INDEX(Tarjetas!$A$4:$A$59,MOD(3*(VALUE(MID(A10,3,2))-1)+1,ROWS(Tarjetas!$A$4:$A$59))+1)</f>
        <v>S20</v>
      </c>
      <c r="V10" s="8" t="str">
        <f aca="false">INDEX(Tarjetas!$A$4:$A$59,MOD(3*(VALUE(MID(A10,3,2))-1)+2,ROWS(Tarjetas!$A$4:$A$59))+1)</f>
        <v>S21</v>
      </c>
      <c r="W10" s="6"/>
      <c r="X10" s="7"/>
      <c r="Y10" s="7"/>
      <c r="Z10" s="7"/>
      <c r="AA10" s="7"/>
      <c r="AB10" s="7"/>
      <c r="AC10" s="6"/>
      <c r="AD10" s="7"/>
      <c r="AE10" s="7"/>
      <c r="AF10" s="7"/>
      <c r="AG10" s="7"/>
      <c r="AH10" s="7"/>
      <c r="AI10" s="6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6"/>
      <c r="AZ10" s="9" t="str">
        <f aca="false">IF(COUNTA(B10,F10)=0,"",IF(AND(F10="Sí",H10&lt;&gt;"",S10&lt;&gt;"",COUNT(X10,AD10,AJ10)=3,COUNT(AO10:AV10)=8,AW10&lt;&gt;""),"Sí","No"))</f>
        <v/>
      </c>
      <c r="BA10" s="10" t="str">
        <f aca="false">IF(H10="","",IFERROR(INDEX(Parametros!$B$4:$B$9,MATCH(H10,Parametros!$A$4:$A$9,0)),""))</f>
        <v/>
      </c>
      <c r="BB10" s="11" t="str">
        <f aca="false">IF(COUNT(X10,AD10,AJ10)=3,AVERAGE(X10,AD10,AJ10)/60,"")</f>
        <v/>
      </c>
      <c r="BC10" s="11" t="str">
        <f aca="false">IF(AND(ISNUMBER(BA10),ISNUMBER(BB10)),BB10-BA10,"")</f>
        <v/>
      </c>
      <c r="BD10" s="12" t="str">
        <f aca="false">IF(AND(ISNUMBER(BA10),ISNUMBER(BB10)),IF(BA10&gt;0,(BA10-BB10)/BA10,""),"")</f>
        <v/>
      </c>
      <c r="BE10" s="9" t="str">
        <f aca="false">IF(S10="","",S10)</f>
        <v/>
      </c>
      <c r="BF10" s="9" t="str">
        <f aca="false">IF(AW10="","",AW10)</f>
        <v/>
      </c>
      <c r="BG10" s="9" t="str">
        <f aca="false">IF(AND(ISNUMBER(BE10),ISNUMBER(BF10)),BF10-BE10,"")</f>
        <v/>
      </c>
      <c r="BH10" s="9" t="str">
        <f aca="false">IF(COUNTA(Z10,AF10,AL10)=0,"",(Z10="Sí")+(AF10="Sí")+(AL10="Sí"))</f>
        <v/>
      </c>
      <c r="BI10" s="9" t="str">
        <f aca="false">IF(COUNTA(AA10,AG10,AM10)=0,"",(AA10="Sí")+(AG10="Sí")+(AM10="Sí"))</f>
        <v/>
      </c>
      <c r="BJ10" s="9" t="str">
        <f aca="false">IF(COUNTA(AB10,AH10,AN10)=0,"",(AB10="Sí")+(AH10="Sí")+(AN10="Sí"))</f>
        <v/>
      </c>
      <c r="BK10" s="9" t="str">
        <f aca="false">IF(COUNT(AO10:AV10)=8,SUM(AO10:AV10),"")</f>
        <v/>
      </c>
    </row>
    <row r="11" customFormat="false" ht="15" hidden="false" customHeight="false" outlineLevel="0" collapsed="false">
      <c r="A11" s="4" t="s">
        <v>72</v>
      </c>
      <c r="B11" s="5"/>
      <c r="C11" s="6"/>
      <c r="D11" s="7"/>
      <c r="E11" s="7"/>
      <c r="F11" s="7"/>
      <c r="G11" s="6"/>
      <c r="H11" s="7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tr">
        <f aca="false">INDEX(Tarjetas!$A$4:$A$59,MOD(3*(VALUE(MID(A11,3,2))-1)+0,ROWS(Tarjetas!$A$4:$A$59))+1)</f>
        <v>S22</v>
      </c>
      <c r="U11" s="8" t="str">
        <f aca="false">INDEX(Tarjetas!$A$4:$A$59,MOD(3*(VALUE(MID(A11,3,2))-1)+1,ROWS(Tarjetas!$A$4:$A$59))+1)</f>
        <v>S23</v>
      </c>
      <c r="V11" s="8" t="str">
        <f aca="false">INDEX(Tarjetas!$A$4:$A$59,MOD(3*(VALUE(MID(A11,3,2))-1)+2,ROWS(Tarjetas!$A$4:$A$59))+1)</f>
        <v>S24</v>
      </c>
      <c r="W11" s="6"/>
      <c r="X11" s="7"/>
      <c r="Y11" s="7"/>
      <c r="Z11" s="7"/>
      <c r="AA11" s="7"/>
      <c r="AB11" s="7"/>
      <c r="AC11" s="6"/>
      <c r="AD11" s="7"/>
      <c r="AE11" s="7"/>
      <c r="AF11" s="7"/>
      <c r="AG11" s="7"/>
      <c r="AH11" s="7"/>
      <c r="AI11" s="6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9" t="str">
        <f aca="false">IF(COUNTA(B11,F11)=0,"",IF(AND(F11="Sí",H11&lt;&gt;"",S11&lt;&gt;"",COUNT(X11,AD11,AJ11)=3,COUNT(AO11:AV11)=8,AW11&lt;&gt;""),"Sí","No"))</f>
        <v/>
      </c>
      <c r="BA11" s="10" t="str">
        <f aca="false">IF(H11="","",IFERROR(INDEX(Parametros!$B$4:$B$9,MATCH(H11,Parametros!$A$4:$A$9,0)),""))</f>
        <v/>
      </c>
      <c r="BB11" s="11" t="str">
        <f aca="false">IF(COUNT(X11,AD11,AJ11)=3,AVERAGE(X11,AD11,AJ11)/60,"")</f>
        <v/>
      </c>
      <c r="BC11" s="11" t="str">
        <f aca="false">IF(AND(ISNUMBER(BA11),ISNUMBER(BB11)),BB11-BA11,"")</f>
        <v/>
      </c>
      <c r="BD11" s="12" t="str">
        <f aca="false">IF(AND(ISNUMBER(BA11),ISNUMBER(BB11)),IF(BA11&gt;0,(BA11-BB11)/BA11,""),"")</f>
        <v/>
      </c>
      <c r="BE11" s="9" t="str">
        <f aca="false">IF(S11="","",S11)</f>
        <v/>
      </c>
      <c r="BF11" s="9" t="str">
        <f aca="false">IF(AW11="","",AW11)</f>
        <v/>
      </c>
      <c r="BG11" s="9" t="str">
        <f aca="false">IF(AND(ISNUMBER(BE11),ISNUMBER(BF11)),BF11-BE11,"")</f>
        <v/>
      </c>
      <c r="BH11" s="9" t="str">
        <f aca="false">IF(COUNTA(Z11,AF11,AL11)=0,"",(Z11="Sí")+(AF11="Sí")+(AL11="Sí"))</f>
        <v/>
      </c>
      <c r="BI11" s="9" t="str">
        <f aca="false">IF(COUNTA(AA11,AG11,AM11)=0,"",(AA11="Sí")+(AG11="Sí")+(AM11="Sí"))</f>
        <v/>
      </c>
      <c r="BJ11" s="9" t="str">
        <f aca="false">IF(COUNTA(AB11,AH11,AN11)=0,"",(AB11="Sí")+(AH11="Sí")+(AN11="Sí"))</f>
        <v/>
      </c>
      <c r="BK11" s="9" t="str">
        <f aca="false">IF(COUNT(AO11:AV11)=8,SUM(AO11:AV11),"")</f>
        <v/>
      </c>
    </row>
    <row r="12" customFormat="false" ht="15" hidden="false" customHeight="false" outlineLevel="0" collapsed="false">
      <c r="A12" s="4" t="s">
        <v>73</v>
      </c>
      <c r="B12" s="5"/>
      <c r="C12" s="6"/>
      <c r="D12" s="7"/>
      <c r="E12" s="7"/>
      <c r="F12" s="7"/>
      <c r="G12" s="6"/>
      <c r="H12" s="7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str">
        <f aca="false">INDEX(Tarjetas!$A$4:$A$59,MOD(3*(VALUE(MID(A12,3,2))-1)+0,ROWS(Tarjetas!$A$4:$A$59))+1)</f>
        <v>S25</v>
      </c>
      <c r="U12" s="8" t="str">
        <f aca="false">INDEX(Tarjetas!$A$4:$A$59,MOD(3*(VALUE(MID(A12,3,2))-1)+1,ROWS(Tarjetas!$A$4:$A$59))+1)</f>
        <v>S26</v>
      </c>
      <c r="V12" s="8" t="str">
        <f aca="false">INDEX(Tarjetas!$A$4:$A$59,MOD(3*(VALUE(MID(A12,3,2))-1)+2,ROWS(Tarjetas!$A$4:$A$59))+1)</f>
        <v>S27</v>
      </c>
      <c r="W12" s="6"/>
      <c r="X12" s="7"/>
      <c r="Y12" s="7"/>
      <c r="Z12" s="7"/>
      <c r="AA12" s="7"/>
      <c r="AB12" s="7"/>
      <c r="AC12" s="6"/>
      <c r="AD12" s="7"/>
      <c r="AE12" s="7"/>
      <c r="AF12" s="7"/>
      <c r="AG12" s="7"/>
      <c r="AH12" s="7"/>
      <c r="AI12" s="6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9" t="str">
        <f aca="false">IF(COUNTA(B12,F12)=0,"",IF(AND(F12="Sí",H12&lt;&gt;"",S12&lt;&gt;"",COUNT(X12,AD12,AJ12)=3,COUNT(AO12:AV12)=8,AW12&lt;&gt;""),"Sí","No"))</f>
        <v/>
      </c>
      <c r="BA12" s="10" t="str">
        <f aca="false">IF(H12="","",IFERROR(INDEX(Parametros!$B$4:$B$9,MATCH(H12,Parametros!$A$4:$A$9,0)),""))</f>
        <v/>
      </c>
      <c r="BB12" s="11" t="str">
        <f aca="false">IF(COUNT(X12,AD12,AJ12)=3,AVERAGE(X12,AD12,AJ12)/60,"")</f>
        <v/>
      </c>
      <c r="BC12" s="11" t="str">
        <f aca="false">IF(AND(ISNUMBER(BA12),ISNUMBER(BB12)),BB12-BA12,"")</f>
        <v/>
      </c>
      <c r="BD12" s="12" t="str">
        <f aca="false">IF(AND(ISNUMBER(BA12),ISNUMBER(BB12)),IF(BA12&gt;0,(BA12-BB12)/BA12,""),"")</f>
        <v/>
      </c>
      <c r="BE12" s="9" t="str">
        <f aca="false">IF(S12="","",S12)</f>
        <v/>
      </c>
      <c r="BF12" s="9" t="str">
        <f aca="false">IF(AW12="","",AW12)</f>
        <v/>
      </c>
      <c r="BG12" s="9" t="str">
        <f aca="false">IF(AND(ISNUMBER(BE12),ISNUMBER(BF12)),BF12-BE12,"")</f>
        <v/>
      </c>
      <c r="BH12" s="9" t="str">
        <f aca="false">IF(COUNTA(Z12,AF12,AL12)=0,"",(Z12="Sí")+(AF12="Sí")+(AL12="Sí"))</f>
        <v/>
      </c>
      <c r="BI12" s="9" t="str">
        <f aca="false">IF(COUNTA(AA12,AG12,AM12)=0,"",(AA12="Sí")+(AG12="Sí")+(AM12="Sí"))</f>
        <v/>
      </c>
      <c r="BJ12" s="9" t="str">
        <f aca="false">IF(COUNTA(AB12,AH12,AN12)=0,"",(AB12="Sí")+(AH12="Sí")+(AN12="Sí"))</f>
        <v/>
      </c>
      <c r="BK12" s="9" t="str">
        <f aca="false">IF(COUNT(AO12:AV12)=8,SUM(AO12:AV12),"")</f>
        <v/>
      </c>
    </row>
    <row r="13" customFormat="false" ht="15" hidden="false" customHeight="false" outlineLevel="0" collapsed="false">
      <c r="A13" s="4" t="s">
        <v>74</v>
      </c>
      <c r="B13" s="5"/>
      <c r="C13" s="6"/>
      <c r="D13" s="7"/>
      <c r="E13" s="7"/>
      <c r="F13" s="7"/>
      <c r="G13" s="6"/>
      <c r="H13" s="7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8" t="str">
        <f aca="false">INDEX(Tarjetas!$A$4:$A$59,MOD(3*(VALUE(MID(A13,3,2))-1)+0,ROWS(Tarjetas!$A$4:$A$59))+1)</f>
        <v>S28</v>
      </c>
      <c r="U13" s="8" t="str">
        <f aca="false">INDEX(Tarjetas!$A$4:$A$59,MOD(3*(VALUE(MID(A13,3,2))-1)+1,ROWS(Tarjetas!$A$4:$A$59))+1)</f>
        <v>S29</v>
      </c>
      <c r="V13" s="8" t="str">
        <f aca="false">INDEX(Tarjetas!$A$4:$A$59,MOD(3*(VALUE(MID(A13,3,2))-1)+2,ROWS(Tarjetas!$A$4:$A$59))+1)</f>
        <v>S30</v>
      </c>
      <c r="W13" s="6"/>
      <c r="X13" s="7"/>
      <c r="Y13" s="7"/>
      <c r="Z13" s="7"/>
      <c r="AA13" s="7"/>
      <c r="AB13" s="7"/>
      <c r="AC13" s="6"/>
      <c r="AD13" s="7"/>
      <c r="AE13" s="7"/>
      <c r="AF13" s="7"/>
      <c r="AG13" s="7"/>
      <c r="AH13" s="7"/>
      <c r="AI13" s="6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6"/>
      <c r="AZ13" s="9" t="str">
        <f aca="false">IF(COUNTA(B13,F13)=0,"",IF(AND(F13="Sí",H13&lt;&gt;"",S13&lt;&gt;"",COUNT(X13,AD13,AJ13)=3,COUNT(AO13:AV13)=8,AW13&lt;&gt;""),"Sí","No"))</f>
        <v/>
      </c>
      <c r="BA13" s="10" t="str">
        <f aca="false">IF(H13="","",IFERROR(INDEX(Parametros!$B$4:$B$9,MATCH(H13,Parametros!$A$4:$A$9,0)),""))</f>
        <v/>
      </c>
      <c r="BB13" s="11" t="str">
        <f aca="false">IF(COUNT(X13,AD13,AJ13)=3,AVERAGE(X13,AD13,AJ13)/60,"")</f>
        <v/>
      </c>
      <c r="BC13" s="11" t="str">
        <f aca="false">IF(AND(ISNUMBER(BA13),ISNUMBER(BB13)),BB13-BA13,"")</f>
        <v/>
      </c>
      <c r="BD13" s="12" t="str">
        <f aca="false">IF(AND(ISNUMBER(BA13),ISNUMBER(BB13)),IF(BA13&gt;0,(BA13-BB13)/BA13,""),"")</f>
        <v/>
      </c>
      <c r="BE13" s="9" t="str">
        <f aca="false">IF(S13="","",S13)</f>
        <v/>
      </c>
      <c r="BF13" s="9" t="str">
        <f aca="false">IF(AW13="","",AW13)</f>
        <v/>
      </c>
      <c r="BG13" s="9" t="str">
        <f aca="false">IF(AND(ISNUMBER(BE13),ISNUMBER(BF13)),BF13-BE13,"")</f>
        <v/>
      </c>
      <c r="BH13" s="9" t="str">
        <f aca="false">IF(COUNTA(Z13,AF13,AL13)=0,"",(Z13="Sí")+(AF13="Sí")+(AL13="Sí"))</f>
        <v/>
      </c>
      <c r="BI13" s="9" t="str">
        <f aca="false">IF(COUNTA(AA13,AG13,AM13)=0,"",(AA13="Sí")+(AG13="Sí")+(AM13="Sí"))</f>
        <v/>
      </c>
      <c r="BJ13" s="9" t="str">
        <f aca="false">IF(COUNTA(AB13,AH13,AN13)=0,"",(AB13="Sí")+(AH13="Sí")+(AN13="Sí"))</f>
        <v/>
      </c>
      <c r="BK13" s="9" t="str">
        <f aca="false">IF(COUNT(AO13:AV13)=8,SUM(AO13:AV13),"")</f>
        <v/>
      </c>
    </row>
    <row r="14" customFormat="false" ht="15" hidden="false" customHeight="false" outlineLevel="0" collapsed="false">
      <c r="A14" s="4" t="s">
        <v>75</v>
      </c>
      <c r="B14" s="5"/>
      <c r="C14" s="6"/>
      <c r="D14" s="7"/>
      <c r="E14" s="7"/>
      <c r="F14" s="7"/>
      <c r="G14" s="6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8" t="str">
        <f aca="false">INDEX(Tarjetas!$A$4:$A$59,MOD(3*(VALUE(MID(A14,3,2))-1)+0,ROWS(Tarjetas!$A$4:$A$59))+1)</f>
        <v>S31</v>
      </c>
      <c r="U14" s="8" t="str">
        <f aca="false">INDEX(Tarjetas!$A$4:$A$59,MOD(3*(VALUE(MID(A14,3,2))-1)+1,ROWS(Tarjetas!$A$4:$A$59))+1)</f>
        <v>S32</v>
      </c>
      <c r="V14" s="8" t="str">
        <f aca="false">INDEX(Tarjetas!$A$4:$A$59,MOD(3*(VALUE(MID(A14,3,2))-1)+2,ROWS(Tarjetas!$A$4:$A$59))+1)</f>
        <v>S33</v>
      </c>
      <c r="W14" s="6"/>
      <c r="X14" s="7"/>
      <c r="Y14" s="7"/>
      <c r="Z14" s="7"/>
      <c r="AA14" s="7"/>
      <c r="AB14" s="7"/>
      <c r="AC14" s="6"/>
      <c r="AD14" s="7"/>
      <c r="AE14" s="7"/>
      <c r="AF14" s="7"/>
      <c r="AG14" s="7"/>
      <c r="AH14" s="7"/>
      <c r="AI14" s="6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9" t="str">
        <f aca="false">IF(COUNTA(B14,F14)=0,"",IF(AND(F14="Sí",H14&lt;&gt;"",S14&lt;&gt;"",COUNT(X14,AD14,AJ14)=3,COUNT(AO14:AV14)=8,AW14&lt;&gt;""),"Sí","No"))</f>
        <v/>
      </c>
      <c r="BA14" s="10" t="str">
        <f aca="false">IF(H14="","",IFERROR(INDEX(Parametros!$B$4:$B$9,MATCH(H14,Parametros!$A$4:$A$9,0)),""))</f>
        <v/>
      </c>
      <c r="BB14" s="11" t="str">
        <f aca="false">IF(COUNT(X14,AD14,AJ14)=3,AVERAGE(X14,AD14,AJ14)/60,"")</f>
        <v/>
      </c>
      <c r="BC14" s="11" t="str">
        <f aca="false">IF(AND(ISNUMBER(BA14),ISNUMBER(BB14)),BB14-BA14,"")</f>
        <v/>
      </c>
      <c r="BD14" s="12" t="str">
        <f aca="false">IF(AND(ISNUMBER(BA14),ISNUMBER(BB14)),IF(BA14&gt;0,(BA14-BB14)/BA14,""),"")</f>
        <v/>
      </c>
      <c r="BE14" s="9" t="str">
        <f aca="false">IF(S14="","",S14)</f>
        <v/>
      </c>
      <c r="BF14" s="9" t="str">
        <f aca="false">IF(AW14="","",AW14)</f>
        <v/>
      </c>
      <c r="BG14" s="9" t="str">
        <f aca="false">IF(AND(ISNUMBER(BE14),ISNUMBER(BF14)),BF14-BE14,"")</f>
        <v/>
      </c>
      <c r="BH14" s="9" t="str">
        <f aca="false">IF(COUNTA(Z14,AF14,AL14)=0,"",(Z14="Sí")+(AF14="Sí")+(AL14="Sí"))</f>
        <v/>
      </c>
      <c r="BI14" s="9" t="str">
        <f aca="false">IF(COUNTA(AA14,AG14,AM14)=0,"",(AA14="Sí")+(AG14="Sí")+(AM14="Sí"))</f>
        <v/>
      </c>
      <c r="BJ14" s="9" t="str">
        <f aca="false">IF(COUNTA(AB14,AH14,AN14)=0,"",(AB14="Sí")+(AH14="Sí")+(AN14="Sí"))</f>
        <v/>
      </c>
      <c r="BK14" s="9" t="str">
        <f aca="false">IF(COUNT(AO14:AV14)=8,SUM(AO14:AV14),"")</f>
        <v/>
      </c>
    </row>
    <row r="15" customFormat="false" ht="15" hidden="false" customHeight="false" outlineLevel="0" collapsed="false">
      <c r="A15" s="4" t="s">
        <v>76</v>
      </c>
      <c r="B15" s="5"/>
      <c r="C15" s="6"/>
      <c r="D15" s="7"/>
      <c r="E15" s="7"/>
      <c r="F15" s="7"/>
      <c r="G15" s="6"/>
      <c r="H15" s="7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8" t="str">
        <f aca="false">INDEX(Tarjetas!$A$4:$A$59,MOD(3*(VALUE(MID(A15,3,2))-1)+0,ROWS(Tarjetas!$A$4:$A$59))+1)</f>
        <v>S34</v>
      </c>
      <c r="U15" s="8" t="str">
        <f aca="false">INDEX(Tarjetas!$A$4:$A$59,MOD(3*(VALUE(MID(A15,3,2))-1)+1,ROWS(Tarjetas!$A$4:$A$59))+1)</f>
        <v>S35</v>
      </c>
      <c r="V15" s="8" t="str">
        <f aca="false">INDEX(Tarjetas!$A$4:$A$59,MOD(3*(VALUE(MID(A15,3,2))-1)+2,ROWS(Tarjetas!$A$4:$A$59))+1)</f>
        <v>S36</v>
      </c>
      <c r="W15" s="6"/>
      <c r="X15" s="7"/>
      <c r="Y15" s="7"/>
      <c r="Z15" s="7"/>
      <c r="AA15" s="7"/>
      <c r="AB15" s="7"/>
      <c r="AC15" s="6"/>
      <c r="AD15" s="7"/>
      <c r="AE15" s="7"/>
      <c r="AF15" s="7"/>
      <c r="AG15" s="7"/>
      <c r="AH15" s="7"/>
      <c r="AI15" s="6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6"/>
      <c r="AZ15" s="9" t="str">
        <f aca="false">IF(COUNTA(B15,F15)=0,"",IF(AND(F15="Sí",H15&lt;&gt;"",S15&lt;&gt;"",COUNT(X15,AD15,AJ15)=3,COUNT(AO15:AV15)=8,AW15&lt;&gt;""),"Sí","No"))</f>
        <v/>
      </c>
      <c r="BA15" s="10" t="str">
        <f aca="false">IF(H15="","",IFERROR(INDEX(Parametros!$B$4:$B$9,MATCH(H15,Parametros!$A$4:$A$9,0)),""))</f>
        <v/>
      </c>
      <c r="BB15" s="11" t="str">
        <f aca="false">IF(COUNT(X15,AD15,AJ15)=3,AVERAGE(X15,AD15,AJ15)/60,"")</f>
        <v/>
      </c>
      <c r="BC15" s="11" t="str">
        <f aca="false">IF(AND(ISNUMBER(BA15),ISNUMBER(BB15)),BB15-BA15,"")</f>
        <v/>
      </c>
      <c r="BD15" s="12" t="str">
        <f aca="false">IF(AND(ISNUMBER(BA15),ISNUMBER(BB15)),IF(BA15&gt;0,(BA15-BB15)/BA15,""),"")</f>
        <v/>
      </c>
      <c r="BE15" s="9" t="str">
        <f aca="false">IF(S15="","",S15)</f>
        <v/>
      </c>
      <c r="BF15" s="9" t="str">
        <f aca="false">IF(AW15="","",AW15)</f>
        <v/>
      </c>
      <c r="BG15" s="9" t="str">
        <f aca="false">IF(AND(ISNUMBER(BE15),ISNUMBER(BF15)),BF15-BE15,"")</f>
        <v/>
      </c>
      <c r="BH15" s="9" t="str">
        <f aca="false">IF(COUNTA(Z15,AF15,AL15)=0,"",(Z15="Sí")+(AF15="Sí")+(AL15="Sí"))</f>
        <v/>
      </c>
      <c r="BI15" s="9" t="str">
        <f aca="false">IF(COUNTA(AA15,AG15,AM15)=0,"",(AA15="Sí")+(AG15="Sí")+(AM15="Sí"))</f>
        <v/>
      </c>
      <c r="BJ15" s="9" t="str">
        <f aca="false">IF(COUNTA(AB15,AH15,AN15)=0,"",(AB15="Sí")+(AH15="Sí")+(AN15="Sí"))</f>
        <v/>
      </c>
      <c r="BK15" s="9" t="str">
        <f aca="false">IF(COUNT(AO15:AV15)=8,SUM(AO15:AV15),"")</f>
        <v/>
      </c>
    </row>
    <row r="16" customFormat="false" ht="15" hidden="false" customHeight="false" outlineLevel="0" collapsed="false">
      <c r="A16" s="4" t="s">
        <v>77</v>
      </c>
      <c r="B16" s="5"/>
      <c r="C16" s="6"/>
      <c r="D16" s="7"/>
      <c r="E16" s="7"/>
      <c r="F16" s="7"/>
      <c r="G16" s="6"/>
      <c r="H16" s="7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8" t="str">
        <f aca="false">INDEX(Tarjetas!$A$4:$A$59,MOD(3*(VALUE(MID(A16,3,2))-1)+0,ROWS(Tarjetas!$A$4:$A$59))+1)</f>
        <v>S37</v>
      </c>
      <c r="U16" s="8" t="str">
        <f aca="false">INDEX(Tarjetas!$A$4:$A$59,MOD(3*(VALUE(MID(A16,3,2))-1)+1,ROWS(Tarjetas!$A$4:$A$59))+1)</f>
        <v>S38</v>
      </c>
      <c r="V16" s="8" t="str">
        <f aca="false">INDEX(Tarjetas!$A$4:$A$59,MOD(3*(VALUE(MID(A16,3,2))-1)+2,ROWS(Tarjetas!$A$4:$A$59))+1)</f>
        <v>S39</v>
      </c>
      <c r="W16" s="6"/>
      <c r="X16" s="7"/>
      <c r="Y16" s="7"/>
      <c r="Z16" s="7"/>
      <c r="AA16" s="7"/>
      <c r="AB16" s="7"/>
      <c r="AC16" s="6"/>
      <c r="AD16" s="7"/>
      <c r="AE16" s="7"/>
      <c r="AF16" s="7"/>
      <c r="AG16" s="7"/>
      <c r="AH16" s="7"/>
      <c r="AI16" s="6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6"/>
      <c r="AZ16" s="9" t="str">
        <f aca="false">IF(COUNTA(B16,F16)=0,"",IF(AND(F16="Sí",H16&lt;&gt;"",S16&lt;&gt;"",COUNT(X16,AD16,AJ16)=3,COUNT(AO16:AV16)=8,AW16&lt;&gt;""),"Sí","No"))</f>
        <v/>
      </c>
      <c r="BA16" s="10" t="str">
        <f aca="false">IF(H16="","",IFERROR(INDEX(Parametros!$B$4:$B$9,MATCH(H16,Parametros!$A$4:$A$9,0)),""))</f>
        <v/>
      </c>
      <c r="BB16" s="11" t="str">
        <f aca="false">IF(COUNT(X16,AD16,AJ16)=3,AVERAGE(X16,AD16,AJ16)/60,"")</f>
        <v/>
      </c>
      <c r="BC16" s="11" t="str">
        <f aca="false">IF(AND(ISNUMBER(BA16),ISNUMBER(BB16)),BB16-BA16,"")</f>
        <v/>
      </c>
      <c r="BD16" s="12" t="str">
        <f aca="false">IF(AND(ISNUMBER(BA16),ISNUMBER(BB16)),IF(BA16&gt;0,(BA16-BB16)/BA16,""),"")</f>
        <v/>
      </c>
      <c r="BE16" s="9" t="str">
        <f aca="false">IF(S16="","",S16)</f>
        <v/>
      </c>
      <c r="BF16" s="9" t="str">
        <f aca="false">IF(AW16="","",AW16)</f>
        <v/>
      </c>
      <c r="BG16" s="9" t="str">
        <f aca="false">IF(AND(ISNUMBER(BE16),ISNUMBER(BF16)),BF16-BE16,"")</f>
        <v/>
      </c>
      <c r="BH16" s="9" t="str">
        <f aca="false">IF(COUNTA(Z16,AF16,AL16)=0,"",(Z16="Sí")+(AF16="Sí")+(AL16="Sí"))</f>
        <v/>
      </c>
      <c r="BI16" s="9" t="str">
        <f aca="false">IF(COUNTA(AA16,AG16,AM16)=0,"",(AA16="Sí")+(AG16="Sí")+(AM16="Sí"))</f>
        <v/>
      </c>
      <c r="BJ16" s="9" t="str">
        <f aca="false">IF(COUNTA(AB16,AH16,AN16)=0,"",(AB16="Sí")+(AH16="Sí")+(AN16="Sí"))</f>
        <v/>
      </c>
      <c r="BK16" s="9" t="str">
        <f aca="false">IF(COUNT(AO16:AV16)=8,SUM(AO16:AV16),"")</f>
        <v/>
      </c>
    </row>
    <row r="17" customFormat="false" ht="15" hidden="false" customHeight="false" outlineLevel="0" collapsed="false">
      <c r="A17" s="4" t="s">
        <v>78</v>
      </c>
      <c r="B17" s="5"/>
      <c r="C17" s="6"/>
      <c r="D17" s="7"/>
      <c r="E17" s="7"/>
      <c r="F17" s="7"/>
      <c r="G17" s="6"/>
      <c r="H17" s="7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8" t="str">
        <f aca="false">INDEX(Tarjetas!$A$4:$A$59,MOD(3*(VALUE(MID(A17,3,2))-1)+0,ROWS(Tarjetas!$A$4:$A$59))+1)</f>
        <v>S40</v>
      </c>
      <c r="U17" s="8" t="str">
        <f aca="false">INDEX(Tarjetas!$A$4:$A$59,MOD(3*(VALUE(MID(A17,3,2))-1)+1,ROWS(Tarjetas!$A$4:$A$59))+1)</f>
        <v>S41</v>
      </c>
      <c r="V17" s="8" t="str">
        <f aca="false">INDEX(Tarjetas!$A$4:$A$59,MOD(3*(VALUE(MID(A17,3,2))-1)+2,ROWS(Tarjetas!$A$4:$A$59))+1)</f>
        <v>S42</v>
      </c>
      <c r="W17" s="6"/>
      <c r="X17" s="7"/>
      <c r="Y17" s="7"/>
      <c r="Z17" s="7"/>
      <c r="AA17" s="7"/>
      <c r="AB17" s="7"/>
      <c r="AC17" s="6"/>
      <c r="AD17" s="7"/>
      <c r="AE17" s="7"/>
      <c r="AF17" s="7"/>
      <c r="AG17" s="7"/>
      <c r="AH17" s="7"/>
      <c r="AI17" s="6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6"/>
      <c r="AZ17" s="9" t="str">
        <f aca="false">IF(COUNTA(B17,F17)=0,"",IF(AND(F17="Sí",H17&lt;&gt;"",S17&lt;&gt;"",COUNT(X17,AD17,AJ17)=3,COUNT(AO17:AV17)=8,AW17&lt;&gt;""),"Sí","No"))</f>
        <v/>
      </c>
      <c r="BA17" s="10" t="str">
        <f aca="false">IF(H17="","",IFERROR(INDEX(Parametros!$B$4:$B$9,MATCH(H17,Parametros!$A$4:$A$9,0)),""))</f>
        <v/>
      </c>
      <c r="BB17" s="11" t="str">
        <f aca="false">IF(COUNT(X17,AD17,AJ17)=3,AVERAGE(X17,AD17,AJ17)/60,"")</f>
        <v/>
      </c>
      <c r="BC17" s="11" t="str">
        <f aca="false">IF(AND(ISNUMBER(BA17),ISNUMBER(BB17)),BB17-BA17,"")</f>
        <v/>
      </c>
      <c r="BD17" s="12" t="str">
        <f aca="false">IF(AND(ISNUMBER(BA17),ISNUMBER(BB17)),IF(BA17&gt;0,(BA17-BB17)/BA17,""),"")</f>
        <v/>
      </c>
      <c r="BE17" s="9" t="str">
        <f aca="false">IF(S17="","",S17)</f>
        <v/>
      </c>
      <c r="BF17" s="9" t="str">
        <f aca="false">IF(AW17="","",AW17)</f>
        <v/>
      </c>
      <c r="BG17" s="9" t="str">
        <f aca="false">IF(AND(ISNUMBER(BE17),ISNUMBER(BF17)),BF17-BE17,"")</f>
        <v/>
      </c>
      <c r="BH17" s="9" t="str">
        <f aca="false">IF(COUNTA(Z17,AF17,AL17)=0,"",(Z17="Sí")+(AF17="Sí")+(AL17="Sí"))</f>
        <v/>
      </c>
      <c r="BI17" s="9" t="str">
        <f aca="false">IF(COUNTA(AA17,AG17,AM17)=0,"",(AA17="Sí")+(AG17="Sí")+(AM17="Sí"))</f>
        <v/>
      </c>
      <c r="BJ17" s="9" t="str">
        <f aca="false">IF(COUNTA(AB17,AH17,AN17)=0,"",(AB17="Sí")+(AH17="Sí")+(AN17="Sí"))</f>
        <v/>
      </c>
      <c r="BK17" s="9" t="str">
        <f aca="false">IF(COUNT(AO17:AV17)=8,SUM(AO17:AV17),"")</f>
        <v/>
      </c>
    </row>
    <row r="18" customFormat="false" ht="15" hidden="false" customHeight="false" outlineLevel="0" collapsed="false">
      <c r="A18" s="4" t="s">
        <v>79</v>
      </c>
      <c r="B18" s="5"/>
      <c r="C18" s="6"/>
      <c r="D18" s="7"/>
      <c r="E18" s="7"/>
      <c r="F18" s="7"/>
      <c r="G18" s="6"/>
      <c r="H18" s="7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8" t="str">
        <f aca="false">INDEX(Tarjetas!$A$4:$A$59,MOD(3*(VALUE(MID(A18,3,2))-1)+0,ROWS(Tarjetas!$A$4:$A$59))+1)</f>
        <v>S43</v>
      </c>
      <c r="U18" s="8" t="str">
        <f aca="false">INDEX(Tarjetas!$A$4:$A$59,MOD(3*(VALUE(MID(A18,3,2))-1)+1,ROWS(Tarjetas!$A$4:$A$59))+1)</f>
        <v>S44</v>
      </c>
      <c r="V18" s="8" t="str">
        <f aca="false">INDEX(Tarjetas!$A$4:$A$59,MOD(3*(VALUE(MID(A18,3,2))-1)+2,ROWS(Tarjetas!$A$4:$A$59))+1)</f>
        <v>S45</v>
      </c>
      <c r="W18" s="6"/>
      <c r="X18" s="7"/>
      <c r="Y18" s="7"/>
      <c r="Z18" s="7"/>
      <c r="AA18" s="7"/>
      <c r="AB18" s="7"/>
      <c r="AC18" s="6"/>
      <c r="AD18" s="7"/>
      <c r="AE18" s="7"/>
      <c r="AF18" s="7"/>
      <c r="AG18" s="7"/>
      <c r="AH18" s="7"/>
      <c r="AI18" s="6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6"/>
      <c r="AZ18" s="9" t="str">
        <f aca="false">IF(COUNTA(B18,F18)=0,"",IF(AND(F18="Sí",H18&lt;&gt;"",S18&lt;&gt;"",COUNT(X18,AD18,AJ18)=3,COUNT(AO18:AV18)=8,AW18&lt;&gt;""),"Sí","No"))</f>
        <v/>
      </c>
      <c r="BA18" s="10" t="str">
        <f aca="false">IF(H18="","",IFERROR(INDEX(Parametros!$B$4:$B$9,MATCH(H18,Parametros!$A$4:$A$9,0)),""))</f>
        <v/>
      </c>
      <c r="BB18" s="11" t="str">
        <f aca="false">IF(COUNT(X18,AD18,AJ18)=3,AVERAGE(X18,AD18,AJ18)/60,"")</f>
        <v/>
      </c>
      <c r="BC18" s="11" t="str">
        <f aca="false">IF(AND(ISNUMBER(BA18),ISNUMBER(BB18)),BB18-BA18,"")</f>
        <v/>
      </c>
      <c r="BD18" s="12" t="str">
        <f aca="false">IF(AND(ISNUMBER(BA18),ISNUMBER(BB18)),IF(BA18&gt;0,(BA18-BB18)/BA18,""),"")</f>
        <v/>
      </c>
      <c r="BE18" s="9" t="str">
        <f aca="false">IF(S18="","",S18)</f>
        <v/>
      </c>
      <c r="BF18" s="9" t="str">
        <f aca="false">IF(AW18="","",AW18)</f>
        <v/>
      </c>
      <c r="BG18" s="9" t="str">
        <f aca="false">IF(AND(ISNUMBER(BE18),ISNUMBER(BF18)),BF18-BE18,"")</f>
        <v/>
      </c>
      <c r="BH18" s="9" t="str">
        <f aca="false">IF(COUNTA(Z18,AF18,AL18)=0,"",(Z18="Sí")+(AF18="Sí")+(AL18="Sí"))</f>
        <v/>
      </c>
      <c r="BI18" s="9" t="str">
        <f aca="false">IF(COUNTA(AA18,AG18,AM18)=0,"",(AA18="Sí")+(AG18="Sí")+(AM18="Sí"))</f>
        <v/>
      </c>
      <c r="BJ18" s="9" t="str">
        <f aca="false">IF(COUNTA(AB18,AH18,AN18)=0,"",(AB18="Sí")+(AH18="Sí")+(AN18="Sí"))</f>
        <v/>
      </c>
      <c r="BK18" s="9" t="str">
        <f aca="false">IF(COUNT(AO18:AV18)=8,SUM(AO18:AV18),"")</f>
        <v/>
      </c>
    </row>
    <row r="19" customFormat="false" ht="15" hidden="false" customHeight="false" outlineLevel="0" collapsed="false">
      <c r="A19" s="4" t="s">
        <v>80</v>
      </c>
      <c r="B19" s="5"/>
      <c r="C19" s="6"/>
      <c r="D19" s="7"/>
      <c r="E19" s="7"/>
      <c r="F19" s="7"/>
      <c r="G19" s="6"/>
      <c r="H19" s="7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8" t="str">
        <f aca="false">INDEX(Tarjetas!$A$4:$A$59,MOD(3*(VALUE(MID(A19,3,2))-1)+0,ROWS(Tarjetas!$A$4:$A$59))+1)</f>
        <v>S46</v>
      </c>
      <c r="U19" s="8" t="str">
        <f aca="false">INDEX(Tarjetas!$A$4:$A$59,MOD(3*(VALUE(MID(A19,3,2))-1)+1,ROWS(Tarjetas!$A$4:$A$59))+1)</f>
        <v>S47</v>
      </c>
      <c r="V19" s="8" t="str">
        <f aca="false">INDEX(Tarjetas!$A$4:$A$59,MOD(3*(VALUE(MID(A19,3,2))-1)+2,ROWS(Tarjetas!$A$4:$A$59))+1)</f>
        <v>S48</v>
      </c>
      <c r="W19" s="6"/>
      <c r="X19" s="7"/>
      <c r="Y19" s="7"/>
      <c r="Z19" s="7"/>
      <c r="AA19" s="7"/>
      <c r="AB19" s="7"/>
      <c r="AC19" s="6"/>
      <c r="AD19" s="7"/>
      <c r="AE19" s="7"/>
      <c r="AF19" s="7"/>
      <c r="AG19" s="7"/>
      <c r="AH19" s="7"/>
      <c r="AI19" s="6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6"/>
      <c r="AZ19" s="9" t="str">
        <f aca="false">IF(COUNTA(B19,F19)=0,"",IF(AND(F19="Sí",H19&lt;&gt;"",S19&lt;&gt;"",COUNT(X19,AD19,AJ19)=3,COUNT(AO19:AV19)=8,AW19&lt;&gt;""),"Sí","No"))</f>
        <v/>
      </c>
      <c r="BA19" s="10" t="str">
        <f aca="false">IF(H19="","",IFERROR(INDEX(Parametros!$B$4:$B$9,MATCH(H19,Parametros!$A$4:$A$9,0)),""))</f>
        <v/>
      </c>
      <c r="BB19" s="11" t="str">
        <f aca="false">IF(COUNT(X19,AD19,AJ19)=3,AVERAGE(X19,AD19,AJ19)/60,"")</f>
        <v/>
      </c>
      <c r="BC19" s="11" t="str">
        <f aca="false">IF(AND(ISNUMBER(BA19),ISNUMBER(BB19)),BB19-BA19,"")</f>
        <v/>
      </c>
      <c r="BD19" s="12" t="str">
        <f aca="false">IF(AND(ISNUMBER(BA19),ISNUMBER(BB19)),IF(BA19&gt;0,(BA19-BB19)/BA19,""),"")</f>
        <v/>
      </c>
      <c r="BE19" s="9" t="str">
        <f aca="false">IF(S19="","",S19)</f>
        <v/>
      </c>
      <c r="BF19" s="9" t="str">
        <f aca="false">IF(AW19="","",AW19)</f>
        <v/>
      </c>
      <c r="BG19" s="9" t="str">
        <f aca="false">IF(AND(ISNUMBER(BE19),ISNUMBER(BF19)),BF19-BE19,"")</f>
        <v/>
      </c>
      <c r="BH19" s="9" t="str">
        <f aca="false">IF(COUNTA(Z19,AF19,AL19)=0,"",(Z19="Sí")+(AF19="Sí")+(AL19="Sí"))</f>
        <v/>
      </c>
      <c r="BI19" s="9" t="str">
        <f aca="false">IF(COUNTA(AA19,AG19,AM19)=0,"",(AA19="Sí")+(AG19="Sí")+(AM19="Sí"))</f>
        <v/>
      </c>
      <c r="BJ19" s="9" t="str">
        <f aca="false">IF(COUNTA(AB19,AH19,AN19)=0,"",(AB19="Sí")+(AH19="Sí")+(AN19="Sí"))</f>
        <v/>
      </c>
      <c r="BK19" s="9" t="str">
        <f aca="false">IF(COUNT(AO19:AV19)=8,SUM(AO19:AV19),"")</f>
        <v/>
      </c>
    </row>
    <row r="20" customFormat="false" ht="15" hidden="false" customHeight="false" outlineLevel="0" collapsed="false">
      <c r="A20" s="4" t="s">
        <v>81</v>
      </c>
      <c r="B20" s="5"/>
      <c r="C20" s="6"/>
      <c r="D20" s="7"/>
      <c r="E20" s="7"/>
      <c r="F20" s="7"/>
      <c r="G20" s="6"/>
      <c r="H20" s="7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8" t="str">
        <f aca="false">INDEX(Tarjetas!$A$4:$A$59,MOD(3*(VALUE(MID(A20,3,2))-1)+0,ROWS(Tarjetas!$A$4:$A$59))+1)</f>
        <v>S49</v>
      </c>
      <c r="U20" s="8" t="str">
        <f aca="false">INDEX(Tarjetas!$A$4:$A$59,MOD(3*(VALUE(MID(A20,3,2))-1)+1,ROWS(Tarjetas!$A$4:$A$59))+1)</f>
        <v>S50</v>
      </c>
      <c r="V20" s="8" t="str">
        <f aca="false">INDEX(Tarjetas!$A$4:$A$59,MOD(3*(VALUE(MID(A20,3,2))-1)+2,ROWS(Tarjetas!$A$4:$A$59))+1)</f>
        <v>S51</v>
      </c>
      <c r="W20" s="6"/>
      <c r="X20" s="7"/>
      <c r="Y20" s="7"/>
      <c r="Z20" s="7"/>
      <c r="AA20" s="7"/>
      <c r="AB20" s="7"/>
      <c r="AC20" s="6"/>
      <c r="AD20" s="7"/>
      <c r="AE20" s="7"/>
      <c r="AF20" s="7"/>
      <c r="AG20" s="7"/>
      <c r="AH20" s="7"/>
      <c r="AI20" s="6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6"/>
      <c r="AZ20" s="9" t="str">
        <f aca="false">IF(COUNTA(B20,F20)=0,"",IF(AND(F20="Sí",H20&lt;&gt;"",S20&lt;&gt;"",COUNT(X20,AD20,AJ20)=3,COUNT(AO20:AV20)=8,AW20&lt;&gt;""),"Sí","No"))</f>
        <v/>
      </c>
      <c r="BA20" s="10" t="str">
        <f aca="false">IF(H20="","",IFERROR(INDEX(Parametros!$B$4:$B$9,MATCH(H20,Parametros!$A$4:$A$9,0)),""))</f>
        <v/>
      </c>
      <c r="BB20" s="11" t="str">
        <f aca="false">IF(COUNT(X20,AD20,AJ20)=3,AVERAGE(X20,AD20,AJ20)/60,"")</f>
        <v/>
      </c>
      <c r="BC20" s="11" t="str">
        <f aca="false">IF(AND(ISNUMBER(BA20),ISNUMBER(BB20)),BB20-BA20,"")</f>
        <v/>
      </c>
      <c r="BD20" s="12" t="str">
        <f aca="false">IF(AND(ISNUMBER(BA20),ISNUMBER(BB20)),IF(BA20&gt;0,(BA20-BB20)/BA20,""),"")</f>
        <v/>
      </c>
      <c r="BE20" s="9" t="str">
        <f aca="false">IF(S20="","",S20)</f>
        <v/>
      </c>
      <c r="BF20" s="9" t="str">
        <f aca="false">IF(AW20="","",AW20)</f>
        <v/>
      </c>
      <c r="BG20" s="9" t="str">
        <f aca="false">IF(AND(ISNUMBER(BE20),ISNUMBER(BF20)),BF20-BE20,"")</f>
        <v/>
      </c>
      <c r="BH20" s="9" t="str">
        <f aca="false">IF(COUNTA(Z20,AF20,AL20)=0,"",(Z20="Sí")+(AF20="Sí")+(AL20="Sí"))</f>
        <v/>
      </c>
      <c r="BI20" s="9" t="str">
        <f aca="false">IF(COUNTA(AA20,AG20,AM20)=0,"",(AA20="Sí")+(AG20="Sí")+(AM20="Sí"))</f>
        <v/>
      </c>
      <c r="BJ20" s="9" t="str">
        <f aca="false">IF(COUNTA(AB20,AH20,AN20)=0,"",(AB20="Sí")+(AH20="Sí")+(AN20="Sí"))</f>
        <v/>
      </c>
      <c r="BK20" s="9" t="str">
        <f aca="false">IF(COUNT(AO20:AV20)=8,SUM(AO20:AV20),"")</f>
        <v/>
      </c>
    </row>
    <row r="21" customFormat="false" ht="15" hidden="false" customHeight="false" outlineLevel="0" collapsed="false">
      <c r="A21" s="4" t="s">
        <v>82</v>
      </c>
      <c r="B21" s="5"/>
      <c r="C21" s="6"/>
      <c r="D21" s="7"/>
      <c r="E21" s="7"/>
      <c r="F21" s="7"/>
      <c r="G21" s="6"/>
      <c r="H21" s="7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8" t="str">
        <f aca="false">INDEX(Tarjetas!$A$4:$A$59,MOD(3*(VALUE(MID(A21,3,2))-1)+0,ROWS(Tarjetas!$A$4:$A$59))+1)</f>
        <v>S52</v>
      </c>
      <c r="U21" s="8" t="str">
        <f aca="false">INDEX(Tarjetas!$A$4:$A$59,MOD(3*(VALUE(MID(A21,3,2))-1)+1,ROWS(Tarjetas!$A$4:$A$59))+1)</f>
        <v>S53</v>
      </c>
      <c r="V21" s="8" t="str">
        <f aca="false">INDEX(Tarjetas!$A$4:$A$59,MOD(3*(VALUE(MID(A21,3,2))-1)+2,ROWS(Tarjetas!$A$4:$A$59))+1)</f>
        <v>S54</v>
      </c>
      <c r="W21" s="6"/>
      <c r="X21" s="7"/>
      <c r="Y21" s="7"/>
      <c r="Z21" s="7"/>
      <c r="AA21" s="7"/>
      <c r="AB21" s="7"/>
      <c r="AC21" s="6"/>
      <c r="AD21" s="7"/>
      <c r="AE21" s="7"/>
      <c r="AF21" s="7"/>
      <c r="AG21" s="7"/>
      <c r="AH21" s="7"/>
      <c r="AI21" s="6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6"/>
      <c r="AZ21" s="9" t="str">
        <f aca="false">IF(COUNTA(B21,F21)=0,"",IF(AND(F21="Sí",H21&lt;&gt;"",S21&lt;&gt;"",COUNT(X21,AD21,AJ21)=3,COUNT(AO21:AV21)=8,AW21&lt;&gt;""),"Sí","No"))</f>
        <v/>
      </c>
      <c r="BA21" s="10" t="str">
        <f aca="false">IF(H21="","",IFERROR(INDEX(Parametros!$B$4:$B$9,MATCH(H21,Parametros!$A$4:$A$9,0)),""))</f>
        <v/>
      </c>
      <c r="BB21" s="11" t="str">
        <f aca="false">IF(COUNT(X21,AD21,AJ21)=3,AVERAGE(X21,AD21,AJ21)/60,"")</f>
        <v/>
      </c>
      <c r="BC21" s="11" t="str">
        <f aca="false">IF(AND(ISNUMBER(BA21),ISNUMBER(BB21)),BB21-BA21,"")</f>
        <v/>
      </c>
      <c r="BD21" s="12" t="str">
        <f aca="false">IF(AND(ISNUMBER(BA21),ISNUMBER(BB21)),IF(BA21&gt;0,(BA21-BB21)/BA21,""),"")</f>
        <v/>
      </c>
      <c r="BE21" s="9" t="str">
        <f aca="false">IF(S21="","",S21)</f>
        <v/>
      </c>
      <c r="BF21" s="9" t="str">
        <f aca="false">IF(AW21="","",AW21)</f>
        <v/>
      </c>
      <c r="BG21" s="9" t="str">
        <f aca="false">IF(AND(ISNUMBER(BE21),ISNUMBER(BF21)),BF21-BE21,"")</f>
        <v/>
      </c>
      <c r="BH21" s="9" t="str">
        <f aca="false">IF(COUNTA(Z21,AF21,AL21)=0,"",(Z21="Sí")+(AF21="Sí")+(AL21="Sí"))</f>
        <v/>
      </c>
      <c r="BI21" s="9" t="str">
        <f aca="false">IF(COUNTA(AA21,AG21,AM21)=0,"",(AA21="Sí")+(AG21="Sí")+(AM21="Sí"))</f>
        <v/>
      </c>
      <c r="BJ21" s="9" t="str">
        <f aca="false">IF(COUNTA(AB21,AH21,AN21)=0,"",(AB21="Sí")+(AH21="Sí")+(AN21="Sí"))</f>
        <v/>
      </c>
      <c r="BK21" s="9" t="str">
        <f aca="false">IF(COUNT(AO21:AV21)=8,SUM(AO21:AV21),"")</f>
        <v/>
      </c>
    </row>
    <row r="22" customFormat="false" ht="15" hidden="false" customHeight="false" outlineLevel="0" collapsed="false">
      <c r="A22" s="4" t="s">
        <v>83</v>
      </c>
      <c r="B22" s="5"/>
      <c r="C22" s="6"/>
      <c r="D22" s="7"/>
      <c r="E22" s="7"/>
      <c r="F22" s="7"/>
      <c r="G22" s="6"/>
      <c r="H22" s="7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8" t="str">
        <f aca="false">INDEX(Tarjetas!$A$4:$A$59,MOD(3*(VALUE(MID(A22,3,2))-1)+0,ROWS(Tarjetas!$A$4:$A$59))+1)</f>
        <v>S55</v>
      </c>
      <c r="U22" s="8" t="str">
        <f aca="false">INDEX(Tarjetas!$A$4:$A$59,MOD(3*(VALUE(MID(A22,3,2))-1)+1,ROWS(Tarjetas!$A$4:$A$59))+1)</f>
        <v>S56</v>
      </c>
      <c r="V22" s="8" t="str">
        <f aca="false">INDEX(Tarjetas!$A$4:$A$59,MOD(3*(VALUE(MID(A22,3,2))-1)+2,ROWS(Tarjetas!$A$4:$A$59))+1)</f>
        <v>S01</v>
      </c>
      <c r="W22" s="6"/>
      <c r="X22" s="7"/>
      <c r="Y22" s="7"/>
      <c r="Z22" s="7"/>
      <c r="AA22" s="7"/>
      <c r="AB22" s="7"/>
      <c r="AC22" s="6"/>
      <c r="AD22" s="7"/>
      <c r="AE22" s="7"/>
      <c r="AF22" s="7"/>
      <c r="AG22" s="7"/>
      <c r="AH22" s="7"/>
      <c r="AI22" s="6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6"/>
      <c r="AZ22" s="9" t="str">
        <f aca="false">IF(COUNTA(B22,F22)=0,"",IF(AND(F22="Sí",H22&lt;&gt;"",S22&lt;&gt;"",COUNT(X22,AD22,AJ22)=3,COUNT(AO22:AV22)=8,AW22&lt;&gt;""),"Sí","No"))</f>
        <v/>
      </c>
      <c r="BA22" s="10" t="str">
        <f aca="false">IF(H22="","",IFERROR(INDEX(Parametros!$B$4:$B$9,MATCH(H22,Parametros!$A$4:$A$9,0)),""))</f>
        <v/>
      </c>
      <c r="BB22" s="11" t="str">
        <f aca="false">IF(COUNT(X22,AD22,AJ22)=3,AVERAGE(X22,AD22,AJ22)/60,"")</f>
        <v/>
      </c>
      <c r="BC22" s="11" t="str">
        <f aca="false">IF(AND(ISNUMBER(BA22),ISNUMBER(BB22)),BB22-BA22,"")</f>
        <v/>
      </c>
      <c r="BD22" s="12" t="str">
        <f aca="false">IF(AND(ISNUMBER(BA22),ISNUMBER(BB22)),IF(BA22&gt;0,(BA22-BB22)/BA22,""),"")</f>
        <v/>
      </c>
      <c r="BE22" s="9" t="str">
        <f aca="false">IF(S22="","",S22)</f>
        <v/>
      </c>
      <c r="BF22" s="9" t="str">
        <f aca="false">IF(AW22="","",AW22)</f>
        <v/>
      </c>
      <c r="BG22" s="9" t="str">
        <f aca="false">IF(AND(ISNUMBER(BE22),ISNUMBER(BF22)),BF22-BE22,"")</f>
        <v/>
      </c>
      <c r="BH22" s="9" t="str">
        <f aca="false">IF(COUNTA(Z22,AF22,AL22)=0,"",(Z22="Sí")+(AF22="Sí")+(AL22="Sí"))</f>
        <v/>
      </c>
      <c r="BI22" s="9" t="str">
        <f aca="false">IF(COUNTA(AA22,AG22,AM22)=0,"",(AA22="Sí")+(AG22="Sí")+(AM22="Sí"))</f>
        <v/>
      </c>
      <c r="BJ22" s="9" t="str">
        <f aca="false">IF(COUNTA(AB22,AH22,AN22)=0,"",(AB22="Sí")+(AH22="Sí")+(AN22="Sí"))</f>
        <v/>
      </c>
      <c r="BK22" s="9" t="str">
        <f aca="false">IF(COUNT(AO22:AV22)=8,SUM(AO22:AV22),"")</f>
        <v/>
      </c>
    </row>
    <row r="23" customFormat="false" ht="15" hidden="false" customHeight="false" outlineLevel="0" collapsed="false">
      <c r="A23" s="4" t="s">
        <v>84</v>
      </c>
      <c r="B23" s="5"/>
      <c r="C23" s="6"/>
      <c r="D23" s="7"/>
      <c r="E23" s="7"/>
      <c r="F23" s="7"/>
      <c r="G23" s="6"/>
      <c r="H23" s="7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8" t="str">
        <f aca="false">INDEX(Tarjetas!$A$4:$A$59,MOD(3*(VALUE(MID(A23,3,2))-1)+0,ROWS(Tarjetas!$A$4:$A$59))+1)</f>
        <v>S02</v>
      </c>
      <c r="U23" s="8" t="str">
        <f aca="false">INDEX(Tarjetas!$A$4:$A$59,MOD(3*(VALUE(MID(A23,3,2))-1)+1,ROWS(Tarjetas!$A$4:$A$59))+1)</f>
        <v>S03</v>
      </c>
      <c r="V23" s="8" t="str">
        <f aca="false">INDEX(Tarjetas!$A$4:$A$59,MOD(3*(VALUE(MID(A23,3,2))-1)+2,ROWS(Tarjetas!$A$4:$A$59))+1)</f>
        <v>S04</v>
      </c>
      <c r="W23" s="6"/>
      <c r="X23" s="7"/>
      <c r="Y23" s="7"/>
      <c r="Z23" s="7"/>
      <c r="AA23" s="7"/>
      <c r="AB23" s="7"/>
      <c r="AC23" s="6"/>
      <c r="AD23" s="7"/>
      <c r="AE23" s="7"/>
      <c r="AF23" s="7"/>
      <c r="AG23" s="7"/>
      <c r="AH23" s="7"/>
      <c r="AI23" s="6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6"/>
      <c r="AZ23" s="9" t="str">
        <f aca="false">IF(COUNTA(B23,F23)=0,"",IF(AND(F23="Sí",H23&lt;&gt;"",S23&lt;&gt;"",COUNT(X23,AD23,AJ23)=3,COUNT(AO23:AV23)=8,AW23&lt;&gt;""),"Sí","No"))</f>
        <v/>
      </c>
      <c r="BA23" s="10" t="str">
        <f aca="false">IF(H23="","",IFERROR(INDEX(Parametros!$B$4:$B$9,MATCH(H23,Parametros!$A$4:$A$9,0)),""))</f>
        <v/>
      </c>
      <c r="BB23" s="11" t="str">
        <f aca="false">IF(COUNT(X23,AD23,AJ23)=3,AVERAGE(X23,AD23,AJ23)/60,"")</f>
        <v/>
      </c>
      <c r="BC23" s="11" t="str">
        <f aca="false">IF(AND(ISNUMBER(BA23),ISNUMBER(BB23)),BB23-BA23,"")</f>
        <v/>
      </c>
      <c r="BD23" s="12" t="str">
        <f aca="false">IF(AND(ISNUMBER(BA23),ISNUMBER(BB23)),IF(BA23&gt;0,(BA23-BB23)/BA23,""),"")</f>
        <v/>
      </c>
      <c r="BE23" s="9" t="str">
        <f aca="false">IF(S23="","",S23)</f>
        <v/>
      </c>
      <c r="BF23" s="9" t="str">
        <f aca="false">IF(AW23="","",AW23)</f>
        <v/>
      </c>
      <c r="BG23" s="9" t="str">
        <f aca="false">IF(AND(ISNUMBER(BE23),ISNUMBER(BF23)),BF23-BE23,"")</f>
        <v/>
      </c>
      <c r="BH23" s="9" t="str">
        <f aca="false">IF(COUNTA(Z23,AF23,AL23)=0,"",(Z23="Sí")+(AF23="Sí")+(AL23="Sí"))</f>
        <v/>
      </c>
      <c r="BI23" s="9" t="str">
        <f aca="false">IF(COUNTA(AA23,AG23,AM23)=0,"",(AA23="Sí")+(AG23="Sí")+(AM23="Sí"))</f>
        <v/>
      </c>
      <c r="BJ23" s="9" t="str">
        <f aca="false">IF(COUNTA(AB23,AH23,AN23)=0,"",(AB23="Sí")+(AH23="Sí")+(AN23="Sí"))</f>
        <v/>
      </c>
      <c r="BK23" s="9" t="str">
        <f aca="false">IF(COUNT(AO23:AV23)=8,SUM(AO23:AV23),"")</f>
        <v/>
      </c>
    </row>
    <row r="24" customFormat="false" ht="15" hidden="false" customHeight="false" outlineLevel="0" collapsed="false">
      <c r="A24" s="4" t="s">
        <v>85</v>
      </c>
      <c r="B24" s="5"/>
      <c r="C24" s="6"/>
      <c r="D24" s="7"/>
      <c r="E24" s="7"/>
      <c r="F24" s="7"/>
      <c r="G24" s="6"/>
      <c r="H24" s="7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8" t="str">
        <f aca="false">INDEX(Tarjetas!$A$4:$A$59,MOD(3*(VALUE(MID(A24,3,2))-1)+0,ROWS(Tarjetas!$A$4:$A$59))+1)</f>
        <v>S05</v>
      </c>
      <c r="U24" s="8" t="str">
        <f aca="false">INDEX(Tarjetas!$A$4:$A$59,MOD(3*(VALUE(MID(A24,3,2))-1)+1,ROWS(Tarjetas!$A$4:$A$59))+1)</f>
        <v>S06</v>
      </c>
      <c r="V24" s="8" t="str">
        <f aca="false">INDEX(Tarjetas!$A$4:$A$59,MOD(3*(VALUE(MID(A24,3,2))-1)+2,ROWS(Tarjetas!$A$4:$A$59))+1)</f>
        <v>S07</v>
      </c>
      <c r="W24" s="6"/>
      <c r="X24" s="7"/>
      <c r="Y24" s="7"/>
      <c r="Z24" s="7"/>
      <c r="AA24" s="7"/>
      <c r="AB24" s="7"/>
      <c r="AC24" s="6"/>
      <c r="AD24" s="7"/>
      <c r="AE24" s="7"/>
      <c r="AF24" s="7"/>
      <c r="AG24" s="7"/>
      <c r="AH24" s="7"/>
      <c r="AI24" s="6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6"/>
      <c r="AZ24" s="9" t="str">
        <f aca="false">IF(COUNTA(B24,F24)=0,"",IF(AND(F24="Sí",H24&lt;&gt;"",S24&lt;&gt;"",COUNT(X24,AD24,AJ24)=3,COUNT(AO24:AV24)=8,AW24&lt;&gt;""),"Sí","No"))</f>
        <v/>
      </c>
      <c r="BA24" s="10" t="str">
        <f aca="false">IF(H24="","",IFERROR(INDEX(Parametros!$B$4:$B$9,MATCH(H24,Parametros!$A$4:$A$9,0)),""))</f>
        <v/>
      </c>
      <c r="BB24" s="11" t="str">
        <f aca="false">IF(COUNT(X24,AD24,AJ24)=3,AVERAGE(X24,AD24,AJ24)/60,"")</f>
        <v/>
      </c>
      <c r="BC24" s="11" t="str">
        <f aca="false">IF(AND(ISNUMBER(BA24),ISNUMBER(BB24)),BB24-BA24,"")</f>
        <v/>
      </c>
      <c r="BD24" s="12" t="str">
        <f aca="false">IF(AND(ISNUMBER(BA24),ISNUMBER(BB24)),IF(BA24&gt;0,(BA24-BB24)/BA24,""),"")</f>
        <v/>
      </c>
      <c r="BE24" s="9" t="str">
        <f aca="false">IF(S24="","",S24)</f>
        <v/>
      </c>
      <c r="BF24" s="9" t="str">
        <f aca="false">IF(AW24="","",AW24)</f>
        <v/>
      </c>
      <c r="BG24" s="9" t="str">
        <f aca="false">IF(AND(ISNUMBER(BE24),ISNUMBER(BF24)),BF24-BE24,"")</f>
        <v/>
      </c>
      <c r="BH24" s="9" t="str">
        <f aca="false">IF(COUNTA(Z24,AF24,AL24)=0,"",(Z24="Sí")+(AF24="Sí")+(AL24="Sí"))</f>
        <v/>
      </c>
      <c r="BI24" s="9" t="str">
        <f aca="false">IF(COUNTA(AA24,AG24,AM24)=0,"",(AA24="Sí")+(AG24="Sí")+(AM24="Sí"))</f>
        <v/>
      </c>
      <c r="BJ24" s="9" t="str">
        <f aca="false">IF(COUNTA(AB24,AH24,AN24)=0,"",(AB24="Sí")+(AH24="Sí")+(AN24="Sí"))</f>
        <v/>
      </c>
      <c r="BK24" s="9" t="str">
        <f aca="false">IF(COUNT(AO24:AV24)=8,SUM(AO24:AV24),"")</f>
        <v/>
      </c>
    </row>
    <row r="25" customFormat="false" ht="15" hidden="false" customHeight="false" outlineLevel="0" collapsed="false">
      <c r="A25" s="4" t="s">
        <v>86</v>
      </c>
      <c r="B25" s="5"/>
      <c r="C25" s="6"/>
      <c r="D25" s="7"/>
      <c r="E25" s="7"/>
      <c r="F25" s="7"/>
      <c r="G25" s="6"/>
      <c r="H25" s="7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8" t="str">
        <f aca="false">INDEX(Tarjetas!$A$4:$A$59,MOD(3*(VALUE(MID(A25,3,2))-1)+0,ROWS(Tarjetas!$A$4:$A$59))+1)</f>
        <v>S08</v>
      </c>
      <c r="U25" s="8" t="str">
        <f aca="false">INDEX(Tarjetas!$A$4:$A$59,MOD(3*(VALUE(MID(A25,3,2))-1)+1,ROWS(Tarjetas!$A$4:$A$59))+1)</f>
        <v>S09</v>
      </c>
      <c r="V25" s="8" t="str">
        <f aca="false">INDEX(Tarjetas!$A$4:$A$59,MOD(3*(VALUE(MID(A25,3,2))-1)+2,ROWS(Tarjetas!$A$4:$A$59))+1)</f>
        <v>S10</v>
      </c>
      <c r="W25" s="6"/>
      <c r="X25" s="7"/>
      <c r="Y25" s="7"/>
      <c r="Z25" s="7"/>
      <c r="AA25" s="7"/>
      <c r="AB25" s="7"/>
      <c r="AC25" s="6"/>
      <c r="AD25" s="7"/>
      <c r="AE25" s="7"/>
      <c r="AF25" s="7"/>
      <c r="AG25" s="7"/>
      <c r="AH25" s="7"/>
      <c r="AI25" s="6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6"/>
      <c r="AZ25" s="9" t="str">
        <f aca="false">IF(COUNTA(B25,F25)=0,"",IF(AND(F25="Sí",H25&lt;&gt;"",S25&lt;&gt;"",COUNT(X25,AD25,AJ25)=3,COUNT(AO25:AV25)=8,AW25&lt;&gt;""),"Sí","No"))</f>
        <v/>
      </c>
      <c r="BA25" s="10" t="str">
        <f aca="false">IF(H25="","",IFERROR(INDEX(Parametros!$B$4:$B$9,MATCH(H25,Parametros!$A$4:$A$9,0)),""))</f>
        <v/>
      </c>
      <c r="BB25" s="11" t="str">
        <f aca="false">IF(COUNT(X25,AD25,AJ25)=3,AVERAGE(X25,AD25,AJ25)/60,"")</f>
        <v/>
      </c>
      <c r="BC25" s="11" t="str">
        <f aca="false">IF(AND(ISNUMBER(BA25),ISNUMBER(BB25)),BB25-BA25,"")</f>
        <v/>
      </c>
      <c r="BD25" s="12" t="str">
        <f aca="false">IF(AND(ISNUMBER(BA25),ISNUMBER(BB25)),IF(BA25&gt;0,(BA25-BB25)/BA25,""),"")</f>
        <v/>
      </c>
      <c r="BE25" s="9" t="str">
        <f aca="false">IF(S25="","",S25)</f>
        <v/>
      </c>
      <c r="BF25" s="9" t="str">
        <f aca="false">IF(AW25="","",AW25)</f>
        <v/>
      </c>
      <c r="BG25" s="9" t="str">
        <f aca="false">IF(AND(ISNUMBER(BE25),ISNUMBER(BF25)),BF25-BE25,"")</f>
        <v/>
      </c>
      <c r="BH25" s="9" t="str">
        <f aca="false">IF(COUNTA(Z25,AF25,AL25)=0,"",(Z25="Sí")+(AF25="Sí")+(AL25="Sí"))</f>
        <v/>
      </c>
      <c r="BI25" s="9" t="str">
        <f aca="false">IF(COUNTA(AA25,AG25,AM25)=0,"",(AA25="Sí")+(AG25="Sí")+(AM25="Sí"))</f>
        <v/>
      </c>
      <c r="BJ25" s="9" t="str">
        <f aca="false">IF(COUNTA(AB25,AH25,AN25)=0,"",(AB25="Sí")+(AH25="Sí")+(AN25="Sí"))</f>
        <v/>
      </c>
      <c r="BK25" s="9" t="str">
        <f aca="false">IF(COUNT(AO25:AV25)=8,SUM(AO25:AV25),"")</f>
        <v/>
      </c>
    </row>
    <row r="26" customFormat="false" ht="15" hidden="false" customHeight="false" outlineLevel="0" collapsed="false">
      <c r="A26" s="4" t="s">
        <v>87</v>
      </c>
      <c r="B26" s="5"/>
      <c r="C26" s="6"/>
      <c r="D26" s="7"/>
      <c r="E26" s="7"/>
      <c r="F26" s="7"/>
      <c r="G26" s="6"/>
      <c r="H26" s="7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8" t="str">
        <f aca="false">INDEX(Tarjetas!$A$4:$A$59,MOD(3*(VALUE(MID(A26,3,2))-1)+0,ROWS(Tarjetas!$A$4:$A$59))+1)</f>
        <v>S11</v>
      </c>
      <c r="U26" s="8" t="str">
        <f aca="false">INDEX(Tarjetas!$A$4:$A$59,MOD(3*(VALUE(MID(A26,3,2))-1)+1,ROWS(Tarjetas!$A$4:$A$59))+1)</f>
        <v>S12</v>
      </c>
      <c r="V26" s="8" t="str">
        <f aca="false">INDEX(Tarjetas!$A$4:$A$59,MOD(3*(VALUE(MID(A26,3,2))-1)+2,ROWS(Tarjetas!$A$4:$A$59))+1)</f>
        <v>S13</v>
      </c>
      <c r="W26" s="6"/>
      <c r="X26" s="7"/>
      <c r="Y26" s="7"/>
      <c r="Z26" s="7"/>
      <c r="AA26" s="7"/>
      <c r="AB26" s="7"/>
      <c r="AC26" s="6"/>
      <c r="AD26" s="7"/>
      <c r="AE26" s="7"/>
      <c r="AF26" s="7"/>
      <c r="AG26" s="7"/>
      <c r="AH26" s="7"/>
      <c r="AI26" s="6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6"/>
      <c r="AZ26" s="9" t="str">
        <f aca="false">IF(COUNTA(B26,F26)=0,"",IF(AND(F26="Sí",H26&lt;&gt;"",S26&lt;&gt;"",COUNT(X26,AD26,AJ26)=3,COUNT(AO26:AV26)=8,AW26&lt;&gt;""),"Sí","No"))</f>
        <v/>
      </c>
      <c r="BA26" s="10" t="str">
        <f aca="false">IF(H26="","",IFERROR(INDEX(Parametros!$B$4:$B$9,MATCH(H26,Parametros!$A$4:$A$9,0)),""))</f>
        <v/>
      </c>
      <c r="BB26" s="11" t="str">
        <f aca="false">IF(COUNT(X26,AD26,AJ26)=3,AVERAGE(X26,AD26,AJ26)/60,"")</f>
        <v/>
      </c>
      <c r="BC26" s="11" t="str">
        <f aca="false">IF(AND(ISNUMBER(BA26),ISNUMBER(BB26)),BB26-BA26,"")</f>
        <v/>
      </c>
      <c r="BD26" s="12" t="str">
        <f aca="false">IF(AND(ISNUMBER(BA26),ISNUMBER(BB26)),IF(BA26&gt;0,(BA26-BB26)/BA26,""),"")</f>
        <v/>
      </c>
      <c r="BE26" s="9" t="str">
        <f aca="false">IF(S26="","",S26)</f>
        <v/>
      </c>
      <c r="BF26" s="9" t="str">
        <f aca="false">IF(AW26="","",AW26)</f>
        <v/>
      </c>
      <c r="BG26" s="9" t="str">
        <f aca="false">IF(AND(ISNUMBER(BE26),ISNUMBER(BF26)),BF26-BE26,"")</f>
        <v/>
      </c>
      <c r="BH26" s="9" t="str">
        <f aca="false">IF(COUNTA(Z26,AF26,AL26)=0,"",(Z26="Sí")+(AF26="Sí")+(AL26="Sí"))</f>
        <v/>
      </c>
      <c r="BI26" s="9" t="str">
        <f aca="false">IF(COUNTA(AA26,AG26,AM26)=0,"",(AA26="Sí")+(AG26="Sí")+(AM26="Sí"))</f>
        <v/>
      </c>
      <c r="BJ26" s="9" t="str">
        <f aca="false">IF(COUNTA(AB26,AH26,AN26)=0,"",(AB26="Sí")+(AH26="Sí")+(AN26="Sí"))</f>
        <v/>
      </c>
      <c r="BK26" s="9" t="str">
        <f aca="false">IF(COUNT(AO26:AV26)=8,SUM(AO26:AV26),"")</f>
        <v/>
      </c>
    </row>
    <row r="27" customFormat="false" ht="15" hidden="false" customHeight="false" outlineLevel="0" collapsed="false">
      <c r="A27" s="4" t="s">
        <v>88</v>
      </c>
      <c r="B27" s="5"/>
      <c r="C27" s="6"/>
      <c r="D27" s="7"/>
      <c r="E27" s="7"/>
      <c r="F27" s="7"/>
      <c r="G27" s="6"/>
      <c r="H27" s="7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8" t="str">
        <f aca="false">INDEX(Tarjetas!$A$4:$A$59,MOD(3*(VALUE(MID(A27,3,2))-1)+0,ROWS(Tarjetas!$A$4:$A$59))+1)</f>
        <v>S14</v>
      </c>
      <c r="U27" s="8" t="str">
        <f aca="false">INDEX(Tarjetas!$A$4:$A$59,MOD(3*(VALUE(MID(A27,3,2))-1)+1,ROWS(Tarjetas!$A$4:$A$59))+1)</f>
        <v>S15</v>
      </c>
      <c r="V27" s="8" t="str">
        <f aca="false">INDEX(Tarjetas!$A$4:$A$59,MOD(3*(VALUE(MID(A27,3,2))-1)+2,ROWS(Tarjetas!$A$4:$A$59))+1)</f>
        <v>S16</v>
      </c>
      <c r="W27" s="6"/>
      <c r="X27" s="7"/>
      <c r="Y27" s="7"/>
      <c r="Z27" s="7"/>
      <c r="AA27" s="7"/>
      <c r="AB27" s="7"/>
      <c r="AC27" s="6"/>
      <c r="AD27" s="7"/>
      <c r="AE27" s="7"/>
      <c r="AF27" s="7"/>
      <c r="AG27" s="7"/>
      <c r="AH27" s="7"/>
      <c r="AI27" s="6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6"/>
      <c r="AZ27" s="9" t="str">
        <f aca="false">IF(COUNTA(B27,F27)=0,"",IF(AND(F27="Sí",H27&lt;&gt;"",S27&lt;&gt;"",COUNT(X27,AD27,AJ27)=3,COUNT(AO27:AV27)=8,AW27&lt;&gt;""),"Sí","No"))</f>
        <v/>
      </c>
      <c r="BA27" s="10" t="str">
        <f aca="false">IF(H27="","",IFERROR(INDEX(Parametros!$B$4:$B$9,MATCH(H27,Parametros!$A$4:$A$9,0)),""))</f>
        <v/>
      </c>
      <c r="BB27" s="11" t="str">
        <f aca="false">IF(COUNT(X27,AD27,AJ27)=3,AVERAGE(X27,AD27,AJ27)/60,"")</f>
        <v/>
      </c>
      <c r="BC27" s="11" t="str">
        <f aca="false">IF(AND(ISNUMBER(BA27),ISNUMBER(BB27)),BB27-BA27,"")</f>
        <v/>
      </c>
      <c r="BD27" s="12" t="str">
        <f aca="false">IF(AND(ISNUMBER(BA27),ISNUMBER(BB27)),IF(BA27&gt;0,(BA27-BB27)/BA27,""),"")</f>
        <v/>
      </c>
      <c r="BE27" s="9" t="str">
        <f aca="false">IF(S27="","",S27)</f>
        <v/>
      </c>
      <c r="BF27" s="9" t="str">
        <f aca="false">IF(AW27="","",AW27)</f>
        <v/>
      </c>
      <c r="BG27" s="9" t="str">
        <f aca="false">IF(AND(ISNUMBER(BE27),ISNUMBER(BF27)),BF27-BE27,"")</f>
        <v/>
      </c>
      <c r="BH27" s="9" t="str">
        <f aca="false">IF(COUNTA(Z27,AF27,AL27)=0,"",(Z27="Sí")+(AF27="Sí")+(AL27="Sí"))</f>
        <v/>
      </c>
      <c r="BI27" s="9" t="str">
        <f aca="false">IF(COUNTA(AA27,AG27,AM27)=0,"",(AA27="Sí")+(AG27="Sí")+(AM27="Sí"))</f>
        <v/>
      </c>
      <c r="BJ27" s="9" t="str">
        <f aca="false">IF(COUNTA(AB27,AH27,AN27)=0,"",(AB27="Sí")+(AH27="Sí")+(AN27="Sí"))</f>
        <v/>
      </c>
      <c r="BK27" s="9" t="str">
        <f aca="false">IF(COUNT(AO27:AV27)=8,SUM(AO27:AV27),"")</f>
        <v/>
      </c>
    </row>
    <row r="28" customFormat="false" ht="15" hidden="false" customHeight="false" outlineLevel="0" collapsed="false">
      <c r="A28" s="4" t="s">
        <v>89</v>
      </c>
      <c r="B28" s="5"/>
      <c r="C28" s="6"/>
      <c r="D28" s="7"/>
      <c r="E28" s="7"/>
      <c r="F28" s="7"/>
      <c r="G28" s="6"/>
      <c r="H28" s="7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8" t="str">
        <f aca="false">INDEX(Tarjetas!$A$4:$A$59,MOD(3*(VALUE(MID(A28,3,2))-1)+0,ROWS(Tarjetas!$A$4:$A$59))+1)</f>
        <v>S17</v>
      </c>
      <c r="U28" s="8" t="str">
        <f aca="false">INDEX(Tarjetas!$A$4:$A$59,MOD(3*(VALUE(MID(A28,3,2))-1)+1,ROWS(Tarjetas!$A$4:$A$59))+1)</f>
        <v>S18</v>
      </c>
      <c r="V28" s="8" t="str">
        <f aca="false">INDEX(Tarjetas!$A$4:$A$59,MOD(3*(VALUE(MID(A28,3,2))-1)+2,ROWS(Tarjetas!$A$4:$A$59))+1)</f>
        <v>S19</v>
      </c>
      <c r="W28" s="6"/>
      <c r="X28" s="7"/>
      <c r="Y28" s="7"/>
      <c r="Z28" s="7"/>
      <c r="AA28" s="7"/>
      <c r="AB28" s="7"/>
      <c r="AC28" s="6"/>
      <c r="AD28" s="7"/>
      <c r="AE28" s="7"/>
      <c r="AF28" s="7"/>
      <c r="AG28" s="7"/>
      <c r="AH28" s="7"/>
      <c r="AI28" s="6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6"/>
      <c r="AZ28" s="9" t="str">
        <f aca="false">IF(COUNTA(B28,F28)=0,"",IF(AND(F28="Sí",H28&lt;&gt;"",S28&lt;&gt;"",COUNT(X28,AD28,AJ28)=3,COUNT(AO28:AV28)=8,AW28&lt;&gt;""),"Sí","No"))</f>
        <v/>
      </c>
      <c r="BA28" s="10" t="str">
        <f aca="false">IF(H28="","",IFERROR(INDEX(Parametros!$B$4:$B$9,MATCH(H28,Parametros!$A$4:$A$9,0)),""))</f>
        <v/>
      </c>
      <c r="BB28" s="11" t="str">
        <f aca="false">IF(COUNT(X28,AD28,AJ28)=3,AVERAGE(X28,AD28,AJ28)/60,"")</f>
        <v/>
      </c>
      <c r="BC28" s="11" t="str">
        <f aca="false">IF(AND(ISNUMBER(BA28),ISNUMBER(BB28)),BB28-BA28,"")</f>
        <v/>
      </c>
      <c r="BD28" s="12" t="str">
        <f aca="false">IF(AND(ISNUMBER(BA28),ISNUMBER(BB28)),IF(BA28&gt;0,(BA28-BB28)/BA28,""),"")</f>
        <v/>
      </c>
      <c r="BE28" s="9" t="str">
        <f aca="false">IF(S28="","",S28)</f>
        <v/>
      </c>
      <c r="BF28" s="9" t="str">
        <f aca="false">IF(AW28="","",AW28)</f>
        <v/>
      </c>
      <c r="BG28" s="9" t="str">
        <f aca="false">IF(AND(ISNUMBER(BE28),ISNUMBER(BF28)),BF28-BE28,"")</f>
        <v/>
      </c>
      <c r="BH28" s="9" t="str">
        <f aca="false">IF(COUNTA(Z28,AF28,AL28)=0,"",(Z28="Sí")+(AF28="Sí")+(AL28="Sí"))</f>
        <v/>
      </c>
      <c r="BI28" s="9" t="str">
        <f aca="false">IF(COUNTA(AA28,AG28,AM28)=0,"",(AA28="Sí")+(AG28="Sí")+(AM28="Sí"))</f>
        <v/>
      </c>
      <c r="BJ28" s="9" t="str">
        <f aca="false">IF(COUNTA(AB28,AH28,AN28)=0,"",(AB28="Sí")+(AH28="Sí")+(AN28="Sí"))</f>
        <v/>
      </c>
      <c r="BK28" s="9" t="str">
        <f aca="false">IF(COUNT(AO28:AV28)=8,SUM(AO28:AV28),"")</f>
        <v/>
      </c>
    </row>
    <row r="29" customFormat="false" ht="15" hidden="false" customHeight="false" outlineLevel="0" collapsed="false">
      <c r="A29" s="4" t="s">
        <v>90</v>
      </c>
      <c r="B29" s="5"/>
      <c r="C29" s="6"/>
      <c r="D29" s="7"/>
      <c r="E29" s="7"/>
      <c r="F29" s="7"/>
      <c r="G29" s="6"/>
      <c r="H29" s="7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8" t="str">
        <f aca="false">INDEX(Tarjetas!$A$4:$A$59,MOD(3*(VALUE(MID(A29,3,2))-1)+0,ROWS(Tarjetas!$A$4:$A$59))+1)</f>
        <v>S20</v>
      </c>
      <c r="U29" s="8" t="str">
        <f aca="false">INDEX(Tarjetas!$A$4:$A$59,MOD(3*(VALUE(MID(A29,3,2))-1)+1,ROWS(Tarjetas!$A$4:$A$59))+1)</f>
        <v>S21</v>
      </c>
      <c r="V29" s="8" t="str">
        <f aca="false">INDEX(Tarjetas!$A$4:$A$59,MOD(3*(VALUE(MID(A29,3,2))-1)+2,ROWS(Tarjetas!$A$4:$A$59))+1)</f>
        <v>S22</v>
      </c>
      <c r="W29" s="6"/>
      <c r="X29" s="7"/>
      <c r="Y29" s="7"/>
      <c r="Z29" s="7"/>
      <c r="AA29" s="7"/>
      <c r="AB29" s="7"/>
      <c r="AC29" s="6"/>
      <c r="AD29" s="7"/>
      <c r="AE29" s="7"/>
      <c r="AF29" s="7"/>
      <c r="AG29" s="7"/>
      <c r="AH29" s="7"/>
      <c r="AI29" s="6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6"/>
      <c r="AZ29" s="9" t="str">
        <f aca="false">IF(COUNTA(B29,F29)=0,"",IF(AND(F29="Sí",H29&lt;&gt;"",S29&lt;&gt;"",COUNT(X29,AD29,AJ29)=3,COUNT(AO29:AV29)=8,AW29&lt;&gt;""),"Sí","No"))</f>
        <v/>
      </c>
      <c r="BA29" s="10" t="str">
        <f aca="false">IF(H29="","",IFERROR(INDEX(Parametros!$B$4:$B$9,MATCH(H29,Parametros!$A$4:$A$9,0)),""))</f>
        <v/>
      </c>
      <c r="BB29" s="11" t="str">
        <f aca="false">IF(COUNT(X29,AD29,AJ29)=3,AVERAGE(X29,AD29,AJ29)/60,"")</f>
        <v/>
      </c>
      <c r="BC29" s="11" t="str">
        <f aca="false">IF(AND(ISNUMBER(BA29),ISNUMBER(BB29)),BB29-BA29,"")</f>
        <v/>
      </c>
      <c r="BD29" s="12" t="str">
        <f aca="false">IF(AND(ISNUMBER(BA29),ISNUMBER(BB29)),IF(BA29&gt;0,(BA29-BB29)/BA29,""),"")</f>
        <v/>
      </c>
      <c r="BE29" s="9" t="str">
        <f aca="false">IF(S29="","",S29)</f>
        <v/>
      </c>
      <c r="BF29" s="9" t="str">
        <f aca="false">IF(AW29="","",AW29)</f>
        <v/>
      </c>
      <c r="BG29" s="9" t="str">
        <f aca="false">IF(AND(ISNUMBER(BE29),ISNUMBER(BF29)),BF29-BE29,"")</f>
        <v/>
      </c>
      <c r="BH29" s="9" t="str">
        <f aca="false">IF(COUNTA(Z29,AF29,AL29)=0,"",(Z29="Sí")+(AF29="Sí")+(AL29="Sí"))</f>
        <v/>
      </c>
      <c r="BI29" s="9" t="str">
        <f aca="false">IF(COUNTA(AA29,AG29,AM29)=0,"",(AA29="Sí")+(AG29="Sí")+(AM29="Sí"))</f>
        <v/>
      </c>
      <c r="BJ29" s="9" t="str">
        <f aca="false">IF(COUNTA(AB29,AH29,AN29)=0,"",(AB29="Sí")+(AH29="Sí")+(AN29="Sí"))</f>
        <v/>
      </c>
      <c r="BK29" s="9" t="str">
        <f aca="false">IF(COUNT(AO29:AV29)=8,SUM(AO29:AV29),"")</f>
        <v/>
      </c>
    </row>
    <row r="30" customFormat="false" ht="15" hidden="false" customHeight="false" outlineLevel="0" collapsed="false">
      <c r="A30" s="4" t="s">
        <v>91</v>
      </c>
      <c r="B30" s="5"/>
      <c r="C30" s="6"/>
      <c r="D30" s="7"/>
      <c r="E30" s="7"/>
      <c r="F30" s="7"/>
      <c r="G30" s="6"/>
      <c r="H30" s="7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8" t="str">
        <f aca="false">INDEX(Tarjetas!$A$4:$A$59,MOD(3*(VALUE(MID(A30,3,2))-1)+0,ROWS(Tarjetas!$A$4:$A$59))+1)</f>
        <v>S23</v>
      </c>
      <c r="U30" s="8" t="str">
        <f aca="false">INDEX(Tarjetas!$A$4:$A$59,MOD(3*(VALUE(MID(A30,3,2))-1)+1,ROWS(Tarjetas!$A$4:$A$59))+1)</f>
        <v>S24</v>
      </c>
      <c r="V30" s="8" t="str">
        <f aca="false">INDEX(Tarjetas!$A$4:$A$59,MOD(3*(VALUE(MID(A30,3,2))-1)+2,ROWS(Tarjetas!$A$4:$A$59))+1)</f>
        <v>S25</v>
      </c>
      <c r="W30" s="6"/>
      <c r="X30" s="7"/>
      <c r="Y30" s="7"/>
      <c r="Z30" s="7"/>
      <c r="AA30" s="7"/>
      <c r="AB30" s="7"/>
      <c r="AC30" s="6"/>
      <c r="AD30" s="7"/>
      <c r="AE30" s="7"/>
      <c r="AF30" s="7"/>
      <c r="AG30" s="7"/>
      <c r="AH30" s="7"/>
      <c r="AI30" s="6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6"/>
      <c r="AZ30" s="9" t="str">
        <f aca="false">IF(COUNTA(B30,F30)=0,"",IF(AND(F30="Sí",H30&lt;&gt;"",S30&lt;&gt;"",COUNT(X30,AD30,AJ30)=3,COUNT(AO30:AV30)=8,AW30&lt;&gt;""),"Sí","No"))</f>
        <v/>
      </c>
      <c r="BA30" s="10" t="str">
        <f aca="false">IF(H30="","",IFERROR(INDEX(Parametros!$B$4:$B$9,MATCH(H30,Parametros!$A$4:$A$9,0)),""))</f>
        <v/>
      </c>
      <c r="BB30" s="11" t="str">
        <f aca="false">IF(COUNT(X30,AD30,AJ30)=3,AVERAGE(X30,AD30,AJ30)/60,"")</f>
        <v/>
      </c>
      <c r="BC30" s="11" t="str">
        <f aca="false">IF(AND(ISNUMBER(BA30),ISNUMBER(BB30)),BB30-BA30,"")</f>
        <v/>
      </c>
      <c r="BD30" s="12" t="str">
        <f aca="false">IF(AND(ISNUMBER(BA30),ISNUMBER(BB30)),IF(BA30&gt;0,(BA30-BB30)/BA30,""),"")</f>
        <v/>
      </c>
      <c r="BE30" s="9" t="str">
        <f aca="false">IF(S30="","",S30)</f>
        <v/>
      </c>
      <c r="BF30" s="9" t="str">
        <f aca="false">IF(AW30="","",AW30)</f>
        <v/>
      </c>
      <c r="BG30" s="9" t="str">
        <f aca="false">IF(AND(ISNUMBER(BE30),ISNUMBER(BF30)),BF30-BE30,"")</f>
        <v/>
      </c>
      <c r="BH30" s="9" t="str">
        <f aca="false">IF(COUNTA(Z30,AF30,AL30)=0,"",(Z30="Sí")+(AF30="Sí")+(AL30="Sí"))</f>
        <v/>
      </c>
      <c r="BI30" s="9" t="str">
        <f aca="false">IF(COUNTA(AA30,AG30,AM30)=0,"",(AA30="Sí")+(AG30="Sí")+(AM30="Sí"))</f>
        <v/>
      </c>
      <c r="BJ30" s="9" t="str">
        <f aca="false">IF(COUNTA(AB30,AH30,AN30)=0,"",(AB30="Sí")+(AH30="Sí")+(AN30="Sí"))</f>
        <v/>
      </c>
      <c r="BK30" s="9" t="str">
        <f aca="false">IF(COUNT(AO30:AV30)=8,SUM(AO30:AV30),"")</f>
        <v/>
      </c>
    </row>
    <row r="31" customFormat="false" ht="15" hidden="false" customHeight="false" outlineLevel="0" collapsed="false">
      <c r="A31" s="4" t="s">
        <v>92</v>
      </c>
      <c r="B31" s="5"/>
      <c r="C31" s="6"/>
      <c r="D31" s="7"/>
      <c r="E31" s="7"/>
      <c r="F31" s="7"/>
      <c r="G31" s="6"/>
      <c r="H31" s="7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8" t="str">
        <f aca="false">INDEX(Tarjetas!$A$4:$A$59,MOD(3*(VALUE(MID(A31,3,2))-1)+0,ROWS(Tarjetas!$A$4:$A$59))+1)</f>
        <v>S26</v>
      </c>
      <c r="U31" s="8" t="str">
        <f aca="false">INDEX(Tarjetas!$A$4:$A$59,MOD(3*(VALUE(MID(A31,3,2))-1)+1,ROWS(Tarjetas!$A$4:$A$59))+1)</f>
        <v>S27</v>
      </c>
      <c r="V31" s="8" t="str">
        <f aca="false">INDEX(Tarjetas!$A$4:$A$59,MOD(3*(VALUE(MID(A31,3,2))-1)+2,ROWS(Tarjetas!$A$4:$A$59))+1)</f>
        <v>S28</v>
      </c>
      <c r="W31" s="6"/>
      <c r="X31" s="7"/>
      <c r="Y31" s="7"/>
      <c r="Z31" s="7"/>
      <c r="AA31" s="7"/>
      <c r="AB31" s="7"/>
      <c r="AC31" s="6"/>
      <c r="AD31" s="7"/>
      <c r="AE31" s="7"/>
      <c r="AF31" s="7"/>
      <c r="AG31" s="7"/>
      <c r="AH31" s="7"/>
      <c r="AI31" s="6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6"/>
      <c r="AZ31" s="9" t="str">
        <f aca="false">IF(COUNTA(B31,F31)=0,"",IF(AND(F31="Sí",H31&lt;&gt;"",S31&lt;&gt;"",COUNT(X31,AD31,AJ31)=3,COUNT(AO31:AV31)=8,AW31&lt;&gt;""),"Sí","No"))</f>
        <v/>
      </c>
      <c r="BA31" s="10" t="str">
        <f aca="false">IF(H31="","",IFERROR(INDEX(Parametros!$B$4:$B$9,MATCH(H31,Parametros!$A$4:$A$9,0)),""))</f>
        <v/>
      </c>
      <c r="BB31" s="11" t="str">
        <f aca="false">IF(COUNT(X31,AD31,AJ31)=3,AVERAGE(X31,AD31,AJ31)/60,"")</f>
        <v/>
      </c>
      <c r="BC31" s="11" t="str">
        <f aca="false">IF(AND(ISNUMBER(BA31),ISNUMBER(BB31)),BB31-BA31,"")</f>
        <v/>
      </c>
      <c r="BD31" s="12" t="str">
        <f aca="false">IF(AND(ISNUMBER(BA31),ISNUMBER(BB31)),IF(BA31&gt;0,(BA31-BB31)/BA31,""),"")</f>
        <v/>
      </c>
      <c r="BE31" s="9" t="str">
        <f aca="false">IF(S31="","",S31)</f>
        <v/>
      </c>
      <c r="BF31" s="9" t="str">
        <f aca="false">IF(AW31="","",AW31)</f>
        <v/>
      </c>
      <c r="BG31" s="9" t="str">
        <f aca="false">IF(AND(ISNUMBER(BE31),ISNUMBER(BF31)),BF31-BE31,"")</f>
        <v/>
      </c>
      <c r="BH31" s="9" t="str">
        <f aca="false">IF(COUNTA(Z31,AF31,AL31)=0,"",(Z31="Sí")+(AF31="Sí")+(AL31="Sí"))</f>
        <v/>
      </c>
      <c r="BI31" s="9" t="str">
        <f aca="false">IF(COUNTA(AA31,AG31,AM31)=0,"",(AA31="Sí")+(AG31="Sí")+(AM31="Sí"))</f>
        <v/>
      </c>
      <c r="BJ31" s="9" t="str">
        <f aca="false">IF(COUNTA(AB31,AH31,AN31)=0,"",(AB31="Sí")+(AH31="Sí")+(AN31="Sí"))</f>
        <v/>
      </c>
      <c r="BK31" s="9" t="str">
        <f aca="false">IF(COUNT(AO31:AV31)=8,SUM(AO31:AV31),"")</f>
        <v/>
      </c>
    </row>
    <row r="32" customFormat="false" ht="15" hidden="false" customHeight="false" outlineLevel="0" collapsed="false">
      <c r="A32" s="4" t="s">
        <v>93</v>
      </c>
      <c r="B32" s="5"/>
      <c r="C32" s="6"/>
      <c r="D32" s="7"/>
      <c r="E32" s="7"/>
      <c r="F32" s="7"/>
      <c r="G32" s="6"/>
      <c r="H32" s="7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8" t="str">
        <f aca="false">INDEX(Tarjetas!$A$4:$A$59,MOD(3*(VALUE(MID(A32,3,2))-1)+0,ROWS(Tarjetas!$A$4:$A$59))+1)</f>
        <v>S29</v>
      </c>
      <c r="U32" s="8" t="str">
        <f aca="false">INDEX(Tarjetas!$A$4:$A$59,MOD(3*(VALUE(MID(A32,3,2))-1)+1,ROWS(Tarjetas!$A$4:$A$59))+1)</f>
        <v>S30</v>
      </c>
      <c r="V32" s="8" t="str">
        <f aca="false">INDEX(Tarjetas!$A$4:$A$59,MOD(3*(VALUE(MID(A32,3,2))-1)+2,ROWS(Tarjetas!$A$4:$A$59))+1)</f>
        <v>S31</v>
      </c>
      <c r="W32" s="6"/>
      <c r="X32" s="7"/>
      <c r="Y32" s="7"/>
      <c r="Z32" s="7"/>
      <c r="AA32" s="7"/>
      <c r="AB32" s="7"/>
      <c r="AC32" s="6"/>
      <c r="AD32" s="7"/>
      <c r="AE32" s="7"/>
      <c r="AF32" s="7"/>
      <c r="AG32" s="7"/>
      <c r="AH32" s="7"/>
      <c r="AI32" s="6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6"/>
      <c r="AZ32" s="9" t="str">
        <f aca="false">IF(COUNTA(B32,F32)=0,"",IF(AND(F32="Sí",H32&lt;&gt;"",S32&lt;&gt;"",COUNT(X32,AD32,AJ32)=3,COUNT(AO32:AV32)=8,AW32&lt;&gt;""),"Sí","No"))</f>
        <v/>
      </c>
      <c r="BA32" s="10" t="str">
        <f aca="false">IF(H32="","",IFERROR(INDEX(Parametros!$B$4:$B$9,MATCH(H32,Parametros!$A$4:$A$9,0)),""))</f>
        <v/>
      </c>
      <c r="BB32" s="11" t="str">
        <f aca="false">IF(COUNT(X32,AD32,AJ32)=3,AVERAGE(X32,AD32,AJ32)/60,"")</f>
        <v/>
      </c>
      <c r="BC32" s="11" t="str">
        <f aca="false">IF(AND(ISNUMBER(BA32),ISNUMBER(BB32)),BB32-BA32,"")</f>
        <v/>
      </c>
      <c r="BD32" s="12" t="str">
        <f aca="false">IF(AND(ISNUMBER(BA32),ISNUMBER(BB32)),IF(BA32&gt;0,(BA32-BB32)/BA32,""),"")</f>
        <v/>
      </c>
      <c r="BE32" s="9" t="str">
        <f aca="false">IF(S32="","",S32)</f>
        <v/>
      </c>
      <c r="BF32" s="9" t="str">
        <f aca="false">IF(AW32="","",AW32)</f>
        <v/>
      </c>
      <c r="BG32" s="9" t="str">
        <f aca="false">IF(AND(ISNUMBER(BE32),ISNUMBER(BF32)),BF32-BE32,"")</f>
        <v/>
      </c>
      <c r="BH32" s="9" t="str">
        <f aca="false">IF(COUNTA(Z32,AF32,AL32)=0,"",(Z32="Sí")+(AF32="Sí")+(AL32="Sí"))</f>
        <v/>
      </c>
      <c r="BI32" s="9" t="str">
        <f aca="false">IF(COUNTA(AA32,AG32,AM32)=0,"",(AA32="Sí")+(AG32="Sí")+(AM32="Sí"))</f>
        <v/>
      </c>
      <c r="BJ32" s="9" t="str">
        <f aca="false">IF(COUNTA(AB32,AH32,AN32)=0,"",(AB32="Sí")+(AH32="Sí")+(AN32="Sí"))</f>
        <v/>
      </c>
      <c r="BK32" s="9" t="str">
        <f aca="false">IF(COUNT(AO32:AV32)=8,SUM(AO32:AV32),"")</f>
        <v/>
      </c>
    </row>
    <row r="33" customFormat="false" ht="15" hidden="false" customHeight="false" outlineLevel="0" collapsed="false">
      <c r="A33" s="4" t="s">
        <v>94</v>
      </c>
      <c r="B33" s="5"/>
      <c r="C33" s="6"/>
      <c r="D33" s="7"/>
      <c r="E33" s="7"/>
      <c r="F33" s="7"/>
      <c r="G33" s="6"/>
      <c r="H33" s="7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8" t="str">
        <f aca="false">INDEX(Tarjetas!$A$4:$A$59,MOD(3*(VALUE(MID(A33,3,2))-1)+0,ROWS(Tarjetas!$A$4:$A$59))+1)</f>
        <v>S32</v>
      </c>
      <c r="U33" s="8" t="str">
        <f aca="false">INDEX(Tarjetas!$A$4:$A$59,MOD(3*(VALUE(MID(A33,3,2))-1)+1,ROWS(Tarjetas!$A$4:$A$59))+1)</f>
        <v>S33</v>
      </c>
      <c r="V33" s="8" t="str">
        <f aca="false">INDEX(Tarjetas!$A$4:$A$59,MOD(3*(VALUE(MID(A33,3,2))-1)+2,ROWS(Tarjetas!$A$4:$A$59))+1)</f>
        <v>S34</v>
      </c>
      <c r="W33" s="6"/>
      <c r="X33" s="7"/>
      <c r="Y33" s="7"/>
      <c r="Z33" s="7"/>
      <c r="AA33" s="7"/>
      <c r="AB33" s="7"/>
      <c r="AC33" s="6"/>
      <c r="AD33" s="7"/>
      <c r="AE33" s="7"/>
      <c r="AF33" s="7"/>
      <c r="AG33" s="7"/>
      <c r="AH33" s="7"/>
      <c r="AI33" s="6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6"/>
      <c r="AZ33" s="9" t="str">
        <f aca="false">IF(COUNTA(B33,F33)=0,"",IF(AND(F33="Sí",H33&lt;&gt;"",S33&lt;&gt;"",COUNT(X33,AD33,AJ33)=3,COUNT(AO33:AV33)=8,AW33&lt;&gt;""),"Sí","No"))</f>
        <v/>
      </c>
      <c r="BA33" s="10" t="str">
        <f aca="false">IF(H33="","",IFERROR(INDEX(Parametros!$B$4:$B$9,MATCH(H33,Parametros!$A$4:$A$9,0)),""))</f>
        <v/>
      </c>
      <c r="BB33" s="11" t="str">
        <f aca="false">IF(COUNT(X33,AD33,AJ33)=3,AVERAGE(X33,AD33,AJ33)/60,"")</f>
        <v/>
      </c>
      <c r="BC33" s="11" t="str">
        <f aca="false">IF(AND(ISNUMBER(BA33),ISNUMBER(BB33)),BB33-BA33,"")</f>
        <v/>
      </c>
      <c r="BD33" s="12" t="str">
        <f aca="false">IF(AND(ISNUMBER(BA33),ISNUMBER(BB33)),IF(BA33&gt;0,(BA33-BB33)/BA33,""),"")</f>
        <v/>
      </c>
      <c r="BE33" s="9" t="str">
        <f aca="false">IF(S33="","",S33)</f>
        <v/>
      </c>
      <c r="BF33" s="9" t="str">
        <f aca="false">IF(AW33="","",AW33)</f>
        <v/>
      </c>
      <c r="BG33" s="9" t="str">
        <f aca="false">IF(AND(ISNUMBER(BE33),ISNUMBER(BF33)),BF33-BE33,"")</f>
        <v/>
      </c>
      <c r="BH33" s="9" t="str">
        <f aca="false">IF(COUNTA(Z33,AF33,AL33)=0,"",(Z33="Sí")+(AF33="Sí")+(AL33="Sí"))</f>
        <v/>
      </c>
      <c r="BI33" s="9" t="str">
        <f aca="false">IF(COUNTA(AA33,AG33,AM33)=0,"",(AA33="Sí")+(AG33="Sí")+(AM33="Sí"))</f>
        <v/>
      </c>
      <c r="BJ33" s="9" t="str">
        <f aca="false">IF(COUNTA(AB33,AH33,AN33)=0,"",(AB33="Sí")+(AH33="Sí")+(AN33="Sí"))</f>
        <v/>
      </c>
      <c r="BK33" s="9" t="str">
        <f aca="false">IF(COUNT(AO33:AV33)=8,SUM(AO33:AV33),"")</f>
        <v/>
      </c>
    </row>
    <row r="34" customFormat="false" ht="15" hidden="false" customHeight="false" outlineLevel="0" collapsed="false">
      <c r="A34" s="4" t="s">
        <v>95</v>
      </c>
      <c r="B34" s="5"/>
      <c r="C34" s="6"/>
      <c r="D34" s="7"/>
      <c r="E34" s="7"/>
      <c r="F34" s="7"/>
      <c r="G34" s="6"/>
      <c r="H34" s="7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8" t="str">
        <f aca="false">INDEX(Tarjetas!$A$4:$A$59,MOD(3*(VALUE(MID(A34,3,2))-1)+0,ROWS(Tarjetas!$A$4:$A$59))+1)</f>
        <v>S35</v>
      </c>
      <c r="U34" s="8" t="str">
        <f aca="false">INDEX(Tarjetas!$A$4:$A$59,MOD(3*(VALUE(MID(A34,3,2))-1)+1,ROWS(Tarjetas!$A$4:$A$59))+1)</f>
        <v>S36</v>
      </c>
      <c r="V34" s="8" t="str">
        <f aca="false">INDEX(Tarjetas!$A$4:$A$59,MOD(3*(VALUE(MID(A34,3,2))-1)+2,ROWS(Tarjetas!$A$4:$A$59))+1)</f>
        <v>S37</v>
      </c>
      <c r="W34" s="6"/>
      <c r="X34" s="7"/>
      <c r="Y34" s="7"/>
      <c r="Z34" s="7"/>
      <c r="AA34" s="7"/>
      <c r="AB34" s="7"/>
      <c r="AC34" s="6"/>
      <c r="AD34" s="7"/>
      <c r="AE34" s="7"/>
      <c r="AF34" s="7"/>
      <c r="AG34" s="7"/>
      <c r="AH34" s="7"/>
      <c r="AI34" s="6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6"/>
      <c r="AZ34" s="9" t="str">
        <f aca="false">IF(COUNTA(B34,F34)=0,"",IF(AND(F34="Sí",H34&lt;&gt;"",S34&lt;&gt;"",COUNT(X34,AD34,AJ34)=3,COUNT(AO34:AV34)=8,AW34&lt;&gt;""),"Sí","No"))</f>
        <v/>
      </c>
      <c r="BA34" s="10" t="str">
        <f aca="false">IF(H34="","",IFERROR(INDEX(Parametros!$B$4:$B$9,MATCH(H34,Parametros!$A$4:$A$9,0)),""))</f>
        <v/>
      </c>
      <c r="BB34" s="11" t="str">
        <f aca="false">IF(COUNT(X34,AD34,AJ34)=3,AVERAGE(X34,AD34,AJ34)/60,"")</f>
        <v/>
      </c>
      <c r="BC34" s="11" t="str">
        <f aca="false">IF(AND(ISNUMBER(BA34),ISNUMBER(BB34)),BB34-BA34,"")</f>
        <v/>
      </c>
      <c r="BD34" s="12" t="str">
        <f aca="false">IF(AND(ISNUMBER(BA34),ISNUMBER(BB34)),IF(BA34&gt;0,(BA34-BB34)/BA34,""),"")</f>
        <v/>
      </c>
      <c r="BE34" s="9" t="str">
        <f aca="false">IF(S34="","",S34)</f>
        <v/>
      </c>
      <c r="BF34" s="9" t="str">
        <f aca="false">IF(AW34="","",AW34)</f>
        <v/>
      </c>
      <c r="BG34" s="9" t="str">
        <f aca="false">IF(AND(ISNUMBER(BE34),ISNUMBER(BF34)),BF34-BE34,"")</f>
        <v/>
      </c>
      <c r="BH34" s="9" t="str">
        <f aca="false">IF(COUNTA(Z34,AF34,AL34)=0,"",(Z34="Sí")+(AF34="Sí")+(AL34="Sí"))</f>
        <v/>
      </c>
      <c r="BI34" s="9" t="str">
        <f aca="false">IF(COUNTA(AA34,AG34,AM34)=0,"",(AA34="Sí")+(AG34="Sí")+(AM34="Sí"))</f>
        <v/>
      </c>
      <c r="BJ34" s="9" t="str">
        <f aca="false">IF(COUNTA(AB34,AH34,AN34)=0,"",(AB34="Sí")+(AH34="Sí")+(AN34="Sí"))</f>
        <v/>
      </c>
      <c r="BK34" s="9" t="str">
        <f aca="false">IF(COUNT(AO34:AV34)=8,SUM(AO34:AV34),"")</f>
        <v/>
      </c>
    </row>
    <row r="35" customFormat="false" ht="15" hidden="false" customHeight="false" outlineLevel="0" collapsed="false">
      <c r="A35" s="4" t="s">
        <v>96</v>
      </c>
      <c r="B35" s="5"/>
      <c r="C35" s="6"/>
      <c r="D35" s="7"/>
      <c r="E35" s="7"/>
      <c r="F35" s="7"/>
      <c r="G35" s="6"/>
      <c r="H35" s="7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8" t="str">
        <f aca="false">INDEX(Tarjetas!$A$4:$A$59,MOD(3*(VALUE(MID(A35,3,2))-1)+0,ROWS(Tarjetas!$A$4:$A$59))+1)</f>
        <v>S38</v>
      </c>
      <c r="U35" s="8" t="str">
        <f aca="false">INDEX(Tarjetas!$A$4:$A$59,MOD(3*(VALUE(MID(A35,3,2))-1)+1,ROWS(Tarjetas!$A$4:$A$59))+1)</f>
        <v>S39</v>
      </c>
      <c r="V35" s="8" t="str">
        <f aca="false">INDEX(Tarjetas!$A$4:$A$59,MOD(3*(VALUE(MID(A35,3,2))-1)+2,ROWS(Tarjetas!$A$4:$A$59))+1)</f>
        <v>S40</v>
      </c>
      <c r="W35" s="6"/>
      <c r="X35" s="7"/>
      <c r="Y35" s="7"/>
      <c r="Z35" s="7"/>
      <c r="AA35" s="7"/>
      <c r="AB35" s="7"/>
      <c r="AC35" s="6"/>
      <c r="AD35" s="7"/>
      <c r="AE35" s="7"/>
      <c r="AF35" s="7"/>
      <c r="AG35" s="7"/>
      <c r="AH35" s="7"/>
      <c r="AI35" s="6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6"/>
      <c r="AZ35" s="9" t="str">
        <f aca="false">IF(COUNTA(B35,F35)=0,"",IF(AND(F35="Sí",H35&lt;&gt;"",S35&lt;&gt;"",COUNT(X35,AD35,AJ35)=3,COUNT(AO35:AV35)=8,AW35&lt;&gt;""),"Sí","No"))</f>
        <v/>
      </c>
      <c r="BA35" s="10" t="str">
        <f aca="false">IF(H35="","",IFERROR(INDEX(Parametros!$B$4:$B$9,MATCH(H35,Parametros!$A$4:$A$9,0)),""))</f>
        <v/>
      </c>
      <c r="BB35" s="11" t="str">
        <f aca="false">IF(COUNT(X35,AD35,AJ35)=3,AVERAGE(X35,AD35,AJ35)/60,"")</f>
        <v/>
      </c>
      <c r="BC35" s="11" t="str">
        <f aca="false">IF(AND(ISNUMBER(BA35),ISNUMBER(BB35)),BB35-BA35,"")</f>
        <v/>
      </c>
      <c r="BD35" s="12" t="str">
        <f aca="false">IF(AND(ISNUMBER(BA35),ISNUMBER(BB35)),IF(BA35&gt;0,(BA35-BB35)/BA35,""),"")</f>
        <v/>
      </c>
      <c r="BE35" s="9" t="str">
        <f aca="false">IF(S35="","",S35)</f>
        <v/>
      </c>
      <c r="BF35" s="9" t="str">
        <f aca="false">IF(AW35="","",AW35)</f>
        <v/>
      </c>
      <c r="BG35" s="9" t="str">
        <f aca="false">IF(AND(ISNUMBER(BE35),ISNUMBER(BF35)),BF35-BE35,"")</f>
        <v/>
      </c>
      <c r="BH35" s="9" t="str">
        <f aca="false">IF(COUNTA(Z35,AF35,AL35)=0,"",(Z35="Sí")+(AF35="Sí")+(AL35="Sí"))</f>
        <v/>
      </c>
      <c r="BI35" s="9" t="str">
        <f aca="false">IF(COUNTA(AA35,AG35,AM35)=0,"",(AA35="Sí")+(AG35="Sí")+(AM35="Sí"))</f>
        <v/>
      </c>
      <c r="BJ35" s="9" t="str">
        <f aca="false">IF(COUNTA(AB35,AH35,AN35)=0,"",(AB35="Sí")+(AH35="Sí")+(AN35="Sí"))</f>
        <v/>
      </c>
      <c r="BK35" s="9" t="str">
        <f aca="false">IF(COUNT(AO35:AV35)=8,SUM(AO35:AV35),"")</f>
        <v/>
      </c>
    </row>
    <row r="36" customFormat="false" ht="15" hidden="false" customHeight="false" outlineLevel="0" collapsed="false">
      <c r="A36" s="4" t="s">
        <v>97</v>
      </c>
      <c r="B36" s="5"/>
      <c r="C36" s="6"/>
      <c r="D36" s="7"/>
      <c r="E36" s="7"/>
      <c r="F36" s="7"/>
      <c r="G36" s="6"/>
      <c r="H36" s="7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8" t="str">
        <f aca="false">INDEX(Tarjetas!$A$4:$A$59,MOD(3*(VALUE(MID(A36,3,2))-1)+0,ROWS(Tarjetas!$A$4:$A$59))+1)</f>
        <v>S41</v>
      </c>
      <c r="U36" s="8" t="str">
        <f aca="false">INDEX(Tarjetas!$A$4:$A$59,MOD(3*(VALUE(MID(A36,3,2))-1)+1,ROWS(Tarjetas!$A$4:$A$59))+1)</f>
        <v>S42</v>
      </c>
      <c r="V36" s="8" t="str">
        <f aca="false">INDEX(Tarjetas!$A$4:$A$59,MOD(3*(VALUE(MID(A36,3,2))-1)+2,ROWS(Tarjetas!$A$4:$A$59))+1)</f>
        <v>S43</v>
      </c>
      <c r="W36" s="6"/>
      <c r="X36" s="7"/>
      <c r="Y36" s="7"/>
      <c r="Z36" s="7"/>
      <c r="AA36" s="7"/>
      <c r="AB36" s="7"/>
      <c r="AC36" s="6"/>
      <c r="AD36" s="7"/>
      <c r="AE36" s="7"/>
      <c r="AF36" s="7"/>
      <c r="AG36" s="7"/>
      <c r="AH36" s="7"/>
      <c r="AI36" s="6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6"/>
      <c r="AZ36" s="9" t="str">
        <f aca="false">IF(COUNTA(B36,F36)=0,"",IF(AND(F36="Sí",H36&lt;&gt;"",S36&lt;&gt;"",COUNT(X36,AD36,AJ36)=3,COUNT(AO36:AV36)=8,AW36&lt;&gt;""),"Sí","No"))</f>
        <v/>
      </c>
      <c r="BA36" s="10" t="str">
        <f aca="false">IF(H36="","",IFERROR(INDEX(Parametros!$B$4:$B$9,MATCH(H36,Parametros!$A$4:$A$9,0)),""))</f>
        <v/>
      </c>
      <c r="BB36" s="11" t="str">
        <f aca="false">IF(COUNT(X36,AD36,AJ36)=3,AVERAGE(X36,AD36,AJ36)/60,"")</f>
        <v/>
      </c>
      <c r="BC36" s="11" t="str">
        <f aca="false">IF(AND(ISNUMBER(BA36),ISNUMBER(BB36)),BB36-BA36,"")</f>
        <v/>
      </c>
      <c r="BD36" s="12" t="str">
        <f aca="false">IF(AND(ISNUMBER(BA36),ISNUMBER(BB36)),IF(BA36&gt;0,(BA36-BB36)/BA36,""),"")</f>
        <v/>
      </c>
      <c r="BE36" s="9" t="str">
        <f aca="false">IF(S36="","",S36)</f>
        <v/>
      </c>
      <c r="BF36" s="9" t="str">
        <f aca="false">IF(AW36="","",AW36)</f>
        <v/>
      </c>
      <c r="BG36" s="9" t="str">
        <f aca="false">IF(AND(ISNUMBER(BE36),ISNUMBER(BF36)),BF36-BE36,"")</f>
        <v/>
      </c>
      <c r="BH36" s="9" t="str">
        <f aca="false">IF(COUNTA(Z36,AF36,AL36)=0,"",(Z36="Sí")+(AF36="Sí")+(AL36="Sí"))</f>
        <v/>
      </c>
      <c r="BI36" s="9" t="str">
        <f aca="false">IF(COUNTA(AA36,AG36,AM36)=0,"",(AA36="Sí")+(AG36="Sí")+(AM36="Sí"))</f>
        <v/>
      </c>
      <c r="BJ36" s="9" t="str">
        <f aca="false">IF(COUNTA(AB36,AH36,AN36)=0,"",(AB36="Sí")+(AH36="Sí")+(AN36="Sí"))</f>
        <v/>
      </c>
      <c r="BK36" s="9" t="str">
        <f aca="false">IF(COUNT(AO36:AV36)=8,SUM(AO36:AV36),"")</f>
        <v/>
      </c>
    </row>
    <row r="37" customFormat="false" ht="15" hidden="false" customHeight="false" outlineLevel="0" collapsed="false">
      <c r="A37" s="4" t="s">
        <v>98</v>
      </c>
      <c r="B37" s="5"/>
      <c r="C37" s="6"/>
      <c r="D37" s="7"/>
      <c r="E37" s="7"/>
      <c r="F37" s="7"/>
      <c r="G37" s="6"/>
      <c r="H37" s="7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8" t="str">
        <f aca="false">INDEX(Tarjetas!$A$4:$A$59,MOD(3*(VALUE(MID(A37,3,2))-1)+0,ROWS(Tarjetas!$A$4:$A$59))+1)</f>
        <v>S44</v>
      </c>
      <c r="U37" s="8" t="str">
        <f aca="false">INDEX(Tarjetas!$A$4:$A$59,MOD(3*(VALUE(MID(A37,3,2))-1)+1,ROWS(Tarjetas!$A$4:$A$59))+1)</f>
        <v>S45</v>
      </c>
      <c r="V37" s="8" t="str">
        <f aca="false">INDEX(Tarjetas!$A$4:$A$59,MOD(3*(VALUE(MID(A37,3,2))-1)+2,ROWS(Tarjetas!$A$4:$A$59))+1)</f>
        <v>S46</v>
      </c>
      <c r="W37" s="6"/>
      <c r="X37" s="7"/>
      <c r="Y37" s="7"/>
      <c r="Z37" s="7"/>
      <c r="AA37" s="7"/>
      <c r="AB37" s="7"/>
      <c r="AC37" s="6"/>
      <c r="AD37" s="7"/>
      <c r="AE37" s="7"/>
      <c r="AF37" s="7"/>
      <c r="AG37" s="7"/>
      <c r="AH37" s="7"/>
      <c r="AI37" s="6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6"/>
      <c r="AZ37" s="9" t="str">
        <f aca="false">IF(COUNTA(B37,F37)=0,"",IF(AND(F37="Sí",H37&lt;&gt;"",S37&lt;&gt;"",COUNT(X37,AD37,AJ37)=3,COUNT(AO37:AV37)=8,AW37&lt;&gt;""),"Sí","No"))</f>
        <v/>
      </c>
      <c r="BA37" s="10" t="str">
        <f aca="false">IF(H37="","",IFERROR(INDEX(Parametros!$B$4:$B$9,MATCH(H37,Parametros!$A$4:$A$9,0)),""))</f>
        <v/>
      </c>
      <c r="BB37" s="11" t="str">
        <f aca="false">IF(COUNT(X37,AD37,AJ37)=3,AVERAGE(X37,AD37,AJ37)/60,"")</f>
        <v/>
      </c>
      <c r="BC37" s="11" t="str">
        <f aca="false">IF(AND(ISNUMBER(BA37),ISNUMBER(BB37)),BB37-BA37,"")</f>
        <v/>
      </c>
      <c r="BD37" s="12" t="str">
        <f aca="false">IF(AND(ISNUMBER(BA37),ISNUMBER(BB37)),IF(BA37&gt;0,(BA37-BB37)/BA37,""),"")</f>
        <v/>
      </c>
      <c r="BE37" s="9" t="str">
        <f aca="false">IF(S37="","",S37)</f>
        <v/>
      </c>
      <c r="BF37" s="9" t="str">
        <f aca="false">IF(AW37="","",AW37)</f>
        <v/>
      </c>
      <c r="BG37" s="9" t="str">
        <f aca="false">IF(AND(ISNUMBER(BE37),ISNUMBER(BF37)),BF37-BE37,"")</f>
        <v/>
      </c>
      <c r="BH37" s="9" t="str">
        <f aca="false">IF(COUNTA(Z37,AF37,AL37)=0,"",(Z37="Sí")+(AF37="Sí")+(AL37="Sí"))</f>
        <v/>
      </c>
      <c r="BI37" s="9" t="str">
        <f aca="false">IF(COUNTA(AA37,AG37,AM37)=0,"",(AA37="Sí")+(AG37="Sí")+(AM37="Sí"))</f>
        <v/>
      </c>
      <c r="BJ37" s="9" t="str">
        <f aca="false">IF(COUNTA(AB37,AH37,AN37)=0,"",(AB37="Sí")+(AH37="Sí")+(AN37="Sí"))</f>
        <v/>
      </c>
      <c r="BK37" s="9" t="str">
        <f aca="false">IF(COUNT(AO37:AV37)=8,SUM(AO37:AV37),"")</f>
        <v/>
      </c>
    </row>
    <row r="38" customFormat="false" ht="15" hidden="false" customHeight="false" outlineLevel="0" collapsed="false">
      <c r="A38" s="4" t="s">
        <v>99</v>
      </c>
      <c r="B38" s="5"/>
      <c r="C38" s="6"/>
      <c r="D38" s="7"/>
      <c r="E38" s="7"/>
      <c r="F38" s="7"/>
      <c r="G38" s="6"/>
      <c r="H38" s="7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8" t="str">
        <f aca="false">INDEX(Tarjetas!$A$4:$A$59,MOD(3*(VALUE(MID(A38,3,2))-1)+0,ROWS(Tarjetas!$A$4:$A$59))+1)</f>
        <v>S47</v>
      </c>
      <c r="U38" s="8" t="str">
        <f aca="false">INDEX(Tarjetas!$A$4:$A$59,MOD(3*(VALUE(MID(A38,3,2))-1)+1,ROWS(Tarjetas!$A$4:$A$59))+1)</f>
        <v>S48</v>
      </c>
      <c r="V38" s="8" t="str">
        <f aca="false">INDEX(Tarjetas!$A$4:$A$59,MOD(3*(VALUE(MID(A38,3,2))-1)+2,ROWS(Tarjetas!$A$4:$A$59))+1)</f>
        <v>S49</v>
      </c>
      <c r="W38" s="6"/>
      <c r="X38" s="7"/>
      <c r="Y38" s="7"/>
      <c r="Z38" s="7"/>
      <c r="AA38" s="7"/>
      <c r="AB38" s="7"/>
      <c r="AC38" s="6"/>
      <c r="AD38" s="7"/>
      <c r="AE38" s="7"/>
      <c r="AF38" s="7"/>
      <c r="AG38" s="7"/>
      <c r="AH38" s="7"/>
      <c r="AI38" s="6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6"/>
      <c r="AZ38" s="9" t="str">
        <f aca="false">IF(COUNTA(B38,F38)=0,"",IF(AND(F38="Sí",H38&lt;&gt;"",S38&lt;&gt;"",COUNT(X38,AD38,AJ38)=3,COUNT(AO38:AV38)=8,AW38&lt;&gt;""),"Sí","No"))</f>
        <v/>
      </c>
      <c r="BA38" s="10" t="str">
        <f aca="false">IF(H38="","",IFERROR(INDEX(Parametros!$B$4:$B$9,MATCH(H38,Parametros!$A$4:$A$9,0)),""))</f>
        <v/>
      </c>
      <c r="BB38" s="11" t="str">
        <f aca="false">IF(COUNT(X38,AD38,AJ38)=3,AVERAGE(X38,AD38,AJ38)/60,"")</f>
        <v/>
      </c>
      <c r="BC38" s="11" t="str">
        <f aca="false">IF(AND(ISNUMBER(BA38),ISNUMBER(BB38)),BB38-BA38,"")</f>
        <v/>
      </c>
      <c r="BD38" s="12" t="str">
        <f aca="false">IF(AND(ISNUMBER(BA38),ISNUMBER(BB38)),IF(BA38&gt;0,(BA38-BB38)/BA38,""),"")</f>
        <v/>
      </c>
      <c r="BE38" s="9" t="str">
        <f aca="false">IF(S38="","",S38)</f>
        <v/>
      </c>
      <c r="BF38" s="9" t="str">
        <f aca="false">IF(AW38="","",AW38)</f>
        <v/>
      </c>
      <c r="BG38" s="9" t="str">
        <f aca="false">IF(AND(ISNUMBER(BE38),ISNUMBER(BF38)),BF38-BE38,"")</f>
        <v/>
      </c>
      <c r="BH38" s="9" t="str">
        <f aca="false">IF(COUNTA(Z38,AF38,AL38)=0,"",(Z38="Sí")+(AF38="Sí")+(AL38="Sí"))</f>
        <v/>
      </c>
      <c r="BI38" s="9" t="str">
        <f aca="false">IF(COUNTA(AA38,AG38,AM38)=0,"",(AA38="Sí")+(AG38="Sí")+(AM38="Sí"))</f>
        <v/>
      </c>
      <c r="BJ38" s="9" t="str">
        <f aca="false">IF(COUNTA(AB38,AH38,AN38)=0,"",(AB38="Sí")+(AH38="Sí")+(AN38="Sí"))</f>
        <v/>
      </c>
      <c r="BK38" s="9" t="str">
        <f aca="false">IF(COUNT(AO38:AV38)=8,SUM(AO38:AV38),"")</f>
        <v/>
      </c>
    </row>
    <row r="39" customFormat="false" ht="15" hidden="false" customHeight="false" outlineLevel="0" collapsed="false">
      <c r="A39" s="4" t="s">
        <v>100</v>
      </c>
      <c r="B39" s="5"/>
      <c r="C39" s="6"/>
      <c r="D39" s="7"/>
      <c r="E39" s="7"/>
      <c r="F39" s="7"/>
      <c r="G39" s="6"/>
      <c r="H39" s="7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8" t="str">
        <f aca="false">INDEX(Tarjetas!$A$4:$A$59,MOD(3*(VALUE(MID(A39,3,2))-1)+0,ROWS(Tarjetas!$A$4:$A$59))+1)</f>
        <v>S50</v>
      </c>
      <c r="U39" s="8" t="str">
        <f aca="false">INDEX(Tarjetas!$A$4:$A$59,MOD(3*(VALUE(MID(A39,3,2))-1)+1,ROWS(Tarjetas!$A$4:$A$59))+1)</f>
        <v>S51</v>
      </c>
      <c r="V39" s="8" t="str">
        <f aca="false">INDEX(Tarjetas!$A$4:$A$59,MOD(3*(VALUE(MID(A39,3,2))-1)+2,ROWS(Tarjetas!$A$4:$A$59))+1)</f>
        <v>S52</v>
      </c>
      <c r="W39" s="6"/>
      <c r="X39" s="7"/>
      <c r="Y39" s="7"/>
      <c r="Z39" s="7"/>
      <c r="AA39" s="7"/>
      <c r="AB39" s="7"/>
      <c r="AC39" s="6"/>
      <c r="AD39" s="7"/>
      <c r="AE39" s="7"/>
      <c r="AF39" s="7"/>
      <c r="AG39" s="7"/>
      <c r="AH39" s="7"/>
      <c r="AI39" s="6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6"/>
      <c r="AZ39" s="9" t="str">
        <f aca="false">IF(COUNTA(B39,F39)=0,"",IF(AND(F39="Sí",H39&lt;&gt;"",S39&lt;&gt;"",COUNT(X39,AD39,AJ39)=3,COUNT(AO39:AV39)=8,AW39&lt;&gt;""),"Sí","No"))</f>
        <v/>
      </c>
      <c r="BA39" s="10" t="str">
        <f aca="false">IF(H39="","",IFERROR(INDEX(Parametros!$B$4:$B$9,MATCH(H39,Parametros!$A$4:$A$9,0)),""))</f>
        <v/>
      </c>
      <c r="BB39" s="11" t="str">
        <f aca="false">IF(COUNT(X39,AD39,AJ39)=3,AVERAGE(X39,AD39,AJ39)/60,"")</f>
        <v/>
      </c>
      <c r="BC39" s="11" t="str">
        <f aca="false">IF(AND(ISNUMBER(BA39),ISNUMBER(BB39)),BB39-BA39,"")</f>
        <v/>
      </c>
      <c r="BD39" s="12" t="str">
        <f aca="false">IF(AND(ISNUMBER(BA39),ISNUMBER(BB39)),IF(BA39&gt;0,(BA39-BB39)/BA39,""),"")</f>
        <v/>
      </c>
      <c r="BE39" s="9" t="str">
        <f aca="false">IF(S39="","",S39)</f>
        <v/>
      </c>
      <c r="BF39" s="9" t="str">
        <f aca="false">IF(AW39="","",AW39)</f>
        <v/>
      </c>
      <c r="BG39" s="9" t="str">
        <f aca="false">IF(AND(ISNUMBER(BE39),ISNUMBER(BF39)),BF39-BE39,"")</f>
        <v/>
      </c>
      <c r="BH39" s="9" t="str">
        <f aca="false">IF(COUNTA(Z39,AF39,AL39)=0,"",(Z39="Sí")+(AF39="Sí")+(AL39="Sí"))</f>
        <v/>
      </c>
      <c r="BI39" s="9" t="str">
        <f aca="false">IF(COUNTA(AA39,AG39,AM39)=0,"",(AA39="Sí")+(AG39="Sí")+(AM39="Sí"))</f>
        <v/>
      </c>
      <c r="BJ39" s="9" t="str">
        <f aca="false">IF(COUNTA(AB39,AH39,AN39)=0,"",(AB39="Sí")+(AH39="Sí")+(AN39="Sí"))</f>
        <v/>
      </c>
      <c r="BK39" s="9" t="str">
        <f aca="false">IF(COUNT(AO39:AV39)=8,SUM(AO39:AV39),"")</f>
        <v/>
      </c>
    </row>
    <row r="40" customFormat="false" ht="15" hidden="false" customHeight="false" outlineLevel="0" collapsed="false">
      <c r="A40" s="4" t="s">
        <v>101</v>
      </c>
      <c r="B40" s="5"/>
      <c r="C40" s="6"/>
      <c r="D40" s="7"/>
      <c r="E40" s="7"/>
      <c r="F40" s="7"/>
      <c r="G40" s="6"/>
      <c r="H40" s="7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8" t="str">
        <f aca="false">INDEX(Tarjetas!$A$4:$A$59,MOD(3*(VALUE(MID(A40,3,2))-1)+0,ROWS(Tarjetas!$A$4:$A$59))+1)</f>
        <v>S53</v>
      </c>
      <c r="U40" s="8" t="str">
        <f aca="false">INDEX(Tarjetas!$A$4:$A$59,MOD(3*(VALUE(MID(A40,3,2))-1)+1,ROWS(Tarjetas!$A$4:$A$59))+1)</f>
        <v>S54</v>
      </c>
      <c r="V40" s="8" t="str">
        <f aca="false">INDEX(Tarjetas!$A$4:$A$59,MOD(3*(VALUE(MID(A40,3,2))-1)+2,ROWS(Tarjetas!$A$4:$A$59))+1)</f>
        <v>S55</v>
      </c>
      <c r="W40" s="6"/>
      <c r="X40" s="7"/>
      <c r="Y40" s="7"/>
      <c r="Z40" s="7"/>
      <c r="AA40" s="7"/>
      <c r="AB40" s="7"/>
      <c r="AC40" s="6"/>
      <c r="AD40" s="7"/>
      <c r="AE40" s="7"/>
      <c r="AF40" s="7"/>
      <c r="AG40" s="7"/>
      <c r="AH40" s="7"/>
      <c r="AI40" s="6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6"/>
      <c r="AZ40" s="9" t="str">
        <f aca="false">IF(COUNTA(B40,F40)=0,"",IF(AND(F40="Sí",H40&lt;&gt;"",S40&lt;&gt;"",COUNT(X40,AD40,AJ40)=3,COUNT(AO40:AV40)=8,AW40&lt;&gt;""),"Sí","No"))</f>
        <v/>
      </c>
      <c r="BA40" s="10" t="str">
        <f aca="false">IF(H40="","",IFERROR(INDEX(Parametros!$B$4:$B$9,MATCH(H40,Parametros!$A$4:$A$9,0)),""))</f>
        <v/>
      </c>
      <c r="BB40" s="11" t="str">
        <f aca="false">IF(COUNT(X40,AD40,AJ40)=3,AVERAGE(X40,AD40,AJ40)/60,"")</f>
        <v/>
      </c>
      <c r="BC40" s="11" t="str">
        <f aca="false">IF(AND(ISNUMBER(BA40),ISNUMBER(BB40)),BB40-BA40,"")</f>
        <v/>
      </c>
      <c r="BD40" s="12" t="str">
        <f aca="false">IF(AND(ISNUMBER(BA40),ISNUMBER(BB40)),IF(BA40&gt;0,(BA40-BB40)/BA40,""),"")</f>
        <v/>
      </c>
      <c r="BE40" s="9" t="str">
        <f aca="false">IF(S40="","",S40)</f>
        <v/>
      </c>
      <c r="BF40" s="9" t="str">
        <f aca="false">IF(AW40="","",AW40)</f>
        <v/>
      </c>
      <c r="BG40" s="9" t="str">
        <f aca="false">IF(AND(ISNUMBER(BE40),ISNUMBER(BF40)),BF40-BE40,"")</f>
        <v/>
      </c>
      <c r="BH40" s="9" t="str">
        <f aca="false">IF(COUNTA(Z40,AF40,AL40)=0,"",(Z40="Sí")+(AF40="Sí")+(AL40="Sí"))</f>
        <v/>
      </c>
      <c r="BI40" s="9" t="str">
        <f aca="false">IF(COUNTA(AA40,AG40,AM40)=0,"",(AA40="Sí")+(AG40="Sí")+(AM40="Sí"))</f>
        <v/>
      </c>
      <c r="BJ40" s="9" t="str">
        <f aca="false">IF(COUNTA(AB40,AH40,AN40)=0,"",(AB40="Sí")+(AH40="Sí")+(AN40="Sí"))</f>
        <v/>
      </c>
      <c r="BK40" s="9" t="str">
        <f aca="false">IF(COUNT(AO40:AV40)=8,SUM(AO40:AV40),"")</f>
        <v/>
      </c>
    </row>
    <row r="41" customFormat="false" ht="15" hidden="false" customHeight="false" outlineLevel="0" collapsed="false">
      <c r="A41" s="4" t="s">
        <v>102</v>
      </c>
      <c r="B41" s="5"/>
      <c r="C41" s="6"/>
      <c r="D41" s="7"/>
      <c r="E41" s="7"/>
      <c r="F41" s="7"/>
      <c r="G41" s="6"/>
      <c r="H41" s="7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8" t="str">
        <f aca="false">INDEX(Tarjetas!$A$4:$A$59,MOD(3*(VALUE(MID(A41,3,2))-1)+0,ROWS(Tarjetas!$A$4:$A$59))+1)</f>
        <v>S56</v>
      </c>
      <c r="U41" s="8" t="str">
        <f aca="false">INDEX(Tarjetas!$A$4:$A$59,MOD(3*(VALUE(MID(A41,3,2))-1)+1,ROWS(Tarjetas!$A$4:$A$59))+1)</f>
        <v>S01</v>
      </c>
      <c r="V41" s="8" t="str">
        <f aca="false">INDEX(Tarjetas!$A$4:$A$59,MOD(3*(VALUE(MID(A41,3,2))-1)+2,ROWS(Tarjetas!$A$4:$A$59))+1)</f>
        <v>S02</v>
      </c>
      <c r="W41" s="6"/>
      <c r="X41" s="7"/>
      <c r="Y41" s="7"/>
      <c r="Z41" s="7"/>
      <c r="AA41" s="7"/>
      <c r="AB41" s="7"/>
      <c r="AC41" s="6"/>
      <c r="AD41" s="7"/>
      <c r="AE41" s="7"/>
      <c r="AF41" s="7"/>
      <c r="AG41" s="7"/>
      <c r="AH41" s="7"/>
      <c r="AI41" s="6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6"/>
      <c r="AZ41" s="9" t="str">
        <f aca="false">IF(COUNTA(B41,F41)=0,"",IF(AND(F41="Sí",H41&lt;&gt;"",S41&lt;&gt;"",COUNT(X41,AD41,AJ41)=3,COUNT(AO41:AV41)=8,AW41&lt;&gt;""),"Sí","No"))</f>
        <v/>
      </c>
      <c r="BA41" s="10" t="str">
        <f aca="false">IF(H41="","",IFERROR(INDEX(Parametros!$B$4:$B$9,MATCH(H41,Parametros!$A$4:$A$9,0)),""))</f>
        <v/>
      </c>
      <c r="BB41" s="11" t="str">
        <f aca="false">IF(COUNT(X41,AD41,AJ41)=3,AVERAGE(X41,AD41,AJ41)/60,"")</f>
        <v/>
      </c>
      <c r="BC41" s="11" t="str">
        <f aca="false">IF(AND(ISNUMBER(BA41),ISNUMBER(BB41)),BB41-BA41,"")</f>
        <v/>
      </c>
      <c r="BD41" s="12" t="str">
        <f aca="false">IF(AND(ISNUMBER(BA41),ISNUMBER(BB41)),IF(BA41&gt;0,(BA41-BB41)/BA41,""),"")</f>
        <v/>
      </c>
      <c r="BE41" s="9" t="str">
        <f aca="false">IF(S41="","",S41)</f>
        <v/>
      </c>
      <c r="BF41" s="9" t="str">
        <f aca="false">IF(AW41="","",AW41)</f>
        <v/>
      </c>
      <c r="BG41" s="9" t="str">
        <f aca="false">IF(AND(ISNUMBER(BE41),ISNUMBER(BF41)),BF41-BE41,"")</f>
        <v/>
      </c>
      <c r="BH41" s="9" t="str">
        <f aca="false">IF(COUNTA(Z41,AF41,AL41)=0,"",(Z41="Sí")+(AF41="Sí")+(AL41="Sí"))</f>
        <v/>
      </c>
      <c r="BI41" s="9" t="str">
        <f aca="false">IF(COUNTA(AA41,AG41,AM41)=0,"",(AA41="Sí")+(AG41="Sí")+(AM41="Sí"))</f>
        <v/>
      </c>
      <c r="BJ41" s="9" t="str">
        <f aca="false">IF(COUNTA(AB41,AH41,AN41)=0,"",(AB41="Sí")+(AH41="Sí")+(AN41="Sí"))</f>
        <v/>
      </c>
      <c r="BK41" s="9" t="str">
        <f aca="false">IF(COUNT(AO41:AV41)=8,SUM(AO41:AV41),"")</f>
        <v/>
      </c>
    </row>
    <row r="42" customFormat="false" ht="15" hidden="false" customHeight="false" outlineLevel="0" collapsed="false">
      <c r="A42" s="4" t="s">
        <v>103</v>
      </c>
      <c r="B42" s="5"/>
      <c r="C42" s="6"/>
      <c r="D42" s="7"/>
      <c r="E42" s="7"/>
      <c r="F42" s="7"/>
      <c r="G42" s="6"/>
      <c r="H42" s="7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8" t="str">
        <f aca="false">INDEX(Tarjetas!$A$4:$A$59,MOD(3*(VALUE(MID(A42,3,2))-1)+0,ROWS(Tarjetas!$A$4:$A$59))+1)</f>
        <v>S03</v>
      </c>
      <c r="U42" s="8" t="str">
        <f aca="false">INDEX(Tarjetas!$A$4:$A$59,MOD(3*(VALUE(MID(A42,3,2))-1)+1,ROWS(Tarjetas!$A$4:$A$59))+1)</f>
        <v>S04</v>
      </c>
      <c r="V42" s="8" t="str">
        <f aca="false">INDEX(Tarjetas!$A$4:$A$59,MOD(3*(VALUE(MID(A42,3,2))-1)+2,ROWS(Tarjetas!$A$4:$A$59))+1)</f>
        <v>S05</v>
      </c>
      <c r="W42" s="6"/>
      <c r="X42" s="7"/>
      <c r="Y42" s="7"/>
      <c r="Z42" s="7"/>
      <c r="AA42" s="7"/>
      <c r="AB42" s="7"/>
      <c r="AC42" s="6"/>
      <c r="AD42" s="7"/>
      <c r="AE42" s="7"/>
      <c r="AF42" s="7"/>
      <c r="AG42" s="7"/>
      <c r="AH42" s="7"/>
      <c r="AI42" s="6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6"/>
      <c r="AZ42" s="9" t="str">
        <f aca="false">IF(COUNTA(B42,F42)=0,"",IF(AND(F42="Sí",H42&lt;&gt;"",S42&lt;&gt;"",COUNT(X42,AD42,AJ42)=3,COUNT(AO42:AV42)=8,AW42&lt;&gt;""),"Sí","No"))</f>
        <v/>
      </c>
      <c r="BA42" s="10" t="str">
        <f aca="false">IF(H42="","",IFERROR(INDEX(Parametros!$B$4:$B$9,MATCH(H42,Parametros!$A$4:$A$9,0)),""))</f>
        <v/>
      </c>
      <c r="BB42" s="11" t="str">
        <f aca="false">IF(COUNT(X42,AD42,AJ42)=3,AVERAGE(X42,AD42,AJ42)/60,"")</f>
        <v/>
      </c>
      <c r="BC42" s="11" t="str">
        <f aca="false">IF(AND(ISNUMBER(BA42),ISNUMBER(BB42)),BB42-BA42,"")</f>
        <v/>
      </c>
      <c r="BD42" s="12" t="str">
        <f aca="false">IF(AND(ISNUMBER(BA42),ISNUMBER(BB42)),IF(BA42&gt;0,(BA42-BB42)/BA42,""),"")</f>
        <v/>
      </c>
      <c r="BE42" s="9" t="str">
        <f aca="false">IF(S42="","",S42)</f>
        <v/>
      </c>
      <c r="BF42" s="9" t="str">
        <f aca="false">IF(AW42="","",AW42)</f>
        <v/>
      </c>
      <c r="BG42" s="9" t="str">
        <f aca="false">IF(AND(ISNUMBER(BE42),ISNUMBER(BF42)),BF42-BE42,"")</f>
        <v/>
      </c>
      <c r="BH42" s="9" t="str">
        <f aca="false">IF(COUNTA(Z42,AF42,AL42)=0,"",(Z42="Sí")+(AF42="Sí")+(AL42="Sí"))</f>
        <v/>
      </c>
      <c r="BI42" s="9" t="str">
        <f aca="false">IF(COUNTA(AA42,AG42,AM42)=0,"",(AA42="Sí")+(AG42="Sí")+(AM42="Sí"))</f>
        <v/>
      </c>
      <c r="BJ42" s="9" t="str">
        <f aca="false">IF(COUNTA(AB42,AH42,AN42)=0,"",(AB42="Sí")+(AH42="Sí")+(AN42="Sí"))</f>
        <v/>
      </c>
      <c r="BK42" s="9" t="str">
        <f aca="false">IF(COUNT(AO42:AV42)=8,SUM(AO42:AV42),"")</f>
        <v/>
      </c>
    </row>
    <row r="43" customFormat="false" ht="15" hidden="false" customHeight="false" outlineLevel="0" collapsed="false">
      <c r="A43" s="4" t="s">
        <v>104</v>
      </c>
      <c r="B43" s="5"/>
      <c r="C43" s="6"/>
      <c r="D43" s="7"/>
      <c r="E43" s="7"/>
      <c r="F43" s="7"/>
      <c r="G43" s="6"/>
      <c r="H43" s="7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8" t="str">
        <f aca="false">INDEX(Tarjetas!$A$4:$A$59,MOD(3*(VALUE(MID(A43,3,2))-1)+0,ROWS(Tarjetas!$A$4:$A$59))+1)</f>
        <v>S06</v>
      </c>
      <c r="U43" s="8" t="str">
        <f aca="false">INDEX(Tarjetas!$A$4:$A$59,MOD(3*(VALUE(MID(A43,3,2))-1)+1,ROWS(Tarjetas!$A$4:$A$59))+1)</f>
        <v>S07</v>
      </c>
      <c r="V43" s="8" t="str">
        <f aca="false">INDEX(Tarjetas!$A$4:$A$59,MOD(3*(VALUE(MID(A43,3,2))-1)+2,ROWS(Tarjetas!$A$4:$A$59))+1)</f>
        <v>S08</v>
      </c>
      <c r="W43" s="6"/>
      <c r="X43" s="7"/>
      <c r="Y43" s="7"/>
      <c r="Z43" s="7"/>
      <c r="AA43" s="7"/>
      <c r="AB43" s="7"/>
      <c r="AC43" s="6"/>
      <c r="AD43" s="7"/>
      <c r="AE43" s="7"/>
      <c r="AF43" s="7"/>
      <c r="AG43" s="7"/>
      <c r="AH43" s="7"/>
      <c r="AI43" s="6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6"/>
      <c r="AZ43" s="9" t="str">
        <f aca="false">IF(COUNTA(B43,F43)=0,"",IF(AND(F43="Sí",H43&lt;&gt;"",S43&lt;&gt;"",COUNT(X43,AD43,AJ43)=3,COUNT(AO43:AV43)=8,AW43&lt;&gt;""),"Sí","No"))</f>
        <v/>
      </c>
      <c r="BA43" s="10" t="str">
        <f aca="false">IF(H43="","",IFERROR(INDEX(Parametros!$B$4:$B$9,MATCH(H43,Parametros!$A$4:$A$9,0)),""))</f>
        <v/>
      </c>
      <c r="BB43" s="11" t="str">
        <f aca="false">IF(COUNT(X43,AD43,AJ43)=3,AVERAGE(X43,AD43,AJ43)/60,"")</f>
        <v/>
      </c>
      <c r="BC43" s="11" t="str">
        <f aca="false">IF(AND(ISNUMBER(BA43),ISNUMBER(BB43)),BB43-BA43,"")</f>
        <v/>
      </c>
      <c r="BD43" s="12" t="str">
        <f aca="false">IF(AND(ISNUMBER(BA43),ISNUMBER(BB43)),IF(BA43&gt;0,(BA43-BB43)/BA43,""),"")</f>
        <v/>
      </c>
      <c r="BE43" s="9" t="str">
        <f aca="false">IF(S43="","",S43)</f>
        <v/>
      </c>
      <c r="BF43" s="9" t="str">
        <f aca="false">IF(AW43="","",AW43)</f>
        <v/>
      </c>
      <c r="BG43" s="9" t="str">
        <f aca="false">IF(AND(ISNUMBER(BE43),ISNUMBER(BF43)),BF43-BE43,"")</f>
        <v/>
      </c>
      <c r="BH43" s="9" t="str">
        <f aca="false">IF(COUNTA(Z43,AF43,AL43)=0,"",(Z43="Sí")+(AF43="Sí")+(AL43="Sí"))</f>
        <v/>
      </c>
      <c r="BI43" s="9" t="str">
        <f aca="false">IF(COUNTA(AA43,AG43,AM43)=0,"",(AA43="Sí")+(AG43="Sí")+(AM43="Sí"))</f>
        <v/>
      </c>
      <c r="BJ43" s="9" t="str">
        <f aca="false">IF(COUNTA(AB43,AH43,AN43)=0,"",(AB43="Sí")+(AH43="Sí")+(AN43="Sí"))</f>
        <v/>
      </c>
      <c r="BK43" s="9" t="str">
        <f aca="false">IF(COUNT(AO43:AV43)=8,SUM(AO43:AV43),"")</f>
        <v/>
      </c>
    </row>
    <row r="44" customFormat="false" ht="15" hidden="false" customHeight="false" outlineLevel="0" collapsed="false">
      <c r="A44" s="4" t="s">
        <v>105</v>
      </c>
      <c r="B44" s="5"/>
      <c r="C44" s="6"/>
      <c r="D44" s="7"/>
      <c r="E44" s="7"/>
      <c r="F44" s="7"/>
      <c r="G44" s="6"/>
      <c r="H44" s="7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8" t="str">
        <f aca="false">INDEX(Tarjetas!$A$4:$A$59,MOD(3*(VALUE(MID(A44,3,2))-1)+0,ROWS(Tarjetas!$A$4:$A$59))+1)</f>
        <v>S09</v>
      </c>
      <c r="U44" s="8" t="str">
        <f aca="false">INDEX(Tarjetas!$A$4:$A$59,MOD(3*(VALUE(MID(A44,3,2))-1)+1,ROWS(Tarjetas!$A$4:$A$59))+1)</f>
        <v>S10</v>
      </c>
      <c r="V44" s="8" t="str">
        <f aca="false">INDEX(Tarjetas!$A$4:$A$59,MOD(3*(VALUE(MID(A44,3,2))-1)+2,ROWS(Tarjetas!$A$4:$A$59))+1)</f>
        <v>S11</v>
      </c>
      <c r="W44" s="6"/>
      <c r="X44" s="7"/>
      <c r="Y44" s="7"/>
      <c r="Z44" s="7"/>
      <c r="AA44" s="7"/>
      <c r="AB44" s="7"/>
      <c r="AC44" s="6"/>
      <c r="AD44" s="7"/>
      <c r="AE44" s="7"/>
      <c r="AF44" s="7"/>
      <c r="AG44" s="7"/>
      <c r="AH44" s="7"/>
      <c r="AI44" s="6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6"/>
      <c r="AZ44" s="9" t="str">
        <f aca="false">IF(COUNTA(B44,F44)=0,"",IF(AND(F44="Sí",H44&lt;&gt;"",S44&lt;&gt;"",COUNT(X44,AD44,AJ44)=3,COUNT(AO44:AV44)=8,AW44&lt;&gt;""),"Sí","No"))</f>
        <v/>
      </c>
      <c r="BA44" s="10" t="str">
        <f aca="false">IF(H44="","",IFERROR(INDEX(Parametros!$B$4:$B$9,MATCH(H44,Parametros!$A$4:$A$9,0)),""))</f>
        <v/>
      </c>
      <c r="BB44" s="11" t="str">
        <f aca="false">IF(COUNT(X44,AD44,AJ44)=3,AVERAGE(X44,AD44,AJ44)/60,"")</f>
        <v/>
      </c>
      <c r="BC44" s="11" t="str">
        <f aca="false">IF(AND(ISNUMBER(BA44),ISNUMBER(BB44)),BB44-BA44,"")</f>
        <v/>
      </c>
      <c r="BD44" s="12" t="str">
        <f aca="false">IF(AND(ISNUMBER(BA44),ISNUMBER(BB44)),IF(BA44&gt;0,(BA44-BB44)/BA44,""),"")</f>
        <v/>
      </c>
      <c r="BE44" s="9" t="str">
        <f aca="false">IF(S44="","",S44)</f>
        <v/>
      </c>
      <c r="BF44" s="9" t="str">
        <f aca="false">IF(AW44="","",AW44)</f>
        <v/>
      </c>
      <c r="BG44" s="9" t="str">
        <f aca="false">IF(AND(ISNUMBER(BE44),ISNUMBER(BF44)),BF44-BE44,"")</f>
        <v/>
      </c>
      <c r="BH44" s="9" t="str">
        <f aca="false">IF(COUNTA(Z44,AF44,AL44)=0,"",(Z44="Sí")+(AF44="Sí")+(AL44="Sí"))</f>
        <v/>
      </c>
      <c r="BI44" s="9" t="str">
        <f aca="false">IF(COUNTA(AA44,AG44,AM44)=0,"",(AA44="Sí")+(AG44="Sí")+(AM44="Sí"))</f>
        <v/>
      </c>
      <c r="BJ44" s="9" t="str">
        <f aca="false">IF(COUNTA(AB44,AH44,AN44)=0,"",(AB44="Sí")+(AH44="Sí")+(AN44="Sí"))</f>
        <v/>
      </c>
      <c r="BK44" s="9" t="str">
        <f aca="false">IF(COUNT(AO44:AV44)=8,SUM(AO44:AV44),"")</f>
        <v/>
      </c>
    </row>
    <row r="45" customFormat="false" ht="15" hidden="false" customHeight="false" outlineLevel="0" collapsed="false">
      <c r="A45" s="4" t="s">
        <v>106</v>
      </c>
      <c r="B45" s="5"/>
      <c r="C45" s="6"/>
      <c r="D45" s="7"/>
      <c r="E45" s="7"/>
      <c r="F45" s="7"/>
      <c r="G45" s="6"/>
      <c r="H45" s="7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8" t="str">
        <f aca="false">INDEX(Tarjetas!$A$4:$A$59,MOD(3*(VALUE(MID(A45,3,2))-1)+0,ROWS(Tarjetas!$A$4:$A$59))+1)</f>
        <v>S12</v>
      </c>
      <c r="U45" s="8" t="str">
        <f aca="false">INDEX(Tarjetas!$A$4:$A$59,MOD(3*(VALUE(MID(A45,3,2))-1)+1,ROWS(Tarjetas!$A$4:$A$59))+1)</f>
        <v>S13</v>
      </c>
      <c r="V45" s="8" t="str">
        <f aca="false">INDEX(Tarjetas!$A$4:$A$59,MOD(3*(VALUE(MID(A45,3,2))-1)+2,ROWS(Tarjetas!$A$4:$A$59))+1)</f>
        <v>S14</v>
      </c>
      <c r="W45" s="6"/>
      <c r="X45" s="7"/>
      <c r="Y45" s="7"/>
      <c r="Z45" s="7"/>
      <c r="AA45" s="7"/>
      <c r="AB45" s="7"/>
      <c r="AC45" s="6"/>
      <c r="AD45" s="7"/>
      <c r="AE45" s="7"/>
      <c r="AF45" s="7"/>
      <c r="AG45" s="7"/>
      <c r="AH45" s="7"/>
      <c r="AI45" s="6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6"/>
      <c r="AZ45" s="9" t="str">
        <f aca="false">IF(COUNTA(B45,F45)=0,"",IF(AND(F45="Sí",H45&lt;&gt;"",S45&lt;&gt;"",COUNT(X45,AD45,AJ45)=3,COUNT(AO45:AV45)=8,AW45&lt;&gt;""),"Sí","No"))</f>
        <v/>
      </c>
      <c r="BA45" s="10" t="str">
        <f aca="false">IF(H45="","",IFERROR(INDEX(Parametros!$B$4:$B$9,MATCH(H45,Parametros!$A$4:$A$9,0)),""))</f>
        <v/>
      </c>
      <c r="BB45" s="11" t="str">
        <f aca="false">IF(COUNT(X45,AD45,AJ45)=3,AVERAGE(X45,AD45,AJ45)/60,"")</f>
        <v/>
      </c>
      <c r="BC45" s="11" t="str">
        <f aca="false">IF(AND(ISNUMBER(BA45),ISNUMBER(BB45)),BB45-BA45,"")</f>
        <v/>
      </c>
      <c r="BD45" s="12" t="str">
        <f aca="false">IF(AND(ISNUMBER(BA45),ISNUMBER(BB45)),IF(BA45&gt;0,(BA45-BB45)/BA45,""),"")</f>
        <v/>
      </c>
      <c r="BE45" s="9" t="str">
        <f aca="false">IF(S45="","",S45)</f>
        <v/>
      </c>
      <c r="BF45" s="9" t="str">
        <f aca="false">IF(AW45="","",AW45)</f>
        <v/>
      </c>
      <c r="BG45" s="9" t="str">
        <f aca="false">IF(AND(ISNUMBER(BE45),ISNUMBER(BF45)),BF45-BE45,"")</f>
        <v/>
      </c>
      <c r="BH45" s="9" t="str">
        <f aca="false">IF(COUNTA(Z45,AF45,AL45)=0,"",(Z45="Sí")+(AF45="Sí")+(AL45="Sí"))</f>
        <v/>
      </c>
      <c r="BI45" s="9" t="str">
        <f aca="false">IF(COUNTA(AA45,AG45,AM45)=0,"",(AA45="Sí")+(AG45="Sí")+(AM45="Sí"))</f>
        <v/>
      </c>
      <c r="BJ45" s="9" t="str">
        <f aca="false">IF(COUNTA(AB45,AH45,AN45)=0,"",(AB45="Sí")+(AH45="Sí")+(AN45="Sí"))</f>
        <v/>
      </c>
      <c r="BK45" s="9" t="str">
        <f aca="false">IF(COUNT(AO45:AV45)=8,SUM(AO45:AV45),"")</f>
        <v/>
      </c>
    </row>
    <row r="46" customFormat="false" ht="15" hidden="false" customHeight="false" outlineLevel="0" collapsed="false">
      <c r="A46" s="4" t="s">
        <v>107</v>
      </c>
      <c r="B46" s="5"/>
      <c r="C46" s="6"/>
      <c r="D46" s="7"/>
      <c r="E46" s="7"/>
      <c r="F46" s="7"/>
      <c r="G46" s="6"/>
      <c r="H46" s="7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8" t="str">
        <f aca="false">INDEX(Tarjetas!$A$4:$A$59,MOD(3*(VALUE(MID(A46,3,2))-1)+0,ROWS(Tarjetas!$A$4:$A$59))+1)</f>
        <v>S15</v>
      </c>
      <c r="U46" s="8" t="str">
        <f aca="false">INDEX(Tarjetas!$A$4:$A$59,MOD(3*(VALUE(MID(A46,3,2))-1)+1,ROWS(Tarjetas!$A$4:$A$59))+1)</f>
        <v>S16</v>
      </c>
      <c r="V46" s="8" t="str">
        <f aca="false">INDEX(Tarjetas!$A$4:$A$59,MOD(3*(VALUE(MID(A46,3,2))-1)+2,ROWS(Tarjetas!$A$4:$A$59))+1)</f>
        <v>S17</v>
      </c>
      <c r="W46" s="6"/>
      <c r="X46" s="7"/>
      <c r="Y46" s="7"/>
      <c r="Z46" s="7"/>
      <c r="AA46" s="7"/>
      <c r="AB46" s="7"/>
      <c r="AC46" s="6"/>
      <c r="AD46" s="7"/>
      <c r="AE46" s="7"/>
      <c r="AF46" s="7"/>
      <c r="AG46" s="7"/>
      <c r="AH46" s="7"/>
      <c r="AI46" s="6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6"/>
      <c r="AZ46" s="9" t="str">
        <f aca="false">IF(COUNTA(B46,F46)=0,"",IF(AND(F46="Sí",H46&lt;&gt;"",S46&lt;&gt;"",COUNT(X46,AD46,AJ46)=3,COUNT(AO46:AV46)=8,AW46&lt;&gt;""),"Sí","No"))</f>
        <v/>
      </c>
      <c r="BA46" s="10" t="str">
        <f aca="false">IF(H46="","",IFERROR(INDEX(Parametros!$B$4:$B$9,MATCH(H46,Parametros!$A$4:$A$9,0)),""))</f>
        <v/>
      </c>
      <c r="BB46" s="11" t="str">
        <f aca="false">IF(COUNT(X46,AD46,AJ46)=3,AVERAGE(X46,AD46,AJ46)/60,"")</f>
        <v/>
      </c>
      <c r="BC46" s="11" t="str">
        <f aca="false">IF(AND(ISNUMBER(BA46),ISNUMBER(BB46)),BB46-BA46,"")</f>
        <v/>
      </c>
      <c r="BD46" s="12" t="str">
        <f aca="false">IF(AND(ISNUMBER(BA46),ISNUMBER(BB46)),IF(BA46&gt;0,(BA46-BB46)/BA46,""),"")</f>
        <v/>
      </c>
      <c r="BE46" s="9" t="str">
        <f aca="false">IF(S46="","",S46)</f>
        <v/>
      </c>
      <c r="BF46" s="9" t="str">
        <f aca="false">IF(AW46="","",AW46)</f>
        <v/>
      </c>
      <c r="BG46" s="9" t="str">
        <f aca="false">IF(AND(ISNUMBER(BE46),ISNUMBER(BF46)),BF46-BE46,"")</f>
        <v/>
      </c>
      <c r="BH46" s="9" t="str">
        <f aca="false">IF(COUNTA(Z46,AF46,AL46)=0,"",(Z46="Sí")+(AF46="Sí")+(AL46="Sí"))</f>
        <v/>
      </c>
      <c r="BI46" s="9" t="str">
        <f aca="false">IF(COUNTA(AA46,AG46,AM46)=0,"",(AA46="Sí")+(AG46="Sí")+(AM46="Sí"))</f>
        <v/>
      </c>
      <c r="BJ46" s="9" t="str">
        <f aca="false">IF(COUNTA(AB46,AH46,AN46)=0,"",(AB46="Sí")+(AH46="Sí")+(AN46="Sí"))</f>
        <v/>
      </c>
      <c r="BK46" s="9" t="str">
        <f aca="false">IF(COUNT(AO46:AV46)=8,SUM(AO46:AV46),"")</f>
        <v/>
      </c>
    </row>
    <row r="47" customFormat="false" ht="15" hidden="false" customHeight="false" outlineLevel="0" collapsed="false">
      <c r="A47" s="4" t="s">
        <v>108</v>
      </c>
      <c r="B47" s="5"/>
      <c r="C47" s="6"/>
      <c r="D47" s="7"/>
      <c r="E47" s="7"/>
      <c r="F47" s="7"/>
      <c r="G47" s="6"/>
      <c r="H47" s="7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8" t="str">
        <f aca="false">INDEX(Tarjetas!$A$4:$A$59,MOD(3*(VALUE(MID(A47,3,2))-1)+0,ROWS(Tarjetas!$A$4:$A$59))+1)</f>
        <v>S18</v>
      </c>
      <c r="U47" s="8" t="str">
        <f aca="false">INDEX(Tarjetas!$A$4:$A$59,MOD(3*(VALUE(MID(A47,3,2))-1)+1,ROWS(Tarjetas!$A$4:$A$59))+1)</f>
        <v>S19</v>
      </c>
      <c r="V47" s="8" t="str">
        <f aca="false">INDEX(Tarjetas!$A$4:$A$59,MOD(3*(VALUE(MID(A47,3,2))-1)+2,ROWS(Tarjetas!$A$4:$A$59))+1)</f>
        <v>S20</v>
      </c>
      <c r="W47" s="6"/>
      <c r="X47" s="7"/>
      <c r="Y47" s="7"/>
      <c r="Z47" s="7"/>
      <c r="AA47" s="7"/>
      <c r="AB47" s="7"/>
      <c r="AC47" s="6"/>
      <c r="AD47" s="7"/>
      <c r="AE47" s="7"/>
      <c r="AF47" s="7"/>
      <c r="AG47" s="7"/>
      <c r="AH47" s="7"/>
      <c r="AI47" s="6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6"/>
      <c r="AZ47" s="9" t="str">
        <f aca="false">IF(COUNTA(B47,F47)=0,"",IF(AND(F47="Sí",H47&lt;&gt;"",S47&lt;&gt;"",COUNT(X47,AD47,AJ47)=3,COUNT(AO47:AV47)=8,AW47&lt;&gt;""),"Sí","No"))</f>
        <v/>
      </c>
      <c r="BA47" s="10" t="str">
        <f aca="false">IF(H47="","",IFERROR(INDEX(Parametros!$B$4:$B$9,MATCH(H47,Parametros!$A$4:$A$9,0)),""))</f>
        <v/>
      </c>
      <c r="BB47" s="11" t="str">
        <f aca="false">IF(COUNT(X47,AD47,AJ47)=3,AVERAGE(X47,AD47,AJ47)/60,"")</f>
        <v/>
      </c>
      <c r="BC47" s="11" t="str">
        <f aca="false">IF(AND(ISNUMBER(BA47),ISNUMBER(BB47)),BB47-BA47,"")</f>
        <v/>
      </c>
      <c r="BD47" s="12" t="str">
        <f aca="false">IF(AND(ISNUMBER(BA47),ISNUMBER(BB47)),IF(BA47&gt;0,(BA47-BB47)/BA47,""),"")</f>
        <v/>
      </c>
      <c r="BE47" s="9" t="str">
        <f aca="false">IF(S47="","",S47)</f>
        <v/>
      </c>
      <c r="BF47" s="9" t="str">
        <f aca="false">IF(AW47="","",AW47)</f>
        <v/>
      </c>
      <c r="BG47" s="9" t="str">
        <f aca="false">IF(AND(ISNUMBER(BE47),ISNUMBER(BF47)),BF47-BE47,"")</f>
        <v/>
      </c>
      <c r="BH47" s="9" t="str">
        <f aca="false">IF(COUNTA(Z47,AF47,AL47)=0,"",(Z47="Sí")+(AF47="Sí")+(AL47="Sí"))</f>
        <v/>
      </c>
      <c r="BI47" s="9" t="str">
        <f aca="false">IF(COUNTA(AA47,AG47,AM47)=0,"",(AA47="Sí")+(AG47="Sí")+(AM47="Sí"))</f>
        <v/>
      </c>
      <c r="BJ47" s="9" t="str">
        <f aca="false">IF(COUNTA(AB47,AH47,AN47)=0,"",(AB47="Sí")+(AH47="Sí")+(AN47="Sí"))</f>
        <v/>
      </c>
      <c r="BK47" s="9" t="str">
        <f aca="false">IF(COUNT(AO47:AV47)=8,SUM(AO47:AV47),"")</f>
        <v/>
      </c>
    </row>
    <row r="48" customFormat="false" ht="15" hidden="false" customHeight="false" outlineLevel="0" collapsed="false">
      <c r="A48" s="4" t="s">
        <v>109</v>
      </c>
      <c r="B48" s="5"/>
      <c r="C48" s="6"/>
      <c r="D48" s="7"/>
      <c r="E48" s="7"/>
      <c r="F48" s="7"/>
      <c r="G48" s="6"/>
      <c r="H48" s="7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8" t="str">
        <f aca="false">INDEX(Tarjetas!$A$4:$A$59,MOD(3*(VALUE(MID(A48,3,2))-1)+0,ROWS(Tarjetas!$A$4:$A$59))+1)</f>
        <v>S21</v>
      </c>
      <c r="U48" s="8" t="str">
        <f aca="false">INDEX(Tarjetas!$A$4:$A$59,MOD(3*(VALUE(MID(A48,3,2))-1)+1,ROWS(Tarjetas!$A$4:$A$59))+1)</f>
        <v>S22</v>
      </c>
      <c r="V48" s="8" t="str">
        <f aca="false">INDEX(Tarjetas!$A$4:$A$59,MOD(3*(VALUE(MID(A48,3,2))-1)+2,ROWS(Tarjetas!$A$4:$A$59))+1)</f>
        <v>S23</v>
      </c>
      <c r="W48" s="6"/>
      <c r="X48" s="7"/>
      <c r="Y48" s="7"/>
      <c r="Z48" s="7"/>
      <c r="AA48" s="7"/>
      <c r="AB48" s="7"/>
      <c r="AC48" s="6"/>
      <c r="AD48" s="7"/>
      <c r="AE48" s="7"/>
      <c r="AF48" s="7"/>
      <c r="AG48" s="7"/>
      <c r="AH48" s="7"/>
      <c r="AI48" s="6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6"/>
      <c r="AZ48" s="9" t="str">
        <f aca="false">IF(COUNTA(B48,F48)=0,"",IF(AND(F48="Sí",H48&lt;&gt;"",S48&lt;&gt;"",COUNT(X48,AD48,AJ48)=3,COUNT(AO48:AV48)=8,AW48&lt;&gt;""),"Sí","No"))</f>
        <v/>
      </c>
      <c r="BA48" s="10" t="str">
        <f aca="false">IF(H48="","",IFERROR(INDEX(Parametros!$B$4:$B$9,MATCH(H48,Parametros!$A$4:$A$9,0)),""))</f>
        <v/>
      </c>
      <c r="BB48" s="11" t="str">
        <f aca="false">IF(COUNT(X48,AD48,AJ48)=3,AVERAGE(X48,AD48,AJ48)/60,"")</f>
        <v/>
      </c>
      <c r="BC48" s="11" t="str">
        <f aca="false">IF(AND(ISNUMBER(BA48),ISNUMBER(BB48)),BB48-BA48,"")</f>
        <v/>
      </c>
      <c r="BD48" s="12" t="str">
        <f aca="false">IF(AND(ISNUMBER(BA48),ISNUMBER(BB48)),IF(BA48&gt;0,(BA48-BB48)/BA48,""),"")</f>
        <v/>
      </c>
      <c r="BE48" s="9" t="str">
        <f aca="false">IF(S48="","",S48)</f>
        <v/>
      </c>
      <c r="BF48" s="9" t="str">
        <f aca="false">IF(AW48="","",AW48)</f>
        <v/>
      </c>
      <c r="BG48" s="9" t="str">
        <f aca="false">IF(AND(ISNUMBER(BE48),ISNUMBER(BF48)),BF48-BE48,"")</f>
        <v/>
      </c>
      <c r="BH48" s="9" t="str">
        <f aca="false">IF(COUNTA(Z48,AF48,AL48)=0,"",(Z48="Sí")+(AF48="Sí")+(AL48="Sí"))</f>
        <v/>
      </c>
      <c r="BI48" s="9" t="str">
        <f aca="false">IF(COUNTA(AA48,AG48,AM48)=0,"",(AA48="Sí")+(AG48="Sí")+(AM48="Sí"))</f>
        <v/>
      </c>
      <c r="BJ48" s="9" t="str">
        <f aca="false">IF(COUNTA(AB48,AH48,AN48)=0,"",(AB48="Sí")+(AH48="Sí")+(AN48="Sí"))</f>
        <v/>
      </c>
      <c r="BK48" s="9" t="str">
        <f aca="false">IF(COUNT(AO48:AV48)=8,SUM(AO48:AV48),"")</f>
        <v/>
      </c>
    </row>
    <row r="49" customFormat="false" ht="15" hidden="false" customHeight="false" outlineLevel="0" collapsed="false">
      <c r="A49" s="4" t="s">
        <v>110</v>
      </c>
      <c r="B49" s="5"/>
      <c r="C49" s="6"/>
      <c r="D49" s="7"/>
      <c r="E49" s="7"/>
      <c r="F49" s="7"/>
      <c r="G49" s="6"/>
      <c r="H49" s="7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8" t="str">
        <f aca="false">INDEX(Tarjetas!$A$4:$A$59,MOD(3*(VALUE(MID(A49,3,2))-1)+0,ROWS(Tarjetas!$A$4:$A$59))+1)</f>
        <v>S24</v>
      </c>
      <c r="U49" s="8" t="str">
        <f aca="false">INDEX(Tarjetas!$A$4:$A$59,MOD(3*(VALUE(MID(A49,3,2))-1)+1,ROWS(Tarjetas!$A$4:$A$59))+1)</f>
        <v>S25</v>
      </c>
      <c r="V49" s="8" t="str">
        <f aca="false">INDEX(Tarjetas!$A$4:$A$59,MOD(3*(VALUE(MID(A49,3,2))-1)+2,ROWS(Tarjetas!$A$4:$A$59))+1)</f>
        <v>S26</v>
      </c>
      <c r="W49" s="6"/>
      <c r="X49" s="7"/>
      <c r="Y49" s="7"/>
      <c r="Z49" s="7"/>
      <c r="AA49" s="7"/>
      <c r="AB49" s="7"/>
      <c r="AC49" s="6"/>
      <c r="AD49" s="7"/>
      <c r="AE49" s="7"/>
      <c r="AF49" s="7"/>
      <c r="AG49" s="7"/>
      <c r="AH49" s="7"/>
      <c r="AI49" s="6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6"/>
      <c r="AZ49" s="9" t="str">
        <f aca="false">IF(COUNTA(B49,F49)=0,"",IF(AND(F49="Sí",H49&lt;&gt;"",S49&lt;&gt;"",COUNT(X49,AD49,AJ49)=3,COUNT(AO49:AV49)=8,AW49&lt;&gt;""),"Sí","No"))</f>
        <v/>
      </c>
      <c r="BA49" s="10" t="str">
        <f aca="false">IF(H49="","",IFERROR(INDEX(Parametros!$B$4:$B$9,MATCH(H49,Parametros!$A$4:$A$9,0)),""))</f>
        <v/>
      </c>
      <c r="BB49" s="11" t="str">
        <f aca="false">IF(COUNT(X49,AD49,AJ49)=3,AVERAGE(X49,AD49,AJ49)/60,"")</f>
        <v/>
      </c>
      <c r="BC49" s="11" t="str">
        <f aca="false">IF(AND(ISNUMBER(BA49),ISNUMBER(BB49)),BB49-BA49,"")</f>
        <v/>
      </c>
      <c r="BD49" s="12" t="str">
        <f aca="false">IF(AND(ISNUMBER(BA49),ISNUMBER(BB49)),IF(BA49&gt;0,(BA49-BB49)/BA49,""),"")</f>
        <v/>
      </c>
      <c r="BE49" s="9" t="str">
        <f aca="false">IF(S49="","",S49)</f>
        <v/>
      </c>
      <c r="BF49" s="9" t="str">
        <f aca="false">IF(AW49="","",AW49)</f>
        <v/>
      </c>
      <c r="BG49" s="9" t="str">
        <f aca="false">IF(AND(ISNUMBER(BE49),ISNUMBER(BF49)),BF49-BE49,"")</f>
        <v/>
      </c>
      <c r="BH49" s="9" t="str">
        <f aca="false">IF(COUNTA(Z49,AF49,AL49)=0,"",(Z49="Sí")+(AF49="Sí")+(AL49="Sí"))</f>
        <v/>
      </c>
      <c r="BI49" s="9" t="str">
        <f aca="false">IF(COUNTA(AA49,AG49,AM49)=0,"",(AA49="Sí")+(AG49="Sí")+(AM49="Sí"))</f>
        <v/>
      </c>
      <c r="BJ49" s="9" t="str">
        <f aca="false">IF(COUNTA(AB49,AH49,AN49)=0,"",(AB49="Sí")+(AH49="Sí")+(AN49="Sí"))</f>
        <v/>
      </c>
      <c r="BK49" s="9" t="str">
        <f aca="false">IF(COUNT(AO49:AV49)=8,SUM(AO49:AV49),"")</f>
        <v/>
      </c>
    </row>
    <row r="50" customFormat="false" ht="15" hidden="false" customHeight="false" outlineLevel="0" collapsed="false">
      <c r="A50" s="4" t="s">
        <v>111</v>
      </c>
      <c r="B50" s="5"/>
      <c r="C50" s="6"/>
      <c r="D50" s="7"/>
      <c r="E50" s="7"/>
      <c r="F50" s="7"/>
      <c r="G50" s="6"/>
      <c r="H50" s="7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8" t="str">
        <f aca="false">INDEX(Tarjetas!$A$4:$A$59,MOD(3*(VALUE(MID(A50,3,2))-1)+0,ROWS(Tarjetas!$A$4:$A$59))+1)</f>
        <v>S27</v>
      </c>
      <c r="U50" s="8" t="str">
        <f aca="false">INDEX(Tarjetas!$A$4:$A$59,MOD(3*(VALUE(MID(A50,3,2))-1)+1,ROWS(Tarjetas!$A$4:$A$59))+1)</f>
        <v>S28</v>
      </c>
      <c r="V50" s="8" t="str">
        <f aca="false">INDEX(Tarjetas!$A$4:$A$59,MOD(3*(VALUE(MID(A50,3,2))-1)+2,ROWS(Tarjetas!$A$4:$A$59))+1)</f>
        <v>S29</v>
      </c>
      <c r="W50" s="6"/>
      <c r="X50" s="7"/>
      <c r="Y50" s="7"/>
      <c r="Z50" s="7"/>
      <c r="AA50" s="7"/>
      <c r="AB50" s="7"/>
      <c r="AC50" s="6"/>
      <c r="AD50" s="7"/>
      <c r="AE50" s="7"/>
      <c r="AF50" s="7"/>
      <c r="AG50" s="7"/>
      <c r="AH50" s="7"/>
      <c r="AI50" s="6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6"/>
      <c r="AZ50" s="9" t="str">
        <f aca="false">IF(COUNTA(B50,F50)=0,"",IF(AND(F50="Sí",H50&lt;&gt;"",S50&lt;&gt;"",COUNT(X50,AD50,AJ50)=3,COUNT(AO50:AV50)=8,AW50&lt;&gt;""),"Sí","No"))</f>
        <v/>
      </c>
      <c r="BA50" s="10" t="str">
        <f aca="false">IF(H50="","",IFERROR(INDEX(Parametros!$B$4:$B$9,MATCH(H50,Parametros!$A$4:$A$9,0)),""))</f>
        <v/>
      </c>
      <c r="BB50" s="11" t="str">
        <f aca="false">IF(COUNT(X50,AD50,AJ50)=3,AVERAGE(X50,AD50,AJ50)/60,"")</f>
        <v/>
      </c>
      <c r="BC50" s="11" t="str">
        <f aca="false">IF(AND(ISNUMBER(BA50),ISNUMBER(BB50)),BB50-BA50,"")</f>
        <v/>
      </c>
      <c r="BD50" s="12" t="str">
        <f aca="false">IF(AND(ISNUMBER(BA50),ISNUMBER(BB50)),IF(BA50&gt;0,(BA50-BB50)/BA50,""),"")</f>
        <v/>
      </c>
      <c r="BE50" s="9" t="str">
        <f aca="false">IF(S50="","",S50)</f>
        <v/>
      </c>
      <c r="BF50" s="9" t="str">
        <f aca="false">IF(AW50="","",AW50)</f>
        <v/>
      </c>
      <c r="BG50" s="9" t="str">
        <f aca="false">IF(AND(ISNUMBER(BE50),ISNUMBER(BF50)),BF50-BE50,"")</f>
        <v/>
      </c>
      <c r="BH50" s="9" t="str">
        <f aca="false">IF(COUNTA(Z50,AF50,AL50)=0,"",(Z50="Sí")+(AF50="Sí")+(AL50="Sí"))</f>
        <v/>
      </c>
      <c r="BI50" s="9" t="str">
        <f aca="false">IF(COUNTA(AA50,AG50,AM50)=0,"",(AA50="Sí")+(AG50="Sí")+(AM50="Sí"))</f>
        <v/>
      </c>
      <c r="BJ50" s="9" t="str">
        <f aca="false">IF(COUNTA(AB50,AH50,AN50)=0,"",(AB50="Sí")+(AH50="Sí")+(AN50="Sí"))</f>
        <v/>
      </c>
      <c r="BK50" s="9" t="str">
        <f aca="false">IF(COUNT(AO50:AV50)=8,SUM(AO50:AV50),"")</f>
        <v/>
      </c>
    </row>
    <row r="51" customFormat="false" ht="15" hidden="false" customHeight="false" outlineLevel="0" collapsed="false">
      <c r="A51" s="4" t="s">
        <v>112</v>
      </c>
      <c r="B51" s="5"/>
      <c r="C51" s="6"/>
      <c r="D51" s="7"/>
      <c r="E51" s="7"/>
      <c r="F51" s="7"/>
      <c r="G51" s="6"/>
      <c r="H51" s="7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8" t="str">
        <f aca="false">INDEX(Tarjetas!$A$4:$A$59,MOD(3*(VALUE(MID(A51,3,2))-1)+0,ROWS(Tarjetas!$A$4:$A$59))+1)</f>
        <v>S30</v>
      </c>
      <c r="U51" s="8" t="str">
        <f aca="false">INDEX(Tarjetas!$A$4:$A$59,MOD(3*(VALUE(MID(A51,3,2))-1)+1,ROWS(Tarjetas!$A$4:$A$59))+1)</f>
        <v>S31</v>
      </c>
      <c r="V51" s="8" t="str">
        <f aca="false">INDEX(Tarjetas!$A$4:$A$59,MOD(3*(VALUE(MID(A51,3,2))-1)+2,ROWS(Tarjetas!$A$4:$A$59))+1)</f>
        <v>S32</v>
      </c>
      <c r="W51" s="6"/>
      <c r="X51" s="7"/>
      <c r="Y51" s="7"/>
      <c r="Z51" s="7"/>
      <c r="AA51" s="7"/>
      <c r="AB51" s="7"/>
      <c r="AC51" s="6"/>
      <c r="AD51" s="7"/>
      <c r="AE51" s="7"/>
      <c r="AF51" s="7"/>
      <c r="AG51" s="7"/>
      <c r="AH51" s="7"/>
      <c r="AI51" s="6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6"/>
      <c r="AZ51" s="9" t="str">
        <f aca="false">IF(COUNTA(B51,F51)=0,"",IF(AND(F51="Sí",H51&lt;&gt;"",S51&lt;&gt;"",COUNT(X51,AD51,AJ51)=3,COUNT(AO51:AV51)=8,AW51&lt;&gt;""),"Sí","No"))</f>
        <v/>
      </c>
      <c r="BA51" s="10" t="str">
        <f aca="false">IF(H51="","",IFERROR(INDEX(Parametros!$B$4:$B$9,MATCH(H51,Parametros!$A$4:$A$9,0)),""))</f>
        <v/>
      </c>
      <c r="BB51" s="11" t="str">
        <f aca="false">IF(COUNT(X51,AD51,AJ51)=3,AVERAGE(X51,AD51,AJ51)/60,"")</f>
        <v/>
      </c>
      <c r="BC51" s="11" t="str">
        <f aca="false">IF(AND(ISNUMBER(BA51),ISNUMBER(BB51)),BB51-BA51,"")</f>
        <v/>
      </c>
      <c r="BD51" s="12" t="str">
        <f aca="false">IF(AND(ISNUMBER(BA51),ISNUMBER(BB51)),IF(BA51&gt;0,(BA51-BB51)/BA51,""),"")</f>
        <v/>
      </c>
      <c r="BE51" s="9" t="str">
        <f aca="false">IF(S51="","",S51)</f>
        <v/>
      </c>
      <c r="BF51" s="9" t="str">
        <f aca="false">IF(AW51="","",AW51)</f>
        <v/>
      </c>
      <c r="BG51" s="9" t="str">
        <f aca="false">IF(AND(ISNUMBER(BE51),ISNUMBER(BF51)),BF51-BE51,"")</f>
        <v/>
      </c>
      <c r="BH51" s="9" t="str">
        <f aca="false">IF(COUNTA(Z51,AF51,AL51)=0,"",(Z51="Sí")+(AF51="Sí")+(AL51="Sí"))</f>
        <v/>
      </c>
      <c r="BI51" s="9" t="str">
        <f aca="false">IF(COUNTA(AA51,AG51,AM51)=0,"",(AA51="Sí")+(AG51="Sí")+(AM51="Sí"))</f>
        <v/>
      </c>
      <c r="BJ51" s="9" t="str">
        <f aca="false">IF(COUNTA(AB51,AH51,AN51)=0,"",(AB51="Sí")+(AH51="Sí")+(AN51="Sí"))</f>
        <v/>
      </c>
      <c r="BK51" s="9" t="str">
        <f aca="false">IF(COUNT(AO51:AV51)=8,SUM(AO51:AV51),"")</f>
        <v/>
      </c>
    </row>
    <row r="52" customFormat="false" ht="15" hidden="false" customHeight="false" outlineLevel="0" collapsed="false">
      <c r="A52" s="4" t="s">
        <v>113</v>
      </c>
      <c r="B52" s="5"/>
      <c r="C52" s="6"/>
      <c r="D52" s="7"/>
      <c r="E52" s="7"/>
      <c r="F52" s="7"/>
      <c r="G52" s="6"/>
      <c r="H52" s="7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8" t="str">
        <f aca="false">INDEX(Tarjetas!$A$4:$A$59,MOD(3*(VALUE(MID(A52,3,2))-1)+0,ROWS(Tarjetas!$A$4:$A$59))+1)</f>
        <v>S33</v>
      </c>
      <c r="U52" s="8" t="str">
        <f aca="false">INDEX(Tarjetas!$A$4:$A$59,MOD(3*(VALUE(MID(A52,3,2))-1)+1,ROWS(Tarjetas!$A$4:$A$59))+1)</f>
        <v>S34</v>
      </c>
      <c r="V52" s="8" t="str">
        <f aca="false">INDEX(Tarjetas!$A$4:$A$59,MOD(3*(VALUE(MID(A52,3,2))-1)+2,ROWS(Tarjetas!$A$4:$A$59))+1)</f>
        <v>S35</v>
      </c>
      <c r="W52" s="6"/>
      <c r="X52" s="7"/>
      <c r="Y52" s="7"/>
      <c r="Z52" s="7"/>
      <c r="AA52" s="7"/>
      <c r="AB52" s="7"/>
      <c r="AC52" s="6"/>
      <c r="AD52" s="7"/>
      <c r="AE52" s="7"/>
      <c r="AF52" s="7"/>
      <c r="AG52" s="7"/>
      <c r="AH52" s="7"/>
      <c r="AI52" s="6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6"/>
      <c r="AZ52" s="9" t="str">
        <f aca="false">IF(COUNTA(B52,F52)=0,"",IF(AND(F52="Sí",H52&lt;&gt;"",S52&lt;&gt;"",COUNT(X52,AD52,AJ52)=3,COUNT(AO52:AV52)=8,AW52&lt;&gt;""),"Sí","No"))</f>
        <v/>
      </c>
      <c r="BA52" s="10" t="str">
        <f aca="false">IF(H52="","",IFERROR(INDEX(Parametros!$B$4:$B$9,MATCH(H52,Parametros!$A$4:$A$9,0)),""))</f>
        <v/>
      </c>
      <c r="BB52" s="11" t="str">
        <f aca="false">IF(COUNT(X52,AD52,AJ52)=3,AVERAGE(X52,AD52,AJ52)/60,"")</f>
        <v/>
      </c>
      <c r="BC52" s="11" t="str">
        <f aca="false">IF(AND(ISNUMBER(BA52),ISNUMBER(BB52)),BB52-BA52,"")</f>
        <v/>
      </c>
      <c r="BD52" s="12" t="str">
        <f aca="false">IF(AND(ISNUMBER(BA52),ISNUMBER(BB52)),IF(BA52&gt;0,(BA52-BB52)/BA52,""),"")</f>
        <v/>
      </c>
      <c r="BE52" s="9" t="str">
        <f aca="false">IF(S52="","",S52)</f>
        <v/>
      </c>
      <c r="BF52" s="9" t="str">
        <f aca="false">IF(AW52="","",AW52)</f>
        <v/>
      </c>
      <c r="BG52" s="9" t="str">
        <f aca="false">IF(AND(ISNUMBER(BE52),ISNUMBER(BF52)),BF52-BE52,"")</f>
        <v/>
      </c>
      <c r="BH52" s="9" t="str">
        <f aca="false">IF(COUNTA(Z52,AF52,AL52)=0,"",(Z52="Sí")+(AF52="Sí")+(AL52="Sí"))</f>
        <v/>
      </c>
      <c r="BI52" s="9" t="str">
        <f aca="false">IF(COUNTA(AA52,AG52,AM52)=0,"",(AA52="Sí")+(AG52="Sí")+(AM52="Sí"))</f>
        <v/>
      </c>
      <c r="BJ52" s="9" t="str">
        <f aca="false">IF(COUNTA(AB52,AH52,AN52)=0,"",(AB52="Sí")+(AH52="Sí")+(AN52="Sí"))</f>
        <v/>
      </c>
      <c r="BK52" s="9" t="str">
        <f aca="false">IF(COUNT(AO52:AV52)=8,SUM(AO52:AV52),"")</f>
        <v/>
      </c>
    </row>
    <row r="53" customFormat="false" ht="15" hidden="false" customHeight="false" outlineLevel="0" collapsed="false">
      <c r="A53" s="4" t="s">
        <v>114</v>
      </c>
      <c r="B53" s="5"/>
      <c r="C53" s="6"/>
      <c r="D53" s="7"/>
      <c r="E53" s="7"/>
      <c r="F53" s="7"/>
      <c r="G53" s="6"/>
      <c r="H53" s="7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8" t="str">
        <f aca="false">INDEX(Tarjetas!$A$4:$A$59,MOD(3*(VALUE(MID(A53,3,2))-1)+0,ROWS(Tarjetas!$A$4:$A$59))+1)</f>
        <v>S36</v>
      </c>
      <c r="U53" s="8" t="str">
        <f aca="false">INDEX(Tarjetas!$A$4:$A$59,MOD(3*(VALUE(MID(A53,3,2))-1)+1,ROWS(Tarjetas!$A$4:$A$59))+1)</f>
        <v>S37</v>
      </c>
      <c r="V53" s="8" t="str">
        <f aca="false">INDEX(Tarjetas!$A$4:$A$59,MOD(3*(VALUE(MID(A53,3,2))-1)+2,ROWS(Tarjetas!$A$4:$A$59))+1)</f>
        <v>S38</v>
      </c>
      <c r="W53" s="6"/>
      <c r="X53" s="7"/>
      <c r="Y53" s="7"/>
      <c r="Z53" s="7"/>
      <c r="AA53" s="7"/>
      <c r="AB53" s="7"/>
      <c r="AC53" s="6"/>
      <c r="AD53" s="7"/>
      <c r="AE53" s="7"/>
      <c r="AF53" s="7"/>
      <c r="AG53" s="7"/>
      <c r="AH53" s="7"/>
      <c r="AI53" s="6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6"/>
      <c r="AZ53" s="9" t="str">
        <f aca="false">IF(COUNTA(B53,F53)=0,"",IF(AND(F53="Sí",H53&lt;&gt;"",S53&lt;&gt;"",COUNT(X53,AD53,AJ53)=3,COUNT(AO53:AV53)=8,AW53&lt;&gt;""),"Sí","No"))</f>
        <v/>
      </c>
      <c r="BA53" s="10" t="str">
        <f aca="false">IF(H53="","",IFERROR(INDEX(Parametros!$B$4:$B$9,MATCH(H53,Parametros!$A$4:$A$9,0)),""))</f>
        <v/>
      </c>
      <c r="BB53" s="11" t="str">
        <f aca="false">IF(COUNT(X53,AD53,AJ53)=3,AVERAGE(X53,AD53,AJ53)/60,"")</f>
        <v/>
      </c>
      <c r="BC53" s="11" t="str">
        <f aca="false">IF(AND(ISNUMBER(BA53),ISNUMBER(BB53)),BB53-BA53,"")</f>
        <v/>
      </c>
      <c r="BD53" s="12" t="str">
        <f aca="false">IF(AND(ISNUMBER(BA53),ISNUMBER(BB53)),IF(BA53&gt;0,(BA53-BB53)/BA53,""),"")</f>
        <v/>
      </c>
      <c r="BE53" s="9" t="str">
        <f aca="false">IF(S53="","",S53)</f>
        <v/>
      </c>
      <c r="BF53" s="9" t="str">
        <f aca="false">IF(AW53="","",AW53)</f>
        <v/>
      </c>
      <c r="BG53" s="9" t="str">
        <f aca="false">IF(AND(ISNUMBER(BE53),ISNUMBER(BF53)),BF53-BE53,"")</f>
        <v/>
      </c>
      <c r="BH53" s="9" t="str">
        <f aca="false">IF(COUNTA(Z53,AF53,AL53)=0,"",(Z53="Sí")+(AF53="Sí")+(AL53="Sí"))</f>
        <v/>
      </c>
      <c r="BI53" s="9" t="str">
        <f aca="false">IF(COUNTA(AA53,AG53,AM53)=0,"",(AA53="Sí")+(AG53="Sí")+(AM53="Sí"))</f>
        <v/>
      </c>
      <c r="BJ53" s="9" t="str">
        <f aca="false">IF(COUNTA(AB53,AH53,AN53)=0,"",(AB53="Sí")+(AH53="Sí")+(AN53="Sí"))</f>
        <v/>
      </c>
      <c r="BK53" s="9" t="str">
        <f aca="false">IF(COUNT(AO53:AV53)=8,SUM(AO53:AV53),"")</f>
        <v/>
      </c>
    </row>
    <row r="54" customFormat="false" ht="15" hidden="false" customHeight="false" outlineLevel="0" collapsed="false">
      <c r="A54" s="4" t="s">
        <v>115</v>
      </c>
      <c r="B54" s="5"/>
      <c r="C54" s="6"/>
      <c r="D54" s="7"/>
      <c r="E54" s="7"/>
      <c r="F54" s="7"/>
      <c r="G54" s="6"/>
      <c r="H54" s="7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8" t="str">
        <f aca="false">INDEX(Tarjetas!$A$4:$A$59,MOD(3*(VALUE(MID(A54,3,2))-1)+0,ROWS(Tarjetas!$A$4:$A$59))+1)</f>
        <v>S39</v>
      </c>
      <c r="U54" s="8" t="str">
        <f aca="false">INDEX(Tarjetas!$A$4:$A$59,MOD(3*(VALUE(MID(A54,3,2))-1)+1,ROWS(Tarjetas!$A$4:$A$59))+1)</f>
        <v>S40</v>
      </c>
      <c r="V54" s="8" t="str">
        <f aca="false">INDEX(Tarjetas!$A$4:$A$59,MOD(3*(VALUE(MID(A54,3,2))-1)+2,ROWS(Tarjetas!$A$4:$A$59))+1)</f>
        <v>S41</v>
      </c>
      <c r="W54" s="6"/>
      <c r="X54" s="7"/>
      <c r="Y54" s="7"/>
      <c r="Z54" s="7"/>
      <c r="AA54" s="7"/>
      <c r="AB54" s="7"/>
      <c r="AC54" s="6"/>
      <c r="AD54" s="7"/>
      <c r="AE54" s="7"/>
      <c r="AF54" s="7"/>
      <c r="AG54" s="7"/>
      <c r="AH54" s="7"/>
      <c r="AI54" s="6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6"/>
      <c r="AZ54" s="9" t="str">
        <f aca="false">IF(COUNTA(B54,F54)=0,"",IF(AND(F54="Sí",H54&lt;&gt;"",S54&lt;&gt;"",COUNT(X54,AD54,AJ54)=3,COUNT(AO54:AV54)=8,AW54&lt;&gt;""),"Sí","No"))</f>
        <v/>
      </c>
      <c r="BA54" s="10" t="str">
        <f aca="false">IF(H54="","",IFERROR(INDEX(Parametros!$B$4:$B$9,MATCH(H54,Parametros!$A$4:$A$9,0)),""))</f>
        <v/>
      </c>
      <c r="BB54" s="11" t="str">
        <f aca="false">IF(COUNT(X54,AD54,AJ54)=3,AVERAGE(X54,AD54,AJ54)/60,"")</f>
        <v/>
      </c>
      <c r="BC54" s="11" t="str">
        <f aca="false">IF(AND(ISNUMBER(BA54),ISNUMBER(BB54)),BB54-BA54,"")</f>
        <v/>
      </c>
      <c r="BD54" s="12" t="str">
        <f aca="false">IF(AND(ISNUMBER(BA54),ISNUMBER(BB54)),IF(BA54&gt;0,(BA54-BB54)/BA54,""),"")</f>
        <v/>
      </c>
      <c r="BE54" s="9" t="str">
        <f aca="false">IF(S54="","",S54)</f>
        <v/>
      </c>
      <c r="BF54" s="9" t="str">
        <f aca="false">IF(AW54="","",AW54)</f>
        <v/>
      </c>
      <c r="BG54" s="9" t="str">
        <f aca="false">IF(AND(ISNUMBER(BE54),ISNUMBER(BF54)),BF54-BE54,"")</f>
        <v/>
      </c>
      <c r="BH54" s="9" t="str">
        <f aca="false">IF(COUNTA(Z54,AF54,AL54)=0,"",(Z54="Sí")+(AF54="Sí")+(AL54="Sí"))</f>
        <v/>
      </c>
      <c r="BI54" s="9" t="str">
        <f aca="false">IF(COUNTA(AA54,AG54,AM54)=0,"",(AA54="Sí")+(AG54="Sí")+(AM54="Sí"))</f>
        <v/>
      </c>
      <c r="BJ54" s="9" t="str">
        <f aca="false">IF(COUNTA(AB54,AH54,AN54)=0,"",(AB54="Sí")+(AH54="Sí")+(AN54="Sí"))</f>
        <v/>
      </c>
      <c r="BK54" s="9" t="str">
        <f aca="false">IF(COUNT(AO54:AV54)=8,SUM(AO54:AV54),"")</f>
        <v/>
      </c>
    </row>
    <row r="55" customFormat="false" ht="15" hidden="false" customHeight="false" outlineLevel="0" collapsed="false">
      <c r="A55" s="4" t="s">
        <v>116</v>
      </c>
      <c r="B55" s="5"/>
      <c r="C55" s="6"/>
      <c r="D55" s="7"/>
      <c r="E55" s="7"/>
      <c r="F55" s="7"/>
      <c r="G55" s="6"/>
      <c r="H55" s="7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8" t="str">
        <f aca="false">INDEX(Tarjetas!$A$4:$A$59,MOD(3*(VALUE(MID(A55,3,2))-1)+0,ROWS(Tarjetas!$A$4:$A$59))+1)</f>
        <v>S42</v>
      </c>
      <c r="U55" s="8" t="str">
        <f aca="false">INDEX(Tarjetas!$A$4:$A$59,MOD(3*(VALUE(MID(A55,3,2))-1)+1,ROWS(Tarjetas!$A$4:$A$59))+1)</f>
        <v>S43</v>
      </c>
      <c r="V55" s="8" t="str">
        <f aca="false">INDEX(Tarjetas!$A$4:$A$59,MOD(3*(VALUE(MID(A55,3,2))-1)+2,ROWS(Tarjetas!$A$4:$A$59))+1)</f>
        <v>S44</v>
      </c>
      <c r="W55" s="6"/>
      <c r="X55" s="7"/>
      <c r="Y55" s="7"/>
      <c r="Z55" s="7"/>
      <c r="AA55" s="7"/>
      <c r="AB55" s="7"/>
      <c r="AC55" s="6"/>
      <c r="AD55" s="7"/>
      <c r="AE55" s="7"/>
      <c r="AF55" s="7"/>
      <c r="AG55" s="7"/>
      <c r="AH55" s="7"/>
      <c r="AI55" s="6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6"/>
      <c r="AZ55" s="9" t="str">
        <f aca="false">IF(COUNTA(B55,F55)=0,"",IF(AND(F55="Sí",H55&lt;&gt;"",S55&lt;&gt;"",COUNT(X55,AD55,AJ55)=3,COUNT(AO55:AV55)=8,AW55&lt;&gt;""),"Sí","No"))</f>
        <v/>
      </c>
      <c r="BA55" s="10" t="str">
        <f aca="false">IF(H55="","",IFERROR(INDEX(Parametros!$B$4:$B$9,MATCH(H55,Parametros!$A$4:$A$9,0)),""))</f>
        <v/>
      </c>
      <c r="BB55" s="11" t="str">
        <f aca="false">IF(COUNT(X55,AD55,AJ55)=3,AVERAGE(X55,AD55,AJ55)/60,"")</f>
        <v/>
      </c>
      <c r="BC55" s="11" t="str">
        <f aca="false">IF(AND(ISNUMBER(BA55),ISNUMBER(BB55)),BB55-BA55,"")</f>
        <v/>
      </c>
      <c r="BD55" s="12" t="str">
        <f aca="false">IF(AND(ISNUMBER(BA55),ISNUMBER(BB55)),IF(BA55&gt;0,(BA55-BB55)/BA55,""),"")</f>
        <v/>
      </c>
      <c r="BE55" s="9" t="str">
        <f aca="false">IF(S55="","",S55)</f>
        <v/>
      </c>
      <c r="BF55" s="9" t="str">
        <f aca="false">IF(AW55="","",AW55)</f>
        <v/>
      </c>
      <c r="BG55" s="9" t="str">
        <f aca="false">IF(AND(ISNUMBER(BE55),ISNUMBER(BF55)),BF55-BE55,"")</f>
        <v/>
      </c>
      <c r="BH55" s="9" t="str">
        <f aca="false">IF(COUNTA(Z55,AF55,AL55)=0,"",(Z55="Sí")+(AF55="Sí")+(AL55="Sí"))</f>
        <v/>
      </c>
      <c r="BI55" s="9" t="str">
        <f aca="false">IF(COUNTA(AA55,AG55,AM55)=0,"",(AA55="Sí")+(AG55="Sí")+(AM55="Sí"))</f>
        <v/>
      </c>
      <c r="BJ55" s="9" t="str">
        <f aca="false">IF(COUNTA(AB55,AH55,AN55)=0,"",(AB55="Sí")+(AH55="Sí")+(AN55="Sí"))</f>
        <v/>
      </c>
      <c r="BK55" s="9" t="str">
        <f aca="false">IF(COUNT(AO55:AV55)=8,SUM(AO55:AV55),"")</f>
        <v/>
      </c>
    </row>
    <row r="56" customFormat="false" ht="15" hidden="false" customHeight="false" outlineLevel="0" collapsed="false">
      <c r="A56" s="4" t="s">
        <v>117</v>
      </c>
      <c r="B56" s="5"/>
      <c r="C56" s="6"/>
      <c r="D56" s="7"/>
      <c r="E56" s="7"/>
      <c r="F56" s="7"/>
      <c r="G56" s="6"/>
      <c r="H56" s="7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8" t="str">
        <f aca="false">INDEX(Tarjetas!$A$4:$A$59,MOD(3*(VALUE(MID(A56,3,2))-1)+0,ROWS(Tarjetas!$A$4:$A$59))+1)</f>
        <v>S45</v>
      </c>
      <c r="U56" s="8" t="str">
        <f aca="false">INDEX(Tarjetas!$A$4:$A$59,MOD(3*(VALUE(MID(A56,3,2))-1)+1,ROWS(Tarjetas!$A$4:$A$59))+1)</f>
        <v>S46</v>
      </c>
      <c r="V56" s="8" t="str">
        <f aca="false">INDEX(Tarjetas!$A$4:$A$59,MOD(3*(VALUE(MID(A56,3,2))-1)+2,ROWS(Tarjetas!$A$4:$A$59))+1)</f>
        <v>S47</v>
      </c>
      <c r="W56" s="6"/>
      <c r="X56" s="7"/>
      <c r="Y56" s="7"/>
      <c r="Z56" s="7"/>
      <c r="AA56" s="7"/>
      <c r="AB56" s="7"/>
      <c r="AC56" s="6"/>
      <c r="AD56" s="7"/>
      <c r="AE56" s="7"/>
      <c r="AF56" s="7"/>
      <c r="AG56" s="7"/>
      <c r="AH56" s="7"/>
      <c r="AI56" s="6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6"/>
      <c r="AZ56" s="9" t="str">
        <f aca="false">IF(COUNTA(B56,F56)=0,"",IF(AND(F56="Sí",H56&lt;&gt;"",S56&lt;&gt;"",COUNT(X56,AD56,AJ56)=3,COUNT(AO56:AV56)=8,AW56&lt;&gt;""),"Sí","No"))</f>
        <v/>
      </c>
      <c r="BA56" s="10" t="str">
        <f aca="false">IF(H56="","",IFERROR(INDEX(Parametros!$B$4:$B$9,MATCH(H56,Parametros!$A$4:$A$9,0)),""))</f>
        <v/>
      </c>
      <c r="BB56" s="11" t="str">
        <f aca="false">IF(COUNT(X56,AD56,AJ56)=3,AVERAGE(X56,AD56,AJ56)/60,"")</f>
        <v/>
      </c>
      <c r="BC56" s="11" t="str">
        <f aca="false">IF(AND(ISNUMBER(BA56),ISNUMBER(BB56)),BB56-BA56,"")</f>
        <v/>
      </c>
      <c r="BD56" s="12" t="str">
        <f aca="false">IF(AND(ISNUMBER(BA56),ISNUMBER(BB56)),IF(BA56&gt;0,(BA56-BB56)/BA56,""),"")</f>
        <v/>
      </c>
      <c r="BE56" s="9" t="str">
        <f aca="false">IF(S56="","",S56)</f>
        <v/>
      </c>
      <c r="BF56" s="9" t="str">
        <f aca="false">IF(AW56="","",AW56)</f>
        <v/>
      </c>
      <c r="BG56" s="9" t="str">
        <f aca="false">IF(AND(ISNUMBER(BE56),ISNUMBER(BF56)),BF56-BE56,"")</f>
        <v/>
      </c>
      <c r="BH56" s="9" t="str">
        <f aca="false">IF(COUNTA(Z56,AF56,AL56)=0,"",(Z56="Sí")+(AF56="Sí")+(AL56="Sí"))</f>
        <v/>
      </c>
      <c r="BI56" s="9" t="str">
        <f aca="false">IF(COUNTA(AA56,AG56,AM56)=0,"",(AA56="Sí")+(AG56="Sí")+(AM56="Sí"))</f>
        <v/>
      </c>
      <c r="BJ56" s="9" t="str">
        <f aca="false">IF(COUNTA(AB56,AH56,AN56)=0,"",(AB56="Sí")+(AH56="Sí")+(AN56="Sí"))</f>
        <v/>
      </c>
      <c r="BK56" s="9" t="str">
        <f aca="false">IF(COUNT(AO56:AV56)=8,SUM(AO56:AV56),"")</f>
        <v/>
      </c>
    </row>
    <row r="57" customFormat="false" ht="15" hidden="false" customHeight="false" outlineLevel="0" collapsed="false">
      <c r="A57" s="4" t="s">
        <v>118</v>
      </c>
      <c r="B57" s="5"/>
      <c r="C57" s="6"/>
      <c r="D57" s="7"/>
      <c r="E57" s="7"/>
      <c r="F57" s="7"/>
      <c r="G57" s="6"/>
      <c r="H57" s="7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8" t="str">
        <f aca="false">INDEX(Tarjetas!$A$4:$A$59,MOD(3*(VALUE(MID(A57,3,2))-1)+0,ROWS(Tarjetas!$A$4:$A$59))+1)</f>
        <v>S48</v>
      </c>
      <c r="U57" s="8" t="str">
        <f aca="false">INDEX(Tarjetas!$A$4:$A$59,MOD(3*(VALUE(MID(A57,3,2))-1)+1,ROWS(Tarjetas!$A$4:$A$59))+1)</f>
        <v>S49</v>
      </c>
      <c r="V57" s="8" t="str">
        <f aca="false">INDEX(Tarjetas!$A$4:$A$59,MOD(3*(VALUE(MID(A57,3,2))-1)+2,ROWS(Tarjetas!$A$4:$A$59))+1)</f>
        <v>S50</v>
      </c>
      <c r="W57" s="6"/>
      <c r="X57" s="7"/>
      <c r="Y57" s="7"/>
      <c r="Z57" s="7"/>
      <c r="AA57" s="7"/>
      <c r="AB57" s="7"/>
      <c r="AC57" s="6"/>
      <c r="AD57" s="7"/>
      <c r="AE57" s="7"/>
      <c r="AF57" s="7"/>
      <c r="AG57" s="7"/>
      <c r="AH57" s="7"/>
      <c r="AI57" s="6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6"/>
      <c r="AZ57" s="9" t="str">
        <f aca="false">IF(COUNTA(B57,F57)=0,"",IF(AND(F57="Sí",H57&lt;&gt;"",S57&lt;&gt;"",COUNT(X57,AD57,AJ57)=3,COUNT(AO57:AV57)=8,AW57&lt;&gt;""),"Sí","No"))</f>
        <v/>
      </c>
      <c r="BA57" s="10" t="str">
        <f aca="false">IF(H57="","",IFERROR(INDEX(Parametros!$B$4:$B$9,MATCH(H57,Parametros!$A$4:$A$9,0)),""))</f>
        <v/>
      </c>
      <c r="BB57" s="11" t="str">
        <f aca="false">IF(COUNT(X57,AD57,AJ57)=3,AVERAGE(X57,AD57,AJ57)/60,"")</f>
        <v/>
      </c>
      <c r="BC57" s="11" t="str">
        <f aca="false">IF(AND(ISNUMBER(BA57),ISNUMBER(BB57)),BB57-BA57,"")</f>
        <v/>
      </c>
      <c r="BD57" s="12" t="str">
        <f aca="false">IF(AND(ISNUMBER(BA57),ISNUMBER(BB57)),IF(BA57&gt;0,(BA57-BB57)/BA57,""),"")</f>
        <v/>
      </c>
      <c r="BE57" s="9" t="str">
        <f aca="false">IF(S57="","",S57)</f>
        <v/>
      </c>
      <c r="BF57" s="9" t="str">
        <f aca="false">IF(AW57="","",AW57)</f>
        <v/>
      </c>
      <c r="BG57" s="9" t="str">
        <f aca="false">IF(AND(ISNUMBER(BE57),ISNUMBER(BF57)),BF57-BE57,"")</f>
        <v/>
      </c>
      <c r="BH57" s="9" t="str">
        <f aca="false">IF(COUNTA(Z57,AF57,AL57)=0,"",(Z57="Sí")+(AF57="Sí")+(AL57="Sí"))</f>
        <v/>
      </c>
      <c r="BI57" s="9" t="str">
        <f aca="false">IF(COUNTA(AA57,AG57,AM57)=0,"",(AA57="Sí")+(AG57="Sí")+(AM57="Sí"))</f>
        <v/>
      </c>
      <c r="BJ57" s="9" t="str">
        <f aca="false">IF(COUNTA(AB57,AH57,AN57)=0,"",(AB57="Sí")+(AH57="Sí")+(AN57="Sí"))</f>
        <v/>
      </c>
      <c r="BK57" s="9" t="str">
        <f aca="false">IF(COUNT(AO57:AV57)=8,SUM(AO57:AV57),"")</f>
        <v/>
      </c>
    </row>
    <row r="58" customFormat="false" ht="15" hidden="false" customHeight="false" outlineLevel="0" collapsed="false">
      <c r="A58" s="4" t="s">
        <v>119</v>
      </c>
      <c r="B58" s="5"/>
      <c r="C58" s="6"/>
      <c r="D58" s="7"/>
      <c r="E58" s="7"/>
      <c r="F58" s="7"/>
      <c r="G58" s="6"/>
      <c r="H58" s="7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8" t="str">
        <f aca="false">INDEX(Tarjetas!$A$4:$A$59,MOD(3*(VALUE(MID(A58,3,2))-1)+0,ROWS(Tarjetas!$A$4:$A$59))+1)</f>
        <v>S51</v>
      </c>
      <c r="U58" s="8" t="str">
        <f aca="false">INDEX(Tarjetas!$A$4:$A$59,MOD(3*(VALUE(MID(A58,3,2))-1)+1,ROWS(Tarjetas!$A$4:$A$59))+1)</f>
        <v>S52</v>
      </c>
      <c r="V58" s="8" t="str">
        <f aca="false">INDEX(Tarjetas!$A$4:$A$59,MOD(3*(VALUE(MID(A58,3,2))-1)+2,ROWS(Tarjetas!$A$4:$A$59))+1)</f>
        <v>S53</v>
      </c>
      <c r="W58" s="6"/>
      <c r="X58" s="7"/>
      <c r="Y58" s="7"/>
      <c r="Z58" s="7"/>
      <c r="AA58" s="7"/>
      <c r="AB58" s="7"/>
      <c r="AC58" s="6"/>
      <c r="AD58" s="7"/>
      <c r="AE58" s="7"/>
      <c r="AF58" s="7"/>
      <c r="AG58" s="7"/>
      <c r="AH58" s="7"/>
      <c r="AI58" s="6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6"/>
      <c r="AZ58" s="9" t="str">
        <f aca="false">IF(COUNTA(B58,F58)=0,"",IF(AND(F58="Sí",H58&lt;&gt;"",S58&lt;&gt;"",COUNT(X58,AD58,AJ58)=3,COUNT(AO58:AV58)=8,AW58&lt;&gt;""),"Sí","No"))</f>
        <v/>
      </c>
      <c r="BA58" s="10" t="str">
        <f aca="false">IF(H58="","",IFERROR(INDEX(Parametros!$B$4:$B$9,MATCH(H58,Parametros!$A$4:$A$9,0)),""))</f>
        <v/>
      </c>
      <c r="BB58" s="11" t="str">
        <f aca="false">IF(COUNT(X58,AD58,AJ58)=3,AVERAGE(X58,AD58,AJ58)/60,"")</f>
        <v/>
      </c>
      <c r="BC58" s="11" t="str">
        <f aca="false">IF(AND(ISNUMBER(BA58),ISNUMBER(BB58)),BB58-BA58,"")</f>
        <v/>
      </c>
      <c r="BD58" s="12" t="str">
        <f aca="false">IF(AND(ISNUMBER(BA58),ISNUMBER(BB58)),IF(BA58&gt;0,(BA58-BB58)/BA58,""),"")</f>
        <v/>
      </c>
      <c r="BE58" s="9" t="str">
        <f aca="false">IF(S58="","",S58)</f>
        <v/>
      </c>
      <c r="BF58" s="9" t="str">
        <f aca="false">IF(AW58="","",AW58)</f>
        <v/>
      </c>
      <c r="BG58" s="9" t="str">
        <f aca="false">IF(AND(ISNUMBER(BE58),ISNUMBER(BF58)),BF58-BE58,"")</f>
        <v/>
      </c>
      <c r="BH58" s="9" t="str">
        <f aca="false">IF(COUNTA(Z58,AF58,AL58)=0,"",(Z58="Sí")+(AF58="Sí")+(AL58="Sí"))</f>
        <v/>
      </c>
      <c r="BI58" s="9" t="str">
        <f aca="false">IF(COUNTA(AA58,AG58,AM58)=0,"",(AA58="Sí")+(AG58="Sí")+(AM58="Sí"))</f>
        <v/>
      </c>
      <c r="BJ58" s="9" t="str">
        <f aca="false">IF(COUNTA(AB58,AH58,AN58)=0,"",(AB58="Sí")+(AH58="Sí")+(AN58="Sí"))</f>
        <v/>
      </c>
      <c r="BK58" s="9" t="str">
        <f aca="false">IF(COUNT(AO58:AV58)=8,SUM(AO58:AV58),"")</f>
        <v/>
      </c>
    </row>
    <row r="59" customFormat="false" ht="15" hidden="false" customHeight="false" outlineLevel="0" collapsed="false">
      <c r="A59" s="4" t="s">
        <v>120</v>
      </c>
      <c r="B59" s="5"/>
      <c r="C59" s="6"/>
      <c r="D59" s="7"/>
      <c r="E59" s="7"/>
      <c r="F59" s="7"/>
      <c r="G59" s="6"/>
      <c r="H59" s="7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8" t="str">
        <f aca="false">INDEX(Tarjetas!$A$4:$A$59,MOD(3*(VALUE(MID(A59,3,2))-1)+0,ROWS(Tarjetas!$A$4:$A$59))+1)</f>
        <v>S54</v>
      </c>
      <c r="U59" s="8" t="str">
        <f aca="false">INDEX(Tarjetas!$A$4:$A$59,MOD(3*(VALUE(MID(A59,3,2))-1)+1,ROWS(Tarjetas!$A$4:$A$59))+1)</f>
        <v>S55</v>
      </c>
      <c r="V59" s="8" t="str">
        <f aca="false">INDEX(Tarjetas!$A$4:$A$59,MOD(3*(VALUE(MID(A59,3,2))-1)+2,ROWS(Tarjetas!$A$4:$A$59))+1)</f>
        <v>S56</v>
      </c>
      <c r="W59" s="6"/>
      <c r="X59" s="7"/>
      <c r="Y59" s="7"/>
      <c r="Z59" s="7"/>
      <c r="AA59" s="7"/>
      <c r="AB59" s="7"/>
      <c r="AC59" s="6"/>
      <c r="AD59" s="7"/>
      <c r="AE59" s="7"/>
      <c r="AF59" s="7"/>
      <c r="AG59" s="7"/>
      <c r="AH59" s="7"/>
      <c r="AI59" s="6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6"/>
      <c r="AZ59" s="9" t="str">
        <f aca="false">IF(COUNTA(B59,F59)=0,"",IF(AND(F59="Sí",H59&lt;&gt;"",S59&lt;&gt;"",COUNT(X59,AD59,AJ59)=3,COUNT(AO59:AV59)=8,AW59&lt;&gt;""),"Sí","No"))</f>
        <v/>
      </c>
      <c r="BA59" s="10" t="str">
        <f aca="false">IF(H59="","",IFERROR(INDEX(Parametros!$B$4:$B$9,MATCH(H59,Parametros!$A$4:$A$9,0)),""))</f>
        <v/>
      </c>
      <c r="BB59" s="11" t="str">
        <f aca="false">IF(COUNT(X59,AD59,AJ59)=3,AVERAGE(X59,AD59,AJ59)/60,"")</f>
        <v/>
      </c>
      <c r="BC59" s="11" t="str">
        <f aca="false">IF(AND(ISNUMBER(BA59),ISNUMBER(BB59)),BB59-BA59,"")</f>
        <v/>
      </c>
      <c r="BD59" s="12" t="str">
        <f aca="false">IF(AND(ISNUMBER(BA59),ISNUMBER(BB59)),IF(BA59&gt;0,(BA59-BB59)/BA59,""),"")</f>
        <v/>
      </c>
      <c r="BE59" s="9" t="str">
        <f aca="false">IF(S59="","",S59)</f>
        <v/>
      </c>
      <c r="BF59" s="9" t="str">
        <f aca="false">IF(AW59="","",AW59)</f>
        <v/>
      </c>
      <c r="BG59" s="9" t="str">
        <f aca="false">IF(AND(ISNUMBER(BE59),ISNUMBER(BF59)),BF59-BE59,"")</f>
        <v/>
      </c>
      <c r="BH59" s="9" t="str">
        <f aca="false">IF(COUNTA(Z59,AF59,AL59)=0,"",(Z59="Sí")+(AF59="Sí")+(AL59="Sí"))</f>
        <v/>
      </c>
      <c r="BI59" s="9" t="str">
        <f aca="false">IF(COUNTA(AA59,AG59,AM59)=0,"",(AA59="Sí")+(AG59="Sí")+(AM59="Sí"))</f>
        <v/>
      </c>
      <c r="BJ59" s="9" t="str">
        <f aca="false">IF(COUNTA(AB59,AH59,AN59)=0,"",(AB59="Sí")+(AH59="Sí")+(AN59="Sí"))</f>
        <v/>
      </c>
      <c r="BK59" s="9" t="str">
        <f aca="false">IF(COUNT(AO59:AV59)=8,SUM(AO59:AV59),"")</f>
        <v/>
      </c>
    </row>
    <row r="60" customFormat="false" ht="15" hidden="false" customHeight="false" outlineLevel="0" collapsed="false">
      <c r="A60" s="4" t="s">
        <v>121</v>
      </c>
      <c r="B60" s="5"/>
      <c r="C60" s="6"/>
      <c r="D60" s="7"/>
      <c r="E60" s="7"/>
      <c r="F60" s="7"/>
      <c r="G60" s="6"/>
      <c r="H60" s="7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8" t="str">
        <f aca="false">INDEX(Tarjetas!$A$4:$A$59,MOD(3*(VALUE(MID(A60,3,2))-1)+0,ROWS(Tarjetas!$A$4:$A$59))+1)</f>
        <v>S01</v>
      </c>
      <c r="U60" s="8" t="str">
        <f aca="false">INDEX(Tarjetas!$A$4:$A$59,MOD(3*(VALUE(MID(A60,3,2))-1)+1,ROWS(Tarjetas!$A$4:$A$59))+1)</f>
        <v>S02</v>
      </c>
      <c r="V60" s="8" t="str">
        <f aca="false">INDEX(Tarjetas!$A$4:$A$59,MOD(3*(VALUE(MID(A60,3,2))-1)+2,ROWS(Tarjetas!$A$4:$A$59))+1)</f>
        <v>S03</v>
      </c>
      <c r="W60" s="6"/>
      <c r="X60" s="7"/>
      <c r="Y60" s="7"/>
      <c r="Z60" s="7"/>
      <c r="AA60" s="7"/>
      <c r="AB60" s="7"/>
      <c r="AC60" s="6"/>
      <c r="AD60" s="7"/>
      <c r="AE60" s="7"/>
      <c r="AF60" s="7"/>
      <c r="AG60" s="7"/>
      <c r="AH60" s="7"/>
      <c r="AI60" s="6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6"/>
      <c r="AZ60" s="9" t="str">
        <f aca="false">IF(COUNTA(B60,F60)=0,"",IF(AND(F60="Sí",H60&lt;&gt;"",S60&lt;&gt;"",COUNT(X60,AD60,AJ60)=3,COUNT(AO60:AV60)=8,AW60&lt;&gt;""),"Sí","No"))</f>
        <v/>
      </c>
      <c r="BA60" s="10" t="str">
        <f aca="false">IF(H60="","",IFERROR(INDEX(Parametros!$B$4:$B$9,MATCH(H60,Parametros!$A$4:$A$9,0)),""))</f>
        <v/>
      </c>
      <c r="BB60" s="11" t="str">
        <f aca="false">IF(COUNT(X60,AD60,AJ60)=3,AVERAGE(X60,AD60,AJ60)/60,"")</f>
        <v/>
      </c>
      <c r="BC60" s="11" t="str">
        <f aca="false">IF(AND(ISNUMBER(BA60),ISNUMBER(BB60)),BB60-BA60,"")</f>
        <v/>
      </c>
      <c r="BD60" s="12" t="str">
        <f aca="false">IF(AND(ISNUMBER(BA60),ISNUMBER(BB60)),IF(BA60&gt;0,(BA60-BB60)/BA60,""),"")</f>
        <v/>
      </c>
      <c r="BE60" s="9" t="str">
        <f aca="false">IF(S60="","",S60)</f>
        <v/>
      </c>
      <c r="BF60" s="9" t="str">
        <f aca="false">IF(AW60="","",AW60)</f>
        <v/>
      </c>
      <c r="BG60" s="9" t="str">
        <f aca="false">IF(AND(ISNUMBER(BE60),ISNUMBER(BF60)),BF60-BE60,"")</f>
        <v/>
      </c>
      <c r="BH60" s="9" t="str">
        <f aca="false">IF(COUNTA(Z60,AF60,AL60)=0,"",(Z60="Sí")+(AF60="Sí")+(AL60="Sí"))</f>
        <v/>
      </c>
      <c r="BI60" s="9" t="str">
        <f aca="false">IF(COUNTA(AA60,AG60,AM60)=0,"",(AA60="Sí")+(AG60="Sí")+(AM60="Sí"))</f>
        <v/>
      </c>
      <c r="BJ60" s="9" t="str">
        <f aca="false">IF(COUNTA(AB60,AH60,AN60)=0,"",(AB60="Sí")+(AH60="Sí")+(AN60="Sí"))</f>
        <v/>
      </c>
      <c r="BK60" s="9" t="str">
        <f aca="false">IF(COUNT(AO60:AV60)=8,SUM(AO60:AV60),"")</f>
        <v/>
      </c>
    </row>
    <row r="61" customFormat="false" ht="15" hidden="false" customHeight="false" outlineLevel="0" collapsed="false">
      <c r="A61" s="4" t="s">
        <v>122</v>
      </c>
      <c r="B61" s="5"/>
      <c r="C61" s="6"/>
      <c r="D61" s="7"/>
      <c r="E61" s="7"/>
      <c r="F61" s="7"/>
      <c r="G61" s="6"/>
      <c r="H61" s="7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8" t="str">
        <f aca="false">INDEX(Tarjetas!$A$4:$A$59,MOD(3*(VALUE(MID(A61,3,2))-1)+0,ROWS(Tarjetas!$A$4:$A$59))+1)</f>
        <v>S04</v>
      </c>
      <c r="U61" s="8" t="str">
        <f aca="false">INDEX(Tarjetas!$A$4:$A$59,MOD(3*(VALUE(MID(A61,3,2))-1)+1,ROWS(Tarjetas!$A$4:$A$59))+1)</f>
        <v>S05</v>
      </c>
      <c r="V61" s="8" t="str">
        <f aca="false">INDEX(Tarjetas!$A$4:$A$59,MOD(3*(VALUE(MID(A61,3,2))-1)+2,ROWS(Tarjetas!$A$4:$A$59))+1)</f>
        <v>S06</v>
      </c>
      <c r="W61" s="6"/>
      <c r="X61" s="7"/>
      <c r="Y61" s="7"/>
      <c r="Z61" s="7"/>
      <c r="AA61" s="7"/>
      <c r="AB61" s="7"/>
      <c r="AC61" s="6"/>
      <c r="AD61" s="7"/>
      <c r="AE61" s="7"/>
      <c r="AF61" s="7"/>
      <c r="AG61" s="7"/>
      <c r="AH61" s="7"/>
      <c r="AI61" s="6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6"/>
      <c r="AZ61" s="9" t="str">
        <f aca="false">IF(COUNTA(B61,F61)=0,"",IF(AND(F61="Sí",H61&lt;&gt;"",S61&lt;&gt;"",COUNT(X61,AD61,AJ61)=3,COUNT(AO61:AV61)=8,AW61&lt;&gt;""),"Sí","No"))</f>
        <v/>
      </c>
      <c r="BA61" s="10" t="str">
        <f aca="false">IF(H61="","",IFERROR(INDEX(Parametros!$B$4:$B$9,MATCH(H61,Parametros!$A$4:$A$9,0)),""))</f>
        <v/>
      </c>
      <c r="BB61" s="11" t="str">
        <f aca="false">IF(COUNT(X61,AD61,AJ61)=3,AVERAGE(X61,AD61,AJ61)/60,"")</f>
        <v/>
      </c>
      <c r="BC61" s="11" t="str">
        <f aca="false">IF(AND(ISNUMBER(BA61),ISNUMBER(BB61)),BB61-BA61,"")</f>
        <v/>
      </c>
      <c r="BD61" s="12" t="str">
        <f aca="false">IF(AND(ISNUMBER(BA61),ISNUMBER(BB61)),IF(BA61&gt;0,(BA61-BB61)/BA61,""),"")</f>
        <v/>
      </c>
      <c r="BE61" s="9" t="str">
        <f aca="false">IF(S61="","",S61)</f>
        <v/>
      </c>
      <c r="BF61" s="9" t="str">
        <f aca="false">IF(AW61="","",AW61)</f>
        <v/>
      </c>
      <c r="BG61" s="9" t="str">
        <f aca="false">IF(AND(ISNUMBER(BE61),ISNUMBER(BF61)),BF61-BE61,"")</f>
        <v/>
      </c>
      <c r="BH61" s="9" t="str">
        <f aca="false">IF(COUNTA(Z61,AF61,AL61)=0,"",(Z61="Sí")+(AF61="Sí")+(AL61="Sí"))</f>
        <v/>
      </c>
      <c r="BI61" s="9" t="str">
        <f aca="false">IF(COUNTA(AA61,AG61,AM61)=0,"",(AA61="Sí")+(AG61="Sí")+(AM61="Sí"))</f>
        <v/>
      </c>
      <c r="BJ61" s="9" t="str">
        <f aca="false">IF(COUNTA(AB61,AH61,AN61)=0,"",(AB61="Sí")+(AH61="Sí")+(AN61="Sí"))</f>
        <v/>
      </c>
      <c r="BK61" s="9" t="str">
        <f aca="false">IF(COUNT(AO61:AV61)=8,SUM(AO61:AV61),"")</f>
        <v/>
      </c>
    </row>
    <row r="62" customFormat="false" ht="15" hidden="false" customHeight="false" outlineLevel="0" collapsed="false">
      <c r="A62" s="4" t="s">
        <v>123</v>
      </c>
      <c r="B62" s="5"/>
      <c r="C62" s="6"/>
      <c r="D62" s="7"/>
      <c r="E62" s="7"/>
      <c r="F62" s="7"/>
      <c r="G62" s="6"/>
      <c r="H62" s="7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8" t="str">
        <f aca="false">INDEX(Tarjetas!$A$4:$A$59,MOD(3*(VALUE(MID(A62,3,2))-1)+0,ROWS(Tarjetas!$A$4:$A$59))+1)</f>
        <v>S07</v>
      </c>
      <c r="U62" s="8" t="str">
        <f aca="false">INDEX(Tarjetas!$A$4:$A$59,MOD(3*(VALUE(MID(A62,3,2))-1)+1,ROWS(Tarjetas!$A$4:$A$59))+1)</f>
        <v>S08</v>
      </c>
      <c r="V62" s="8" t="str">
        <f aca="false">INDEX(Tarjetas!$A$4:$A$59,MOD(3*(VALUE(MID(A62,3,2))-1)+2,ROWS(Tarjetas!$A$4:$A$59))+1)</f>
        <v>S09</v>
      </c>
      <c r="W62" s="6"/>
      <c r="X62" s="7"/>
      <c r="Y62" s="7"/>
      <c r="Z62" s="7"/>
      <c r="AA62" s="7"/>
      <c r="AB62" s="7"/>
      <c r="AC62" s="6"/>
      <c r="AD62" s="7"/>
      <c r="AE62" s="7"/>
      <c r="AF62" s="7"/>
      <c r="AG62" s="7"/>
      <c r="AH62" s="7"/>
      <c r="AI62" s="6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6"/>
      <c r="AZ62" s="9" t="str">
        <f aca="false">IF(COUNTA(B62,F62)=0,"",IF(AND(F62="Sí",H62&lt;&gt;"",S62&lt;&gt;"",COUNT(X62,AD62,AJ62)=3,COUNT(AO62:AV62)=8,AW62&lt;&gt;""),"Sí","No"))</f>
        <v/>
      </c>
      <c r="BA62" s="10" t="str">
        <f aca="false">IF(H62="","",IFERROR(INDEX(Parametros!$B$4:$B$9,MATCH(H62,Parametros!$A$4:$A$9,0)),""))</f>
        <v/>
      </c>
      <c r="BB62" s="11" t="str">
        <f aca="false">IF(COUNT(X62,AD62,AJ62)=3,AVERAGE(X62,AD62,AJ62)/60,"")</f>
        <v/>
      </c>
      <c r="BC62" s="11" t="str">
        <f aca="false">IF(AND(ISNUMBER(BA62),ISNUMBER(BB62)),BB62-BA62,"")</f>
        <v/>
      </c>
      <c r="BD62" s="12" t="str">
        <f aca="false">IF(AND(ISNUMBER(BA62),ISNUMBER(BB62)),IF(BA62&gt;0,(BA62-BB62)/BA62,""),"")</f>
        <v/>
      </c>
      <c r="BE62" s="9" t="str">
        <f aca="false">IF(S62="","",S62)</f>
        <v/>
      </c>
      <c r="BF62" s="9" t="str">
        <f aca="false">IF(AW62="","",AW62)</f>
        <v/>
      </c>
      <c r="BG62" s="9" t="str">
        <f aca="false">IF(AND(ISNUMBER(BE62),ISNUMBER(BF62)),BF62-BE62,"")</f>
        <v/>
      </c>
      <c r="BH62" s="9" t="str">
        <f aca="false">IF(COUNTA(Z62,AF62,AL62)=0,"",(Z62="Sí")+(AF62="Sí")+(AL62="Sí"))</f>
        <v/>
      </c>
      <c r="BI62" s="9" t="str">
        <f aca="false">IF(COUNTA(AA62,AG62,AM62)=0,"",(AA62="Sí")+(AG62="Sí")+(AM62="Sí"))</f>
        <v/>
      </c>
      <c r="BJ62" s="9" t="str">
        <f aca="false">IF(COUNTA(AB62,AH62,AN62)=0,"",(AB62="Sí")+(AH62="Sí")+(AN62="Sí"))</f>
        <v/>
      </c>
      <c r="BK62" s="9" t="str">
        <f aca="false">IF(COUNT(AO62:AV62)=8,SUM(AO62:AV62),"")</f>
        <v/>
      </c>
    </row>
    <row r="63" customFormat="false" ht="15" hidden="false" customHeight="false" outlineLevel="0" collapsed="false">
      <c r="A63" s="4" t="s">
        <v>124</v>
      </c>
      <c r="B63" s="5"/>
      <c r="C63" s="6"/>
      <c r="D63" s="7"/>
      <c r="E63" s="7"/>
      <c r="F63" s="7"/>
      <c r="G63" s="6"/>
      <c r="H63" s="7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8" t="str">
        <f aca="false">INDEX(Tarjetas!$A$4:$A$59,MOD(3*(VALUE(MID(A63,3,2))-1)+0,ROWS(Tarjetas!$A$4:$A$59))+1)</f>
        <v>S10</v>
      </c>
      <c r="U63" s="8" t="str">
        <f aca="false">INDEX(Tarjetas!$A$4:$A$59,MOD(3*(VALUE(MID(A63,3,2))-1)+1,ROWS(Tarjetas!$A$4:$A$59))+1)</f>
        <v>S11</v>
      </c>
      <c r="V63" s="8" t="str">
        <f aca="false">INDEX(Tarjetas!$A$4:$A$59,MOD(3*(VALUE(MID(A63,3,2))-1)+2,ROWS(Tarjetas!$A$4:$A$59))+1)</f>
        <v>S12</v>
      </c>
      <c r="W63" s="6"/>
      <c r="X63" s="7"/>
      <c r="Y63" s="7"/>
      <c r="Z63" s="7"/>
      <c r="AA63" s="7"/>
      <c r="AB63" s="7"/>
      <c r="AC63" s="6"/>
      <c r="AD63" s="7"/>
      <c r="AE63" s="7"/>
      <c r="AF63" s="7"/>
      <c r="AG63" s="7"/>
      <c r="AH63" s="7"/>
      <c r="AI63" s="6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6"/>
      <c r="AZ63" s="9" t="str">
        <f aca="false">IF(COUNTA(B63,F63)=0,"",IF(AND(F63="Sí",H63&lt;&gt;"",S63&lt;&gt;"",COUNT(X63,AD63,AJ63)=3,COUNT(AO63:AV63)=8,AW63&lt;&gt;""),"Sí","No"))</f>
        <v/>
      </c>
      <c r="BA63" s="10" t="str">
        <f aca="false">IF(H63="","",IFERROR(INDEX(Parametros!$B$4:$B$9,MATCH(H63,Parametros!$A$4:$A$9,0)),""))</f>
        <v/>
      </c>
      <c r="BB63" s="11" t="str">
        <f aca="false">IF(COUNT(X63,AD63,AJ63)=3,AVERAGE(X63,AD63,AJ63)/60,"")</f>
        <v/>
      </c>
      <c r="BC63" s="11" t="str">
        <f aca="false">IF(AND(ISNUMBER(BA63),ISNUMBER(BB63)),BB63-BA63,"")</f>
        <v/>
      </c>
      <c r="BD63" s="12" t="str">
        <f aca="false">IF(AND(ISNUMBER(BA63),ISNUMBER(BB63)),IF(BA63&gt;0,(BA63-BB63)/BA63,""),"")</f>
        <v/>
      </c>
      <c r="BE63" s="9" t="str">
        <f aca="false">IF(S63="","",S63)</f>
        <v/>
      </c>
      <c r="BF63" s="9" t="str">
        <f aca="false">IF(AW63="","",AW63)</f>
        <v/>
      </c>
      <c r="BG63" s="9" t="str">
        <f aca="false">IF(AND(ISNUMBER(BE63),ISNUMBER(BF63)),BF63-BE63,"")</f>
        <v/>
      </c>
      <c r="BH63" s="9" t="str">
        <f aca="false">IF(COUNTA(Z63,AF63,AL63)=0,"",(Z63="Sí")+(AF63="Sí")+(AL63="Sí"))</f>
        <v/>
      </c>
      <c r="BI63" s="9" t="str">
        <f aca="false">IF(COUNTA(AA63,AG63,AM63)=0,"",(AA63="Sí")+(AG63="Sí")+(AM63="Sí"))</f>
        <v/>
      </c>
      <c r="BJ63" s="9" t="str">
        <f aca="false">IF(COUNTA(AB63,AH63,AN63)=0,"",(AB63="Sí")+(AH63="Sí")+(AN63="Sí"))</f>
        <v/>
      </c>
      <c r="BK63" s="9" t="str">
        <f aca="false">IF(COUNT(AO63:AV63)=8,SUM(AO63:AV63),"")</f>
        <v/>
      </c>
    </row>
    <row r="64" customFormat="false" ht="15" hidden="false" customHeight="false" outlineLevel="0" collapsed="false">
      <c r="A64" s="4" t="s">
        <v>125</v>
      </c>
      <c r="B64" s="5"/>
      <c r="C64" s="6"/>
      <c r="D64" s="7"/>
      <c r="E64" s="7"/>
      <c r="F64" s="7"/>
      <c r="G64" s="6"/>
      <c r="H64" s="7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8" t="str">
        <f aca="false">INDEX(Tarjetas!$A$4:$A$59,MOD(3*(VALUE(MID(A64,3,2))-1)+0,ROWS(Tarjetas!$A$4:$A$59))+1)</f>
        <v>S13</v>
      </c>
      <c r="U64" s="8" t="str">
        <f aca="false">INDEX(Tarjetas!$A$4:$A$59,MOD(3*(VALUE(MID(A64,3,2))-1)+1,ROWS(Tarjetas!$A$4:$A$59))+1)</f>
        <v>S14</v>
      </c>
      <c r="V64" s="8" t="str">
        <f aca="false">INDEX(Tarjetas!$A$4:$A$59,MOD(3*(VALUE(MID(A64,3,2))-1)+2,ROWS(Tarjetas!$A$4:$A$59))+1)</f>
        <v>S15</v>
      </c>
      <c r="W64" s="6"/>
      <c r="X64" s="7"/>
      <c r="Y64" s="7"/>
      <c r="Z64" s="7"/>
      <c r="AA64" s="7"/>
      <c r="AB64" s="7"/>
      <c r="AC64" s="6"/>
      <c r="AD64" s="7"/>
      <c r="AE64" s="7"/>
      <c r="AF64" s="7"/>
      <c r="AG64" s="7"/>
      <c r="AH64" s="7"/>
      <c r="AI64" s="6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6"/>
      <c r="AZ64" s="9" t="str">
        <f aca="false">IF(COUNTA(B64,F64)=0,"",IF(AND(F64="Sí",H64&lt;&gt;"",S64&lt;&gt;"",COUNT(X64,AD64,AJ64)=3,COUNT(AO64:AV64)=8,AW64&lt;&gt;""),"Sí","No"))</f>
        <v/>
      </c>
      <c r="BA64" s="10" t="str">
        <f aca="false">IF(H64="","",IFERROR(INDEX(Parametros!$B$4:$B$9,MATCH(H64,Parametros!$A$4:$A$9,0)),""))</f>
        <v/>
      </c>
      <c r="BB64" s="11" t="str">
        <f aca="false">IF(COUNT(X64,AD64,AJ64)=3,AVERAGE(X64,AD64,AJ64)/60,"")</f>
        <v/>
      </c>
      <c r="BC64" s="11" t="str">
        <f aca="false">IF(AND(ISNUMBER(BA64),ISNUMBER(BB64)),BB64-BA64,"")</f>
        <v/>
      </c>
      <c r="BD64" s="12" t="str">
        <f aca="false">IF(AND(ISNUMBER(BA64),ISNUMBER(BB64)),IF(BA64&gt;0,(BA64-BB64)/BA64,""),"")</f>
        <v/>
      </c>
      <c r="BE64" s="9" t="str">
        <f aca="false">IF(S64="","",S64)</f>
        <v/>
      </c>
      <c r="BF64" s="9" t="str">
        <f aca="false">IF(AW64="","",AW64)</f>
        <v/>
      </c>
      <c r="BG64" s="9" t="str">
        <f aca="false">IF(AND(ISNUMBER(BE64),ISNUMBER(BF64)),BF64-BE64,"")</f>
        <v/>
      </c>
      <c r="BH64" s="9" t="str">
        <f aca="false">IF(COUNTA(Z64,AF64,AL64)=0,"",(Z64="Sí")+(AF64="Sí")+(AL64="Sí"))</f>
        <v/>
      </c>
      <c r="BI64" s="9" t="str">
        <f aca="false">IF(COUNTA(AA64,AG64,AM64)=0,"",(AA64="Sí")+(AG64="Sí")+(AM64="Sí"))</f>
        <v/>
      </c>
      <c r="BJ64" s="9" t="str">
        <f aca="false">IF(COUNTA(AB64,AH64,AN64)=0,"",(AB64="Sí")+(AH64="Sí")+(AN64="Sí"))</f>
        <v/>
      </c>
      <c r="BK64" s="9" t="str">
        <f aca="false">IF(COUNT(AO64:AV64)=8,SUM(AO64:AV64),"")</f>
        <v/>
      </c>
    </row>
    <row r="65" customFormat="false" ht="15" hidden="false" customHeight="false" outlineLevel="0" collapsed="false">
      <c r="A65" s="4" t="s">
        <v>126</v>
      </c>
      <c r="B65" s="5"/>
      <c r="C65" s="6"/>
      <c r="D65" s="7"/>
      <c r="E65" s="7"/>
      <c r="F65" s="7"/>
      <c r="G65" s="6"/>
      <c r="H65" s="7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8" t="str">
        <f aca="false">INDEX(Tarjetas!$A$4:$A$59,MOD(3*(VALUE(MID(A65,3,2))-1)+0,ROWS(Tarjetas!$A$4:$A$59))+1)</f>
        <v>S16</v>
      </c>
      <c r="U65" s="8" t="str">
        <f aca="false">INDEX(Tarjetas!$A$4:$A$59,MOD(3*(VALUE(MID(A65,3,2))-1)+1,ROWS(Tarjetas!$A$4:$A$59))+1)</f>
        <v>S17</v>
      </c>
      <c r="V65" s="8" t="str">
        <f aca="false">INDEX(Tarjetas!$A$4:$A$59,MOD(3*(VALUE(MID(A65,3,2))-1)+2,ROWS(Tarjetas!$A$4:$A$59))+1)</f>
        <v>S18</v>
      </c>
      <c r="W65" s="6"/>
      <c r="X65" s="7"/>
      <c r="Y65" s="7"/>
      <c r="Z65" s="7"/>
      <c r="AA65" s="7"/>
      <c r="AB65" s="7"/>
      <c r="AC65" s="6"/>
      <c r="AD65" s="7"/>
      <c r="AE65" s="7"/>
      <c r="AF65" s="7"/>
      <c r="AG65" s="7"/>
      <c r="AH65" s="7"/>
      <c r="AI65" s="6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6"/>
      <c r="AZ65" s="9" t="str">
        <f aca="false">IF(COUNTA(B65,F65)=0,"",IF(AND(F65="Sí",H65&lt;&gt;"",S65&lt;&gt;"",COUNT(X65,AD65,AJ65)=3,COUNT(AO65:AV65)=8,AW65&lt;&gt;""),"Sí","No"))</f>
        <v/>
      </c>
      <c r="BA65" s="10" t="str">
        <f aca="false">IF(H65="","",IFERROR(INDEX(Parametros!$B$4:$B$9,MATCH(H65,Parametros!$A$4:$A$9,0)),""))</f>
        <v/>
      </c>
      <c r="BB65" s="11" t="str">
        <f aca="false">IF(COUNT(X65,AD65,AJ65)=3,AVERAGE(X65,AD65,AJ65)/60,"")</f>
        <v/>
      </c>
      <c r="BC65" s="11" t="str">
        <f aca="false">IF(AND(ISNUMBER(BA65),ISNUMBER(BB65)),BB65-BA65,"")</f>
        <v/>
      </c>
      <c r="BD65" s="12" t="str">
        <f aca="false">IF(AND(ISNUMBER(BA65),ISNUMBER(BB65)),IF(BA65&gt;0,(BA65-BB65)/BA65,""),"")</f>
        <v/>
      </c>
      <c r="BE65" s="9" t="str">
        <f aca="false">IF(S65="","",S65)</f>
        <v/>
      </c>
      <c r="BF65" s="9" t="str">
        <f aca="false">IF(AW65="","",AW65)</f>
        <v/>
      </c>
      <c r="BG65" s="9" t="str">
        <f aca="false">IF(AND(ISNUMBER(BE65),ISNUMBER(BF65)),BF65-BE65,"")</f>
        <v/>
      </c>
      <c r="BH65" s="9" t="str">
        <f aca="false">IF(COUNTA(Z65,AF65,AL65)=0,"",(Z65="Sí")+(AF65="Sí")+(AL65="Sí"))</f>
        <v/>
      </c>
      <c r="BI65" s="9" t="str">
        <f aca="false">IF(COUNTA(AA65,AG65,AM65)=0,"",(AA65="Sí")+(AG65="Sí")+(AM65="Sí"))</f>
        <v/>
      </c>
      <c r="BJ65" s="9" t="str">
        <f aca="false">IF(COUNTA(AB65,AH65,AN65)=0,"",(AB65="Sí")+(AH65="Sí")+(AN65="Sí"))</f>
        <v/>
      </c>
      <c r="BK65" s="9" t="str">
        <f aca="false">IF(COUNT(AO65:AV65)=8,SUM(AO65:AV65),"")</f>
        <v/>
      </c>
    </row>
    <row r="66" customFormat="false" ht="15" hidden="false" customHeight="false" outlineLevel="0" collapsed="false">
      <c r="A66" s="4" t="s">
        <v>127</v>
      </c>
      <c r="B66" s="5"/>
      <c r="C66" s="6"/>
      <c r="D66" s="7"/>
      <c r="E66" s="7"/>
      <c r="F66" s="7"/>
      <c r="G66" s="6"/>
      <c r="H66" s="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8" t="str">
        <f aca="false">INDEX(Tarjetas!$A$4:$A$59,MOD(3*(VALUE(MID(A66,3,2))-1)+0,ROWS(Tarjetas!$A$4:$A$59))+1)</f>
        <v>S19</v>
      </c>
      <c r="U66" s="8" t="str">
        <f aca="false">INDEX(Tarjetas!$A$4:$A$59,MOD(3*(VALUE(MID(A66,3,2))-1)+1,ROWS(Tarjetas!$A$4:$A$59))+1)</f>
        <v>S20</v>
      </c>
      <c r="V66" s="8" t="str">
        <f aca="false">INDEX(Tarjetas!$A$4:$A$59,MOD(3*(VALUE(MID(A66,3,2))-1)+2,ROWS(Tarjetas!$A$4:$A$59))+1)</f>
        <v>S21</v>
      </c>
      <c r="W66" s="6"/>
      <c r="X66" s="7"/>
      <c r="Y66" s="7"/>
      <c r="Z66" s="7"/>
      <c r="AA66" s="7"/>
      <c r="AB66" s="7"/>
      <c r="AC66" s="6"/>
      <c r="AD66" s="7"/>
      <c r="AE66" s="7"/>
      <c r="AF66" s="7"/>
      <c r="AG66" s="7"/>
      <c r="AH66" s="7"/>
      <c r="AI66" s="6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6"/>
      <c r="AZ66" s="9" t="str">
        <f aca="false">IF(COUNTA(B66,F66)=0,"",IF(AND(F66="Sí",H66&lt;&gt;"",S66&lt;&gt;"",COUNT(X66,AD66,AJ66)=3,COUNT(AO66:AV66)=8,AW66&lt;&gt;""),"Sí","No"))</f>
        <v/>
      </c>
      <c r="BA66" s="10" t="str">
        <f aca="false">IF(H66="","",IFERROR(INDEX(Parametros!$B$4:$B$9,MATCH(H66,Parametros!$A$4:$A$9,0)),""))</f>
        <v/>
      </c>
      <c r="BB66" s="11" t="str">
        <f aca="false">IF(COUNT(X66,AD66,AJ66)=3,AVERAGE(X66,AD66,AJ66)/60,"")</f>
        <v/>
      </c>
      <c r="BC66" s="11" t="str">
        <f aca="false">IF(AND(ISNUMBER(BA66),ISNUMBER(BB66)),BB66-BA66,"")</f>
        <v/>
      </c>
      <c r="BD66" s="12" t="str">
        <f aca="false">IF(AND(ISNUMBER(BA66),ISNUMBER(BB66)),IF(BA66&gt;0,(BA66-BB66)/BA66,""),"")</f>
        <v/>
      </c>
      <c r="BE66" s="9" t="str">
        <f aca="false">IF(S66="","",S66)</f>
        <v/>
      </c>
      <c r="BF66" s="9" t="str">
        <f aca="false">IF(AW66="","",AW66)</f>
        <v/>
      </c>
      <c r="BG66" s="9" t="str">
        <f aca="false">IF(AND(ISNUMBER(BE66),ISNUMBER(BF66)),BF66-BE66,"")</f>
        <v/>
      </c>
      <c r="BH66" s="9" t="str">
        <f aca="false">IF(COUNTA(Z66,AF66,AL66)=0,"",(Z66="Sí")+(AF66="Sí")+(AL66="Sí"))</f>
        <v/>
      </c>
      <c r="BI66" s="9" t="str">
        <f aca="false">IF(COUNTA(AA66,AG66,AM66)=0,"",(AA66="Sí")+(AG66="Sí")+(AM66="Sí"))</f>
        <v/>
      </c>
      <c r="BJ66" s="9" t="str">
        <f aca="false">IF(COUNTA(AB66,AH66,AN66)=0,"",(AB66="Sí")+(AH66="Sí")+(AN66="Sí"))</f>
        <v/>
      </c>
      <c r="BK66" s="9" t="str">
        <f aca="false">IF(COUNT(AO66:AV66)=8,SUM(AO66:AV66),"")</f>
        <v/>
      </c>
    </row>
    <row r="67" customFormat="false" ht="15" hidden="false" customHeight="false" outlineLevel="0" collapsed="false">
      <c r="A67" s="4" t="s">
        <v>128</v>
      </c>
      <c r="B67" s="5"/>
      <c r="C67" s="6"/>
      <c r="D67" s="7"/>
      <c r="E67" s="7"/>
      <c r="F67" s="7"/>
      <c r="G67" s="6"/>
      <c r="H67" s="7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8" t="str">
        <f aca="false">INDEX(Tarjetas!$A$4:$A$59,MOD(3*(VALUE(MID(A67,3,2))-1)+0,ROWS(Tarjetas!$A$4:$A$59))+1)</f>
        <v>S22</v>
      </c>
      <c r="U67" s="8" t="str">
        <f aca="false">INDEX(Tarjetas!$A$4:$A$59,MOD(3*(VALUE(MID(A67,3,2))-1)+1,ROWS(Tarjetas!$A$4:$A$59))+1)</f>
        <v>S23</v>
      </c>
      <c r="V67" s="8" t="str">
        <f aca="false">INDEX(Tarjetas!$A$4:$A$59,MOD(3*(VALUE(MID(A67,3,2))-1)+2,ROWS(Tarjetas!$A$4:$A$59))+1)</f>
        <v>S24</v>
      </c>
      <c r="W67" s="6"/>
      <c r="X67" s="7"/>
      <c r="Y67" s="7"/>
      <c r="Z67" s="7"/>
      <c r="AA67" s="7"/>
      <c r="AB67" s="7"/>
      <c r="AC67" s="6"/>
      <c r="AD67" s="7"/>
      <c r="AE67" s="7"/>
      <c r="AF67" s="7"/>
      <c r="AG67" s="7"/>
      <c r="AH67" s="7"/>
      <c r="AI67" s="6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6"/>
      <c r="AZ67" s="9" t="str">
        <f aca="false">IF(COUNTA(B67,F67)=0,"",IF(AND(F67="Sí",H67&lt;&gt;"",S67&lt;&gt;"",COUNT(X67,AD67,AJ67)=3,COUNT(AO67:AV67)=8,AW67&lt;&gt;""),"Sí","No"))</f>
        <v/>
      </c>
      <c r="BA67" s="10" t="str">
        <f aca="false">IF(H67="","",IFERROR(INDEX(Parametros!$B$4:$B$9,MATCH(H67,Parametros!$A$4:$A$9,0)),""))</f>
        <v/>
      </c>
      <c r="BB67" s="11" t="str">
        <f aca="false">IF(COUNT(X67,AD67,AJ67)=3,AVERAGE(X67,AD67,AJ67)/60,"")</f>
        <v/>
      </c>
      <c r="BC67" s="11" t="str">
        <f aca="false">IF(AND(ISNUMBER(BA67),ISNUMBER(BB67)),BB67-BA67,"")</f>
        <v/>
      </c>
      <c r="BD67" s="12" t="str">
        <f aca="false">IF(AND(ISNUMBER(BA67),ISNUMBER(BB67)),IF(BA67&gt;0,(BA67-BB67)/BA67,""),"")</f>
        <v/>
      </c>
      <c r="BE67" s="9" t="str">
        <f aca="false">IF(S67="","",S67)</f>
        <v/>
      </c>
      <c r="BF67" s="9" t="str">
        <f aca="false">IF(AW67="","",AW67)</f>
        <v/>
      </c>
      <c r="BG67" s="9" t="str">
        <f aca="false">IF(AND(ISNUMBER(BE67),ISNUMBER(BF67)),BF67-BE67,"")</f>
        <v/>
      </c>
      <c r="BH67" s="9" t="str">
        <f aca="false">IF(COUNTA(Z67,AF67,AL67)=0,"",(Z67="Sí")+(AF67="Sí")+(AL67="Sí"))</f>
        <v/>
      </c>
      <c r="BI67" s="9" t="str">
        <f aca="false">IF(COUNTA(AA67,AG67,AM67)=0,"",(AA67="Sí")+(AG67="Sí")+(AM67="Sí"))</f>
        <v/>
      </c>
      <c r="BJ67" s="9" t="str">
        <f aca="false">IF(COUNTA(AB67,AH67,AN67)=0,"",(AB67="Sí")+(AH67="Sí")+(AN67="Sí"))</f>
        <v/>
      </c>
      <c r="BK67" s="9" t="str">
        <f aca="false">IF(COUNT(AO67:AV67)=8,SUM(AO67:AV67),"")</f>
        <v/>
      </c>
    </row>
    <row r="68" customFormat="false" ht="15" hidden="false" customHeight="false" outlineLevel="0" collapsed="false">
      <c r="A68" s="4" t="s">
        <v>129</v>
      </c>
      <c r="B68" s="5"/>
      <c r="C68" s="6"/>
      <c r="D68" s="7"/>
      <c r="E68" s="7"/>
      <c r="F68" s="7"/>
      <c r="G68" s="6"/>
      <c r="H68" s="7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8" t="str">
        <f aca="false">INDEX(Tarjetas!$A$4:$A$59,MOD(3*(VALUE(MID(A68,3,2))-1)+0,ROWS(Tarjetas!$A$4:$A$59))+1)</f>
        <v>S25</v>
      </c>
      <c r="U68" s="8" t="str">
        <f aca="false">INDEX(Tarjetas!$A$4:$A$59,MOD(3*(VALUE(MID(A68,3,2))-1)+1,ROWS(Tarjetas!$A$4:$A$59))+1)</f>
        <v>S26</v>
      </c>
      <c r="V68" s="8" t="str">
        <f aca="false">INDEX(Tarjetas!$A$4:$A$59,MOD(3*(VALUE(MID(A68,3,2))-1)+2,ROWS(Tarjetas!$A$4:$A$59))+1)</f>
        <v>S27</v>
      </c>
      <c r="W68" s="6"/>
      <c r="X68" s="7"/>
      <c r="Y68" s="7"/>
      <c r="Z68" s="7"/>
      <c r="AA68" s="7"/>
      <c r="AB68" s="7"/>
      <c r="AC68" s="6"/>
      <c r="AD68" s="7"/>
      <c r="AE68" s="7"/>
      <c r="AF68" s="7"/>
      <c r="AG68" s="7"/>
      <c r="AH68" s="7"/>
      <c r="AI68" s="6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6"/>
      <c r="AZ68" s="9" t="str">
        <f aca="false">IF(COUNTA(B68,F68)=0,"",IF(AND(F68="Sí",H68&lt;&gt;"",S68&lt;&gt;"",COUNT(X68,AD68,AJ68)=3,COUNT(AO68:AV68)=8,AW68&lt;&gt;""),"Sí","No"))</f>
        <v/>
      </c>
      <c r="BA68" s="10" t="str">
        <f aca="false">IF(H68="","",IFERROR(INDEX(Parametros!$B$4:$B$9,MATCH(H68,Parametros!$A$4:$A$9,0)),""))</f>
        <v/>
      </c>
      <c r="BB68" s="11" t="str">
        <f aca="false">IF(COUNT(X68,AD68,AJ68)=3,AVERAGE(X68,AD68,AJ68)/60,"")</f>
        <v/>
      </c>
      <c r="BC68" s="11" t="str">
        <f aca="false">IF(AND(ISNUMBER(BA68),ISNUMBER(BB68)),BB68-BA68,"")</f>
        <v/>
      </c>
      <c r="BD68" s="12" t="str">
        <f aca="false">IF(AND(ISNUMBER(BA68),ISNUMBER(BB68)),IF(BA68&gt;0,(BA68-BB68)/BA68,""),"")</f>
        <v/>
      </c>
      <c r="BE68" s="9" t="str">
        <f aca="false">IF(S68="","",S68)</f>
        <v/>
      </c>
      <c r="BF68" s="9" t="str">
        <f aca="false">IF(AW68="","",AW68)</f>
        <v/>
      </c>
      <c r="BG68" s="9" t="str">
        <f aca="false">IF(AND(ISNUMBER(BE68),ISNUMBER(BF68)),BF68-BE68,"")</f>
        <v/>
      </c>
      <c r="BH68" s="9" t="str">
        <f aca="false">IF(COUNTA(Z68,AF68,AL68)=0,"",(Z68="Sí")+(AF68="Sí")+(AL68="Sí"))</f>
        <v/>
      </c>
      <c r="BI68" s="9" t="str">
        <f aca="false">IF(COUNTA(AA68,AG68,AM68)=0,"",(AA68="Sí")+(AG68="Sí")+(AM68="Sí"))</f>
        <v/>
      </c>
      <c r="BJ68" s="9" t="str">
        <f aca="false">IF(COUNTA(AB68,AH68,AN68)=0,"",(AB68="Sí")+(AH68="Sí")+(AN68="Sí"))</f>
        <v/>
      </c>
      <c r="BK68" s="9" t="str">
        <f aca="false">IF(COUNT(AO68:AV68)=8,SUM(AO68:AV68),"")</f>
        <v/>
      </c>
    </row>
    <row r="69" customFormat="false" ht="15" hidden="false" customHeight="false" outlineLevel="0" collapsed="false">
      <c r="A69" s="4" t="s">
        <v>130</v>
      </c>
      <c r="B69" s="5"/>
      <c r="C69" s="6"/>
      <c r="D69" s="7"/>
      <c r="E69" s="7"/>
      <c r="F69" s="7"/>
      <c r="G69" s="6"/>
      <c r="H69" s="7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8" t="str">
        <f aca="false">INDEX(Tarjetas!$A$4:$A$59,MOD(3*(VALUE(MID(A69,3,2))-1)+0,ROWS(Tarjetas!$A$4:$A$59))+1)</f>
        <v>S28</v>
      </c>
      <c r="U69" s="8" t="str">
        <f aca="false">INDEX(Tarjetas!$A$4:$A$59,MOD(3*(VALUE(MID(A69,3,2))-1)+1,ROWS(Tarjetas!$A$4:$A$59))+1)</f>
        <v>S29</v>
      </c>
      <c r="V69" s="8" t="str">
        <f aca="false">INDEX(Tarjetas!$A$4:$A$59,MOD(3*(VALUE(MID(A69,3,2))-1)+2,ROWS(Tarjetas!$A$4:$A$59))+1)</f>
        <v>S30</v>
      </c>
      <c r="W69" s="6"/>
      <c r="X69" s="7"/>
      <c r="Y69" s="7"/>
      <c r="Z69" s="7"/>
      <c r="AA69" s="7"/>
      <c r="AB69" s="7"/>
      <c r="AC69" s="6"/>
      <c r="AD69" s="7"/>
      <c r="AE69" s="7"/>
      <c r="AF69" s="7"/>
      <c r="AG69" s="7"/>
      <c r="AH69" s="7"/>
      <c r="AI69" s="6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6"/>
      <c r="AZ69" s="9" t="str">
        <f aca="false">IF(COUNTA(B69,F69)=0,"",IF(AND(F69="Sí",H69&lt;&gt;"",S69&lt;&gt;"",COUNT(X69,AD69,AJ69)=3,COUNT(AO69:AV69)=8,AW69&lt;&gt;""),"Sí","No"))</f>
        <v/>
      </c>
      <c r="BA69" s="10" t="str">
        <f aca="false">IF(H69="","",IFERROR(INDEX(Parametros!$B$4:$B$9,MATCH(H69,Parametros!$A$4:$A$9,0)),""))</f>
        <v/>
      </c>
      <c r="BB69" s="11" t="str">
        <f aca="false">IF(COUNT(X69,AD69,AJ69)=3,AVERAGE(X69,AD69,AJ69)/60,"")</f>
        <v/>
      </c>
      <c r="BC69" s="11" t="str">
        <f aca="false">IF(AND(ISNUMBER(BA69),ISNUMBER(BB69)),BB69-BA69,"")</f>
        <v/>
      </c>
      <c r="BD69" s="12" t="str">
        <f aca="false">IF(AND(ISNUMBER(BA69),ISNUMBER(BB69)),IF(BA69&gt;0,(BA69-BB69)/BA69,""),"")</f>
        <v/>
      </c>
      <c r="BE69" s="9" t="str">
        <f aca="false">IF(S69="","",S69)</f>
        <v/>
      </c>
      <c r="BF69" s="9" t="str">
        <f aca="false">IF(AW69="","",AW69)</f>
        <v/>
      </c>
      <c r="BG69" s="9" t="str">
        <f aca="false">IF(AND(ISNUMBER(BE69),ISNUMBER(BF69)),BF69-BE69,"")</f>
        <v/>
      </c>
      <c r="BH69" s="9" t="str">
        <f aca="false">IF(COUNTA(Z69,AF69,AL69)=0,"",(Z69="Sí")+(AF69="Sí")+(AL69="Sí"))</f>
        <v/>
      </c>
      <c r="BI69" s="9" t="str">
        <f aca="false">IF(COUNTA(AA69,AG69,AM69)=0,"",(AA69="Sí")+(AG69="Sí")+(AM69="Sí"))</f>
        <v/>
      </c>
      <c r="BJ69" s="9" t="str">
        <f aca="false">IF(COUNTA(AB69,AH69,AN69)=0,"",(AB69="Sí")+(AH69="Sí")+(AN69="Sí"))</f>
        <v/>
      </c>
      <c r="BK69" s="9" t="str">
        <f aca="false">IF(COUNT(AO69:AV69)=8,SUM(AO69:AV69),"")</f>
        <v/>
      </c>
    </row>
    <row r="70" customFormat="false" ht="15" hidden="false" customHeight="false" outlineLevel="0" collapsed="false">
      <c r="A70" s="4" t="s">
        <v>131</v>
      </c>
      <c r="B70" s="5"/>
      <c r="C70" s="6"/>
      <c r="D70" s="7"/>
      <c r="E70" s="7"/>
      <c r="F70" s="7"/>
      <c r="G70" s="6"/>
      <c r="H70" s="7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8" t="str">
        <f aca="false">INDEX(Tarjetas!$A$4:$A$59,MOD(3*(VALUE(MID(A70,3,2))-1)+0,ROWS(Tarjetas!$A$4:$A$59))+1)</f>
        <v>S31</v>
      </c>
      <c r="U70" s="8" t="str">
        <f aca="false">INDEX(Tarjetas!$A$4:$A$59,MOD(3*(VALUE(MID(A70,3,2))-1)+1,ROWS(Tarjetas!$A$4:$A$59))+1)</f>
        <v>S32</v>
      </c>
      <c r="V70" s="8" t="str">
        <f aca="false">INDEX(Tarjetas!$A$4:$A$59,MOD(3*(VALUE(MID(A70,3,2))-1)+2,ROWS(Tarjetas!$A$4:$A$59))+1)</f>
        <v>S33</v>
      </c>
      <c r="W70" s="6"/>
      <c r="X70" s="7"/>
      <c r="Y70" s="7"/>
      <c r="Z70" s="7"/>
      <c r="AA70" s="7"/>
      <c r="AB70" s="7"/>
      <c r="AC70" s="6"/>
      <c r="AD70" s="7"/>
      <c r="AE70" s="7"/>
      <c r="AF70" s="7"/>
      <c r="AG70" s="7"/>
      <c r="AH70" s="7"/>
      <c r="AI70" s="6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6"/>
      <c r="AZ70" s="9" t="str">
        <f aca="false">IF(COUNTA(B70,F70)=0,"",IF(AND(F70="Sí",H70&lt;&gt;"",S70&lt;&gt;"",COUNT(X70,AD70,AJ70)=3,COUNT(AO70:AV70)=8,AW70&lt;&gt;""),"Sí","No"))</f>
        <v/>
      </c>
      <c r="BA70" s="10" t="str">
        <f aca="false">IF(H70="","",IFERROR(INDEX(Parametros!$B$4:$B$9,MATCH(H70,Parametros!$A$4:$A$9,0)),""))</f>
        <v/>
      </c>
      <c r="BB70" s="11" t="str">
        <f aca="false">IF(COUNT(X70,AD70,AJ70)=3,AVERAGE(X70,AD70,AJ70)/60,"")</f>
        <v/>
      </c>
      <c r="BC70" s="11" t="str">
        <f aca="false">IF(AND(ISNUMBER(BA70),ISNUMBER(BB70)),BB70-BA70,"")</f>
        <v/>
      </c>
      <c r="BD70" s="12" t="str">
        <f aca="false">IF(AND(ISNUMBER(BA70),ISNUMBER(BB70)),IF(BA70&gt;0,(BA70-BB70)/BA70,""),"")</f>
        <v/>
      </c>
      <c r="BE70" s="9" t="str">
        <f aca="false">IF(S70="","",S70)</f>
        <v/>
      </c>
      <c r="BF70" s="9" t="str">
        <f aca="false">IF(AW70="","",AW70)</f>
        <v/>
      </c>
      <c r="BG70" s="9" t="str">
        <f aca="false">IF(AND(ISNUMBER(BE70),ISNUMBER(BF70)),BF70-BE70,"")</f>
        <v/>
      </c>
      <c r="BH70" s="9" t="str">
        <f aca="false">IF(COUNTA(Z70,AF70,AL70)=0,"",(Z70="Sí")+(AF70="Sí")+(AL70="Sí"))</f>
        <v/>
      </c>
      <c r="BI70" s="9" t="str">
        <f aca="false">IF(COUNTA(AA70,AG70,AM70)=0,"",(AA70="Sí")+(AG70="Sí")+(AM70="Sí"))</f>
        <v/>
      </c>
      <c r="BJ70" s="9" t="str">
        <f aca="false">IF(COUNTA(AB70,AH70,AN70)=0,"",(AB70="Sí")+(AH70="Sí")+(AN70="Sí"))</f>
        <v/>
      </c>
      <c r="BK70" s="9" t="str">
        <f aca="false">IF(COUNT(AO70:AV70)=8,SUM(AO70:AV70),"")</f>
        <v/>
      </c>
    </row>
    <row r="71" customFormat="false" ht="15" hidden="false" customHeight="false" outlineLevel="0" collapsed="false">
      <c r="A71" s="4" t="s">
        <v>132</v>
      </c>
      <c r="B71" s="5"/>
      <c r="C71" s="6"/>
      <c r="D71" s="7"/>
      <c r="E71" s="7"/>
      <c r="F71" s="7"/>
      <c r="G71" s="6"/>
      <c r="H71" s="7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8" t="str">
        <f aca="false">INDEX(Tarjetas!$A$4:$A$59,MOD(3*(VALUE(MID(A71,3,2))-1)+0,ROWS(Tarjetas!$A$4:$A$59))+1)</f>
        <v>S34</v>
      </c>
      <c r="U71" s="8" t="str">
        <f aca="false">INDEX(Tarjetas!$A$4:$A$59,MOD(3*(VALUE(MID(A71,3,2))-1)+1,ROWS(Tarjetas!$A$4:$A$59))+1)</f>
        <v>S35</v>
      </c>
      <c r="V71" s="8" t="str">
        <f aca="false">INDEX(Tarjetas!$A$4:$A$59,MOD(3*(VALUE(MID(A71,3,2))-1)+2,ROWS(Tarjetas!$A$4:$A$59))+1)</f>
        <v>S36</v>
      </c>
      <c r="W71" s="6"/>
      <c r="X71" s="7"/>
      <c r="Y71" s="7"/>
      <c r="Z71" s="7"/>
      <c r="AA71" s="7"/>
      <c r="AB71" s="7"/>
      <c r="AC71" s="6"/>
      <c r="AD71" s="7"/>
      <c r="AE71" s="7"/>
      <c r="AF71" s="7"/>
      <c r="AG71" s="7"/>
      <c r="AH71" s="7"/>
      <c r="AI71" s="6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6"/>
      <c r="AZ71" s="9" t="str">
        <f aca="false">IF(COUNTA(B71,F71)=0,"",IF(AND(F71="Sí",H71&lt;&gt;"",S71&lt;&gt;"",COUNT(X71,AD71,AJ71)=3,COUNT(AO71:AV71)=8,AW71&lt;&gt;""),"Sí","No"))</f>
        <v/>
      </c>
      <c r="BA71" s="10" t="str">
        <f aca="false">IF(H71="","",IFERROR(INDEX(Parametros!$B$4:$B$9,MATCH(H71,Parametros!$A$4:$A$9,0)),""))</f>
        <v/>
      </c>
      <c r="BB71" s="11" t="str">
        <f aca="false">IF(COUNT(X71,AD71,AJ71)=3,AVERAGE(X71,AD71,AJ71)/60,"")</f>
        <v/>
      </c>
      <c r="BC71" s="11" t="str">
        <f aca="false">IF(AND(ISNUMBER(BA71),ISNUMBER(BB71)),BB71-BA71,"")</f>
        <v/>
      </c>
      <c r="BD71" s="12" t="str">
        <f aca="false">IF(AND(ISNUMBER(BA71),ISNUMBER(BB71)),IF(BA71&gt;0,(BA71-BB71)/BA71,""),"")</f>
        <v/>
      </c>
      <c r="BE71" s="9" t="str">
        <f aca="false">IF(S71="","",S71)</f>
        <v/>
      </c>
      <c r="BF71" s="9" t="str">
        <f aca="false">IF(AW71="","",AW71)</f>
        <v/>
      </c>
      <c r="BG71" s="9" t="str">
        <f aca="false">IF(AND(ISNUMBER(BE71),ISNUMBER(BF71)),BF71-BE71,"")</f>
        <v/>
      </c>
      <c r="BH71" s="9" t="str">
        <f aca="false">IF(COUNTA(Z71,AF71,AL71)=0,"",(Z71="Sí")+(AF71="Sí")+(AL71="Sí"))</f>
        <v/>
      </c>
      <c r="BI71" s="9" t="str">
        <f aca="false">IF(COUNTA(AA71,AG71,AM71)=0,"",(AA71="Sí")+(AG71="Sí")+(AM71="Sí"))</f>
        <v/>
      </c>
      <c r="BJ71" s="9" t="str">
        <f aca="false">IF(COUNTA(AB71,AH71,AN71)=0,"",(AB71="Sí")+(AH71="Sí")+(AN71="Sí"))</f>
        <v/>
      </c>
      <c r="BK71" s="9" t="str">
        <f aca="false">IF(COUNT(AO71:AV71)=8,SUM(AO71:AV71),"")</f>
        <v/>
      </c>
    </row>
    <row r="72" customFormat="false" ht="15" hidden="false" customHeight="false" outlineLevel="0" collapsed="false">
      <c r="A72" s="4" t="s">
        <v>133</v>
      </c>
      <c r="B72" s="5"/>
      <c r="C72" s="6"/>
      <c r="D72" s="7"/>
      <c r="E72" s="7"/>
      <c r="F72" s="7"/>
      <c r="G72" s="6"/>
      <c r="H72" s="7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8" t="str">
        <f aca="false">INDEX(Tarjetas!$A$4:$A$59,MOD(3*(VALUE(MID(A72,3,2))-1)+0,ROWS(Tarjetas!$A$4:$A$59))+1)</f>
        <v>S37</v>
      </c>
      <c r="U72" s="8" t="str">
        <f aca="false">INDEX(Tarjetas!$A$4:$A$59,MOD(3*(VALUE(MID(A72,3,2))-1)+1,ROWS(Tarjetas!$A$4:$A$59))+1)</f>
        <v>S38</v>
      </c>
      <c r="V72" s="8" t="str">
        <f aca="false">INDEX(Tarjetas!$A$4:$A$59,MOD(3*(VALUE(MID(A72,3,2))-1)+2,ROWS(Tarjetas!$A$4:$A$59))+1)</f>
        <v>S39</v>
      </c>
      <c r="W72" s="6"/>
      <c r="X72" s="7"/>
      <c r="Y72" s="7"/>
      <c r="Z72" s="7"/>
      <c r="AA72" s="7"/>
      <c r="AB72" s="7"/>
      <c r="AC72" s="6"/>
      <c r="AD72" s="7"/>
      <c r="AE72" s="7"/>
      <c r="AF72" s="7"/>
      <c r="AG72" s="7"/>
      <c r="AH72" s="7"/>
      <c r="AI72" s="6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6"/>
      <c r="AZ72" s="9" t="str">
        <f aca="false">IF(COUNTA(B72,F72)=0,"",IF(AND(F72="Sí",H72&lt;&gt;"",S72&lt;&gt;"",COUNT(X72,AD72,AJ72)=3,COUNT(AO72:AV72)=8,AW72&lt;&gt;""),"Sí","No"))</f>
        <v/>
      </c>
      <c r="BA72" s="10" t="str">
        <f aca="false">IF(H72="","",IFERROR(INDEX(Parametros!$B$4:$B$9,MATCH(H72,Parametros!$A$4:$A$9,0)),""))</f>
        <v/>
      </c>
      <c r="BB72" s="11" t="str">
        <f aca="false">IF(COUNT(X72,AD72,AJ72)=3,AVERAGE(X72,AD72,AJ72)/60,"")</f>
        <v/>
      </c>
      <c r="BC72" s="11" t="str">
        <f aca="false">IF(AND(ISNUMBER(BA72),ISNUMBER(BB72)),BB72-BA72,"")</f>
        <v/>
      </c>
      <c r="BD72" s="12" t="str">
        <f aca="false">IF(AND(ISNUMBER(BA72),ISNUMBER(BB72)),IF(BA72&gt;0,(BA72-BB72)/BA72,""),"")</f>
        <v/>
      </c>
      <c r="BE72" s="9" t="str">
        <f aca="false">IF(S72="","",S72)</f>
        <v/>
      </c>
      <c r="BF72" s="9" t="str">
        <f aca="false">IF(AW72="","",AW72)</f>
        <v/>
      </c>
      <c r="BG72" s="9" t="str">
        <f aca="false">IF(AND(ISNUMBER(BE72),ISNUMBER(BF72)),BF72-BE72,"")</f>
        <v/>
      </c>
      <c r="BH72" s="9" t="str">
        <f aca="false">IF(COUNTA(Z72,AF72,AL72)=0,"",(Z72="Sí")+(AF72="Sí")+(AL72="Sí"))</f>
        <v/>
      </c>
      <c r="BI72" s="9" t="str">
        <f aca="false">IF(COUNTA(AA72,AG72,AM72)=0,"",(AA72="Sí")+(AG72="Sí")+(AM72="Sí"))</f>
        <v/>
      </c>
      <c r="BJ72" s="9" t="str">
        <f aca="false">IF(COUNTA(AB72,AH72,AN72)=0,"",(AB72="Sí")+(AH72="Sí")+(AN72="Sí"))</f>
        <v/>
      </c>
      <c r="BK72" s="9" t="str">
        <f aca="false">IF(COUNT(AO72:AV72)=8,SUM(AO72:AV72),"")</f>
        <v/>
      </c>
    </row>
    <row r="73" customFormat="false" ht="15" hidden="false" customHeight="false" outlineLevel="0" collapsed="false">
      <c r="A73" s="4" t="s">
        <v>134</v>
      </c>
      <c r="B73" s="5"/>
      <c r="C73" s="6"/>
      <c r="D73" s="7"/>
      <c r="E73" s="7"/>
      <c r="F73" s="7"/>
      <c r="G73" s="6"/>
      <c r="H73" s="7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8" t="str">
        <f aca="false">INDEX(Tarjetas!$A$4:$A$59,MOD(3*(VALUE(MID(A73,3,2))-1)+0,ROWS(Tarjetas!$A$4:$A$59))+1)</f>
        <v>S40</v>
      </c>
      <c r="U73" s="8" t="str">
        <f aca="false">INDEX(Tarjetas!$A$4:$A$59,MOD(3*(VALUE(MID(A73,3,2))-1)+1,ROWS(Tarjetas!$A$4:$A$59))+1)</f>
        <v>S41</v>
      </c>
      <c r="V73" s="8" t="str">
        <f aca="false">INDEX(Tarjetas!$A$4:$A$59,MOD(3*(VALUE(MID(A73,3,2))-1)+2,ROWS(Tarjetas!$A$4:$A$59))+1)</f>
        <v>S42</v>
      </c>
      <c r="W73" s="6"/>
      <c r="X73" s="7"/>
      <c r="Y73" s="7"/>
      <c r="Z73" s="7"/>
      <c r="AA73" s="7"/>
      <c r="AB73" s="7"/>
      <c r="AC73" s="6"/>
      <c r="AD73" s="7"/>
      <c r="AE73" s="7"/>
      <c r="AF73" s="7"/>
      <c r="AG73" s="7"/>
      <c r="AH73" s="7"/>
      <c r="AI73" s="6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6"/>
      <c r="AZ73" s="9" t="str">
        <f aca="false">IF(COUNTA(B73,F73)=0,"",IF(AND(F73="Sí",H73&lt;&gt;"",S73&lt;&gt;"",COUNT(X73,AD73,AJ73)=3,COUNT(AO73:AV73)=8,AW73&lt;&gt;""),"Sí","No"))</f>
        <v/>
      </c>
      <c r="BA73" s="10" t="str">
        <f aca="false">IF(H73="","",IFERROR(INDEX(Parametros!$B$4:$B$9,MATCH(H73,Parametros!$A$4:$A$9,0)),""))</f>
        <v/>
      </c>
      <c r="BB73" s="11" t="str">
        <f aca="false">IF(COUNT(X73,AD73,AJ73)=3,AVERAGE(X73,AD73,AJ73)/60,"")</f>
        <v/>
      </c>
      <c r="BC73" s="11" t="str">
        <f aca="false">IF(AND(ISNUMBER(BA73),ISNUMBER(BB73)),BB73-BA73,"")</f>
        <v/>
      </c>
      <c r="BD73" s="12" t="str">
        <f aca="false">IF(AND(ISNUMBER(BA73),ISNUMBER(BB73)),IF(BA73&gt;0,(BA73-BB73)/BA73,""),"")</f>
        <v/>
      </c>
      <c r="BE73" s="9" t="str">
        <f aca="false">IF(S73="","",S73)</f>
        <v/>
      </c>
      <c r="BF73" s="9" t="str">
        <f aca="false">IF(AW73="","",AW73)</f>
        <v/>
      </c>
      <c r="BG73" s="9" t="str">
        <f aca="false">IF(AND(ISNUMBER(BE73),ISNUMBER(BF73)),BF73-BE73,"")</f>
        <v/>
      </c>
      <c r="BH73" s="9" t="str">
        <f aca="false">IF(COUNTA(Z73,AF73,AL73)=0,"",(Z73="Sí")+(AF73="Sí")+(AL73="Sí"))</f>
        <v/>
      </c>
      <c r="BI73" s="9" t="str">
        <f aca="false">IF(COUNTA(AA73,AG73,AM73)=0,"",(AA73="Sí")+(AG73="Sí")+(AM73="Sí"))</f>
        <v/>
      </c>
      <c r="BJ73" s="9" t="str">
        <f aca="false">IF(COUNTA(AB73,AH73,AN73)=0,"",(AB73="Sí")+(AH73="Sí")+(AN73="Sí"))</f>
        <v/>
      </c>
      <c r="BK73" s="9" t="str">
        <f aca="false">IF(COUNT(AO73:AV73)=8,SUM(AO73:AV73),"")</f>
        <v/>
      </c>
    </row>
    <row r="74" customFormat="false" ht="15" hidden="false" customHeight="false" outlineLevel="0" collapsed="false">
      <c r="A74" s="4" t="s">
        <v>135</v>
      </c>
      <c r="B74" s="5"/>
      <c r="C74" s="6"/>
      <c r="D74" s="7"/>
      <c r="E74" s="7"/>
      <c r="F74" s="7"/>
      <c r="G74" s="6"/>
      <c r="H74" s="7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8" t="str">
        <f aca="false">INDEX(Tarjetas!$A$4:$A$59,MOD(3*(VALUE(MID(A74,3,2))-1)+0,ROWS(Tarjetas!$A$4:$A$59))+1)</f>
        <v>S43</v>
      </c>
      <c r="U74" s="8" t="str">
        <f aca="false">INDEX(Tarjetas!$A$4:$A$59,MOD(3*(VALUE(MID(A74,3,2))-1)+1,ROWS(Tarjetas!$A$4:$A$59))+1)</f>
        <v>S44</v>
      </c>
      <c r="V74" s="8" t="str">
        <f aca="false">INDEX(Tarjetas!$A$4:$A$59,MOD(3*(VALUE(MID(A74,3,2))-1)+2,ROWS(Tarjetas!$A$4:$A$59))+1)</f>
        <v>S45</v>
      </c>
      <c r="W74" s="6"/>
      <c r="X74" s="7"/>
      <c r="Y74" s="7"/>
      <c r="Z74" s="7"/>
      <c r="AA74" s="7"/>
      <c r="AB74" s="7"/>
      <c r="AC74" s="6"/>
      <c r="AD74" s="7"/>
      <c r="AE74" s="7"/>
      <c r="AF74" s="7"/>
      <c r="AG74" s="7"/>
      <c r="AH74" s="7"/>
      <c r="AI74" s="6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6"/>
      <c r="AZ74" s="9" t="str">
        <f aca="false">IF(COUNTA(B74,F74)=0,"",IF(AND(F74="Sí",H74&lt;&gt;"",S74&lt;&gt;"",COUNT(X74,AD74,AJ74)=3,COUNT(AO74:AV74)=8,AW74&lt;&gt;""),"Sí","No"))</f>
        <v/>
      </c>
      <c r="BA74" s="10" t="str">
        <f aca="false">IF(H74="","",IFERROR(INDEX(Parametros!$B$4:$B$9,MATCH(H74,Parametros!$A$4:$A$9,0)),""))</f>
        <v/>
      </c>
      <c r="BB74" s="11" t="str">
        <f aca="false">IF(COUNT(X74,AD74,AJ74)=3,AVERAGE(X74,AD74,AJ74)/60,"")</f>
        <v/>
      </c>
      <c r="BC74" s="11" t="str">
        <f aca="false">IF(AND(ISNUMBER(BA74),ISNUMBER(BB74)),BB74-BA74,"")</f>
        <v/>
      </c>
      <c r="BD74" s="12" t="str">
        <f aca="false">IF(AND(ISNUMBER(BA74),ISNUMBER(BB74)),IF(BA74&gt;0,(BA74-BB74)/BA74,""),"")</f>
        <v/>
      </c>
      <c r="BE74" s="9" t="str">
        <f aca="false">IF(S74="","",S74)</f>
        <v/>
      </c>
      <c r="BF74" s="9" t="str">
        <f aca="false">IF(AW74="","",AW74)</f>
        <v/>
      </c>
      <c r="BG74" s="9" t="str">
        <f aca="false">IF(AND(ISNUMBER(BE74),ISNUMBER(BF74)),BF74-BE74,"")</f>
        <v/>
      </c>
      <c r="BH74" s="9" t="str">
        <f aca="false">IF(COUNTA(Z74,AF74,AL74)=0,"",(Z74="Sí")+(AF74="Sí")+(AL74="Sí"))</f>
        <v/>
      </c>
      <c r="BI74" s="9" t="str">
        <f aca="false">IF(COUNTA(AA74,AG74,AM74)=0,"",(AA74="Sí")+(AG74="Sí")+(AM74="Sí"))</f>
        <v/>
      </c>
      <c r="BJ74" s="9" t="str">
        <f aca="false">IF(COUNTA(AB74,AH74,AN74)=0,"",(AB74="Sí")+(AH74="Sí")+(AN74="Sí"))</f>
        <v/>
      </c>
      <c r="BK74" s="9" t="str">
        <f aca="false">IF(COUNT(AO74:AV74)=8,SUM(AO74:AV74),"")</f>
        <v/>
      </c>
    </row>
    <row r="75" customFormat="false" ht="15" hidden="false" customHeight="false" outlineLevel="0" collapsed="false">
      <c r="A75" s="4" t="s">
        <v>136</v>
      </c>
      <c r="B75" s="5"/>
      <c r="C75" s="6"/>
      <c r="D75" s="7"/>
      <c r="E75" s="7"/>
      <c r="F75" s="7"/>
      <c r="G75" s="6"/>
      <c r="H75" s="7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8" t="str">
        <f aca="false">INDEX(Tarjetas!$A$4:$A$59,MOD(3*(VALUE(MID(A75,3,2))-1)+0,ROWS(Tarjetas!$A$4:$A$59))+1)</f>
        <v>S46</v>
      </c>
      <c r="U75" s="8" t="str">
        <f aca="false">INDEX(Tarjetas!$A$4:$A$59,MOD(3*(VALUE(MID(A75,3,2))-1)+1,ROWS(Tarjetas!$A$4:$A$59))+1)</f>
        <v>S47</v>
      </c>
      <c r="V75" s="8" t="str">
        <f aca="false">INDEX(Tarjetas!$A$4:$A$59,MOD(3*(VALUE(MID(A75,3,2))-1)+2,ROWS(Tarjetas!$A$4:$A$59))+1)</f>
        <v>S48</v>
      </c>
      <c r="W75" s="6"/>
      <c r="X75" s="7"/>
      <c r="Y75" s="7"/>
      <c r="Z75" s="7"/>
      <c r="AA75" s="7"/>
      <c r="AB75" s="7"/>
      <c r="AC75" s="6"/>
      <c r="AD75" s="7"/>
      <c r="AE75" s="7"/>
      <c r="AF75" s="7"/>
      <c r="AG75" s="7"/>
      <c r="AH75" s="7"/>
      <c r="AI75" s="6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6"/>
      <c r="AZ75" s="9" t="str">
        <f aca="false">IF(COUNTA(B75,F75)=0,"",IF(AND(F75="Sí",H75&lt;&gt;"",S75&lt;&gt;"",COUNT(X75,AD75,AJ75)=3,COUNT(AO75:AV75)=8,AW75&lt;&gt;""),"Sí","No"))</f>
        <v/>
      </c>
      <c r="BA75" s="10" t="str">
        <f aca="false">IF(H75="","",IFERROR(INDEX(Parametros!$B$4:$B$9,MATCH(H75,Parametros!$A$4:$A$9,0)),""))</f>
        <v/>
      </c>
      <c r="BB75" s="11" t="str">
        <f aca="false">IF(COUNT(X75,AD75,AJ75)=3,AVERAGE(X75,AD75,AJ75)/60,"")</f>
        <v/>
      </c>
      <c r="BC75" s="11" t="str">
        <f aca="false">IF(AND(ISNUMBER(BA75),ISNUMBER(BB75)),BB75-BA75,"")</f>
        <v/>
      </c>
      <c r="BD75" s="12" t="str">
        <f aca="false">IF(AND(ISNUMBER(BA75),ISNUMBER(BB75)),IF(BA75&gt;0,(BA75-BB75)/BA75,""),"")</f>
        <v/>
      </c>
      <c r="BE75" s="9" t="str">
        <f aca="false">IF(S75="","",S75)</f>
        <v/>
      </c>
      <c r="BF75" s="9" t="str">
        <f aca="false">IF(AW75="","",AW75)</f>
        <v/>
      </c>
      <c r="BG75" s="9" t="str">
        <f aca="false">IF(AND(ISNUMBER(BE75),ISNUMBER(BF75)),BF75-BE75,"")</f>
        <v/>
      </c>
      <c r="BH75" s="9" t="str">
        <f aca="false">IF(COUNTA(Z75,AF75,AL75)=0,"",(Z75="Sí")+(AF75="Sí")+(AL75="Sí"))</f>
        <v/>
      </c>
      <c r="BI75" s="9" t="str">
        <f aca="false">IF(COUNTA(AA75,AG75,AM75)=0,"",(AA75="Sí")+(AG75="Sí")+(AM75="Sí"))</f>
        <v/>
      </c>
      <c r="BJ75" s="9" t="str">
        <f aca="false">IF(COUNTA(AB75,AH75,AN75)=0,"",(AB75="Sí")+(AH75="Sí")+(AN75="Sí"))</f>
        <v/>
      </c>
      <c r="BK75" s="9" t="str">
        <f aca="false">IF(COUNT(AO75:AV75)=8,SUM(AO75:AV75),"")</f>
        <v/>
      </c>
    </row>
    <row r="76" customFormat="false" ht="15" hidden="false" customHeight="false" outlineLevel="0" collapsed="false">
      <c r="A76" s="4" t="s">
        <v>137</v>
      </c>
      <c r="B76" s="5"/>
      <c r="C76" s="6"/>
      <c r="D76" s="7"/>
      <c r="E76" s="7"/>
      <c r="F76" s="7"/>
      <c r="G76" s="6"/>
      <c r="H76" s="7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8" t="str">
        <f aca="false">INDEX(Tarjetas!$A$4:$A$59,MOD(3*(VALUE(MID(A76,3,2))-1)+0,ROWS(Tarjetas!$A$4:$A$59))+1)</f>
        <v>S49</v>
      </c>
      <c r="U76" s="8" t="str">
        <f aca="false">INDEX(Tarjetas!$A$4:$A$59,MOD(3*(VALUE(MID(A76,3,2))-1)+1,ROWS(Tarjetas!$A$4:$A$59))+1)</f>
        <v>S50</v>
      </c>
      <c r="V76" s="8" t="str">
        <f aca="false">INDEX(Tarjetas!$A$4:$A$59,MOD(3*(VALUE(MID(A76,3,2))-1)+2,ROWS(Tarjetas!$A$4:$A$59))+1)</f>
        <v>S51</v>
      </c>
      <c r="W76" s="6"/>
      <c r="X76" s="7"/>
      <c r="Y76" s="7"/>
      <c r="Z76" s="7"/>
      <c r="AA76" s="7"/>
      <c r="AB76" s="7"/>
      <c r="AC76" s="6"/>
      <c r="AD76" s="7"/>
      <c r="AE76" s="7"/>
      <c r="AF76" s="7"/>
      <c r="AG76" s="7"/>
      <c r="AH76" s="7"/>
      <c r="AI76" s="6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6"/>
      <c r="AZ76" s="9" t="str">
        <f aca="false">IF(COUNTA(B76,F76)=0,"",IF(AND(F76="Sí",H76&lt;&gt;"",S76&lt;&gt;"",COUNT(X76,AD76,AJ76)=3,COUNT(AO76:AV76)=8,AW76&lt;&gt;""),"Sí","No"))</f>
        <v/>
      </c>
      <c r="BA76" s="10" t="str">
        <f aca="false">IF(H76="","",IFERROR(INDEX(Parametros!$B$4:$B$9,MATCH(H76,Parametros!$A$4:$A$9,0)),""))</f>
        <v/>
      </c>
      <c r="BB76" s="11" t="str">
        <f aca="false">IF(COUNT(X76,AD76,AJ76)=3,AVERAGE(X76,AD76,AJ76)/60,"")</f>
        <v/>
      </c>
      <c r="BC76" s="11" t="str">
        <f aca="false">IF(AND(ISNUMBER(BA76),ISNUMBER(BB76)),BB76-BA76,"")</f>
        <v/>
      </c>
      <c r="BD76" s="12" t="str">
        <f aca="false">IF(AND(ISNUMBER(BA76),ISNUMBER(BB76)),IF(BA76&gt;0,(BA76-BB76)/BA76,""),"")</f>
        <v/>
      </c>
      <c r="BE76" s="9" t="str">
        <f aca="false">IF(S76="","",S76)</f>
        <v/>
      </c>
      <c r="BF76" s="9" t="str">
        <f aca="false">IF(AW76="","",AW76)</f>
        <v/>
      </c>
      <c r="BG76" s="9" t="str">
        <f aca="false">IF(AND(ISNUMBER(BE76),ISNUMBER(BF76)),BF76-BE76,"")</f>
        <v/>
      </c>
      <c r="BH76" s="9" t="str">
        <f aca="false">IF(COUNTA(Z76,AF76,AL76)=0,"",(Z76="Sí")+(AF76="Sí")+(AL76="Sí"))</f>
        <v/>
      </c>
      <c r="BI76" s="9" t="str">
        <f aca="false">IF(COUNTA(AA76,AG76,AM76)=0,"",(AA76="Sí")+(AG76="Sí")+(AM76="Sí"))</f>
        <v/>
      </c>
      <c r="BJ76" s="9" t="str">
        <f aca="false">IF(COUNTA(AB76,AH76,AN76)=0,"",(AB76="Sí")+(AH76="Sí")+(AN76="Sí"))</f>
        <v/>
      </c>
      <c r="BK76" s="9" t="str">
        <f aca="false">IF(COUNT(AO76:AV76)=8,SUM(AO76:AV76),"")</f>
        <v/>
      </c>
    </row>
    <row r="77" customFormat="false" ht="15" hidden="false" customHeight="false" outlineLevel="0" collapsed="false">
      <c r="A77" s="4" t="s">
        <v>138</v>
      </c>
      <c r="B77" s="5"/>
      <c r="C77" s="6"/>
      <c r="D77" s="7"/>
      <c r="E77" s="7"/>
      <c r="F77" s="7"/>
      <c r="G77" s="6"/>
      <c r="H77" s="7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8" t="str">
        <f aca="false">INDEX(Tarjetas!$A$4:$A$59,MOD(3*(VALUE(MID(A77,3,2))-1)+0,ROWS(Tarjetas!$A$4:$A$59))+1)</f>
        <v>S52</v>
      </c>
      <c r="U77" s="8" t="str">
        <f aca="false">INDEX(Tarjetas!$A$4:$A$59,MOD(3*(VALUE(MID(A77,3,2))-1)+1,ROWS(Tarjetas!$A$4:$A$59))+1)</f>
        <v>S53</v>
      </c>
      <c r="V77" s="8" t="str">
        <f aca="false">INDEX(Tarjetas!$A$4:$A$59,MOD(3*(VALUE(MID(A77,3,2))-1)+2,ROWS(Tarjetas!$A$4:$A$59))+1)</f>
        <v>S54</v>
      </c>
      <c r="W77" s="6"/>
      <c r="X77" s="7"/>
      <c r="Y77" s="7"/>
      <c r="Z77" s="7"/>
      <c r="AA77" s="7"/>
      <c r="AB77" s="7"/>
      <c r="AC77" s="6"/>
      <c r="AD77" s="7"/>
      <c r="AE77" s="7"/>
      <c r="AF77" s="7"/>
      <c r="AG77" s="7"/>
      <c r="AH77" s="7"/>
      <c r="AI77" s="6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6"/>
      <c r="AZ77" s="9" t="str">
        <f aca="false">IF(COUNTA(B77,F77)=0,"",IF(AND(F77="Sí",H77&lt;&gt;"",S77&lt;&gt;"",COUNT(X77,AD77,AJ77)=3,COUNT(AO77:AV77)=8,AW77&lt;&gt;""),"Sí","No"))</f>
        <v/>
      </c>
      <c r="BA77" s="10" t="str">
        <f aca="false">IF(H77="","",IFERROR(INDEX(Parametros!$B$4:$B$9,MATCH(H77,Parametros!$A$4:$A$9,0)),""))</f>
        <v/>
      </c>
      <c r="BB77" s="11" t="str">
        <f aca="false">IF(COUNT(X77,AD77,AJ77)=3,AVERAGE(X77,AD77,AJ77)/60,"")</f>
        <v/>
      </c>
      <c r="BC77" s="11" t="str">
        <f aca="false">IF(AND(ISNUMBER(BA77),ISNUMBER(BB77)),BB77-BA77,"")</f>
        <v/>
      </c>
      <c r="BD77" s="12" t="str">
        <f aca="false">IF(AND(ISNUMBER(BA77),ISNUMBER(BB77)),IF(BA77&gt;0,(BA77-BB77)/BA77,""),"")</f>
        <v/>
      </c>
      <c r="BE77" s="9" t="str">
        <f aca="false">IF(S77="","",S77)</f>
        <v/>
      </c>
      <c r="BF77" s="9" t="str">
        <f aca="false">IF(AW77="","",AW77)</f>
        <v/>
      </c>
      <c r="BG77" s="9" t="str">
        <f aca="false">IF(AND(ISNUMBER(BE77),ISNUMBER(BF77)),BF77-BE77,"")</f>
        <v/>
      </c>
      <c r="BH77" s="9" t="str">
        <f aca="false">IF(COUNTA(Z77,AF77,AL77)=0,"",(Z77="Sí")+(AF77="Sí")+(AL77="Sí"))</f>
        <v/>
      </c>
      <c r="BI77" s="9" t="str">
        <f aca="false">IF(COUNTA(AA77,AG77,AM77)=0,"",(AA77="Sí")+(AG77="Sí")+(AM77="Sí"))</f>
        <v/>
      </c>
      <c r="BJ77" s="9" t="str">
        <f aca="false">IF(COUNTA(AB77,AH77,AN77)=0,"",(AB77="Sí")+(AH77="Sí")+(AN77="Sí"))</f>
        <v/>
      </c>
      <c r="BK77" s="9" t="str">
        <f aca="false">IF(COUNT(AO77:AV77)=8,SUM(AO77:AV77),"")</f>
        <v/>
      </c>
    </row>
    <row r="78" customFormat="false" ht="15" hidden="false" customHeight="false" outlineLevel="0" collapsed="false">
      <c r="A78" s="4" t="s">
        <v>139</v>
      </c>
      <c r="B78" s="5"/>
      <c r="C78" s="6"/>
      <c r="D78" s="7"/>
      <c r="E78" s="7"/>
      <c r="F78" s="7"/>
      <c r="G78" s="6"/>
      <c r="H78" s="7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8" t="str">
        <f aca="false">INDEX(Tarjetas!$A$4:$A$59,MOD(3*(VALUE(MID(A78,3,2))-1)+0,ROWS(Tarjetas!$A$4:$A$59))+1)</f>
        <v>S55</v>
      </c>
      <c r="U78" s="8" t="str">
        <f aca="false">INDEX(Tarjetas!$A$4:$A$59,MOD(3*(VALUE(MID(A78,3,2))-1)+1,ROWS(Tarjetas!$A$4:$A$59))+1)</f>
        <v>S56</v>
      </c>
      <c r="V78" s="8" t="str">
        <f aca="false">INDEX(Tarjetas!$A$4:$A$59,MOD(3*(VALUE(MID(A78,3,2))-1)+2,ROWS(Tarjetas!$A$4:$A$59))+1)</f>
        <v>S01</v>
      </c>
      <c r="W78" s="6"/>
      <c r="X78" s="7"/>
      <c r="Y78" s="7"/>
      <c r="Z78" s="7"/>
      <c r="AA78" s="7"/>
      <c r="AB78" s="7"/>
      <c r="AC78" s="6"/>
      <c r="AD78" s="7"/>
      <c r="AE78" s="7"/>
      <c r="AF78" s="7"/>
      <c r="AG78" s="7"/>
      <c r="AH78" s="7"/>
      <c r="AI78" s="6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6"/>
      <c r="AZ78" s="9" t="str">
        <f aca="false">IF(COUNTA(B78,F78)=0,"",IF(AND(F78="Sí",H78&lt;&gt;"",S78&lt;&gt;"",COUNT(X78,AD78,AJ78)=3,COUNT(AO78:AV78)=8,AW78&lt;&gt;""),"Sí","No"))</f>
        <v/>
      </c>
      <c r="BA78" s="10" t="str">
        <f aca="false">IF(H78="","",IFERROR(INDEX(Parametros!$B$4:$B$9,MATCH(H78,Parametros!$A$4:$A$9,0)),""))</f>
        <v/>
      </c>
      <c r="BB78" s="11" t="str">
        <f aca="false">IF(COUNT(X78,AD78,AJ78)=3,AVERAGE(X78,AD78,AJ78)/60,"")</f>
        <v/>
      </c>
      <c r="BC78" s="11" t="str">
        <f aca="false">IF(AND(ISNUMBER(BA78),ISNUMBER(BB78)),BB78-BA78,"")</f>
        <v/>
      </c>
      <c r="BD78" s="12" t="str">
        <f aca="false">IF(AND(ISNUMBER(BA78),ISNUMBER(BB78)),IF(BA78&gt;0,(BA78-BB78)/BA78,""),"")</f>
        <v/>
      </c>
      <c r="BE78" s="9" t="str">
        <f aca="false">IF(S78="","",S78)</f>
        <v/>
      </c>
      <c r="BF78" s="9" t="str">
        <f aca="false">IF(AW78="","",AW78)</f>
        <v/>
      </c>
      <c r="BG78" s="9" t="str">
        <f aca="false">IF(AND(ISNUMBER(BE78),ISNUMBER(BF78)),BF78-BE78,"")</f>
        <v/>
      </c>
      <c r="BH78" s="9" t="str">
        <f aca="false">IF(COUNTA(Z78,AF78,AL78)=0,"",(Z78="Sí")+(AF78="Sí")+(AL78="Sí"))</f>
        <v/>
      </c>
      <c r="BI78" s="9" t="str">
        <f aca="false">IF(COUNTA(AA78,AG78,AM78)=0,"",(AA78="Sí")+(AG78="Sí")+(AM78="Sí"))</f>
        <v/>
      </c>
      <c r="BJ78" s="9" t="str">
        <f aca="false">IF(COUNTA(AB78,AH78,AN78)=0,"",(AB78="Sí")+(AH78="Sí")+(AN78="Sí"))</f>
        <v/>
      </c>
      <c r="BK78" s="9" t="str">
        <f aca="false">IF(COUNT(AO78:AV78)=8,SUM(AO78:AV78),"")</f>
        <v/>
      </c>
    </row>
    <row r="80" customFormat="false" ht="15" hidden="false" customHeight="false" outlineLevel="0" collapsed="false">
      <c r="A80" s="13" t="s">
        <v>140</v>
      </c>
    </row>
    <row r="81" customFormat="false" ht="22.35" hidden="false" customHeight="false" outlineLevel="0" collapsed="false">
      <c r="A81" s="14" t="s">
        <v>141</v>
      </c>
      <c r="B81" s="15" t="n">
        <v>46307</v>
      </c>
      <c r="C81" s="14" t="s">
        <v>142</v>
      </c>
      <c r="D81" s="14" t="s">
        <v>143</v>
      </c>
      <c r="E81" s="14" t="s">
        <v>144</v>
      </c>
      <c r="F81" s="14" t="s">
        <v>144</v>
      </c>
      <c r="G81" s="16" t="s">
        <v>145</v>
      </c>
      <c r="H81" s="14" t="s">
        <v>146</v>
      </c>
      <c r="I81" s="16" t="s">
        <v>147</v>
      </c>
      <c r="J81" s="14" t="n">
        <v>1</v>
      </c>
      <c r="K81" s="14" t="n">
        <v>1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2</v>
      </c>
      <c r="Q81" s="14" t="n">
        <v>2</v>
      </c>
      <c r="R81" s="14" t="n">
        <v>3</v>
      </c>
      <c r="S81" s="14" t="n">
        <v>3</v>
      </c>
      <c r="T81" s="14" t="s">
        <v>148</v>
      </c>
      <c r="U81" s="14" t="s">
        <v>149</v>
      </c>
      <c r="V81" s="14" t="s">
        <v>150</v>
      </c>
      <c r="W81" s="16" t="s">
        <v>151</v>
      </c>
      <c r="X81" s="14" t="n">
        <v>42</v>
      </c>
      <c r="Y81" s="14" t="n">
        <v>1</v>
      </c>
      <c r="Z81" s="14" t="s">
        <v>144</v>
      </c>
      <c r="AA81" s="14" t="s">
        <v>144</v>
      </c>
      <c r="AB81" s="14" t="s">
        <v>152</v>
      </c>
      <c r="AC81" s="16" t="s">
        <v>153</v>
      </c>
      <c r="AD81" s="14" t="n">
        <v>65</v>
      </c>
      <c r="AE81" s="14" t="n">
        <v>2</v>
      </c>
      <c r="AF81" s="14" t="s">
        <v>144</v>
      </c>
      <c r="AG81" s="14" t="s">
        <v>154</v>
      </c>
      <c r="AH81" s="14" t="s">
        <v>152</v>
      </c>
      <c r="AI81" s="16" t="s">
        <v>155</v>
      </c>
      <c r="AJ81" s="14" t="n">
        <v>180</v>
      </c>
      <c r="AK81" s="14" t="n">
        <v>3</v>
      </c>
      <c r="AL81" s="14" t="s">
        <v>152</v>
      </c>
      <c r="AM81" s="14" t="s">
        <v>152</v>
      </c>
      <c r="AN81" s="14" t="s">
        <v>144</v>
      </c>
      <c r="AO81" s="14" t="n">
        <v>4</v>
      </c>
      <c r="AP81" s="14" t="n">
        <v>5</v>
      </c>
      <c r="AQ81" s="14" t="n">
        <v>4</v>
      </c>
      <c r="AR81" s="14" t="n">
        <v>3</v>
      </c>
      <c r="AS81" s="14" t="n">
        <v>4</v>
      </c>
      <c r="AT81" s="14" t="n">
        <v>3</v>
      </c>
      <c r="AU81" s="14" t="n">
        <v>4</v>
      </c>
      <c r="AV81" s="14" t="n">
        <v>4</v>
      </c>
      <c r="AW81" s="14" t="n">
        <v>4</v>
      </c>
      <c r="AX81" s="14" t="s">
        <v>146</v>
      </c>
      <c r="AY81" s="16" t="s">
        <v>156</v>
      </c>
      <c r="AZ81" s="14" t="s">
        <v>144</v>
      </c>
      <c r="BA81" s="14" t="n">
        <v>90</v>
      </c>
      <c r="BB81" s="14" t="n">
        <v>1.6</v>
      </c>
      <c r="BC81" s="14" t="n">
        <v>-88.4</v>
      </c>
      <c r="BD81" s="17" t="n">
        <v>0.982283950617284</v>
      </c>
      <c r="BE81" s="14" t="n">
        <v>3</v>
      </c>
      <c r="BF81" s="14" t="n">
        <v>4</v>
      </c>
      <c r="BG81" s="14" t="n">
        <v>1</v>
      </c>
      <c r="BH81" s="14" t="n">
        <v>2</v>
      </c>
      <c r="BI81" s="14" t="n">
        <v>1</v>
      </c>
      <c r="BJ81" s="14" t="n">
        <v>1</v>
      </c>
      <c r="BK81" s="14" t="n">
        <v>31</v>
      </c>
    </row>
  </sheetData>
  <mergeCells count="1">
    <mergeCell ref="A2:R2"/>
  </mergeCells>
  <conditionalFormatting sqref="AZ4:AZ78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</conditionalFormatting>
  <dataValidations count="21">
    <dataValidation allowBlank="true" error="Elige un valor de la lista." errorStyle="stop" errorTitle="Valor no válido" operator="between" showDropDown="false" showErrorMessage="true" showInputMessage="false" sqref="E4:E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F4:F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Z4:Z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B4:AB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A4:AA78" type="list">
      <formula1>Parametros!$J$4:$J$6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F4:AF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H4:AH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G4:AG78" type="list">
      <formula1>Parametros!$J$4:$J$6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L4:AL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N4:AN78" type="list">
      <formula1>Parametros!$G$4:$G$5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M4:AM78" type="list">
      <formula1>Parametros!$J$4:$J$6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D4:D78" type="list">
      <formula1>Parametros!$F$4:$F$7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G4:G78" type="list">
      <formula1>Parametros!$H$4:$H$11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H4:H78" type="list">
      <formula1>Parametros!$A$4:$A$9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AX4:AX78" type="list">
      <formula1>Parametros!$A$4:$A$9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I4:I78" type="list">
      <formula1>Parametros!$I$4:$I$7</formula1>
      <formula2>0</formula2>
    </dataValidation>
    <dataValidation allowBlank="true" error="Escribe un número entero de 1 a 5." errorStyle="stop" errorTitle="Valor no válido" operator="between" showDropDown="false" showErrorMessage="true" showInputMessage="false" sqref="P4:S78 AO4:AW78" type="whole">
      <formula1>1</formula1>
      <formula2>5</formula2>
    </dataValidation>
    <dataValidation allowBlank="true" error="Escribe 1 si la dificultad fue marcada; déjalo vacío o 0 si no." errorStyle="stop" errorTitle="Valor no válido" operator="between" showDropDown="false" showErrorMessage="true" showInputMessage="false" sqref="J4:O78" type="whole">
      <formula1>0</formula1>
      <formula2>1</formula2>
    </dataValidation>
    <dataValidation allowBlank="true" error="Escribe los segundos (0 a 600)." errorStyle="stop" errorTitle="Valor no válido" operator="between" showDropDown="false" showErrorMessage="true" showInputMessage="false" sqref="X4:X78 AD4:AD78 AJ4:AJ78" type="decimal">
      <formula1>0</formula1>
      <formula2>600</formula2>
    </dataValidation>
    <dataValidation allowBlank="true" error="Escribe un número entero de mensajes." errorStyle="stop" errorTitle="Valor no válido" operator="between" showDropDown="false" showErrorMessage="true" showInputMessage="false" sqref="Y4:Y78 AE4:AE78 AK4:AK78" type="whole">
      <formula1>1</formula1>
      <formula2>10</formula2>
    </dataValidation>
    <dataValidation allowBlank="true" error="Escribe una fecha válida." errorStyle="stop" errorTitle="Fecha" operator="greaterThan" showDropDown="false" showErrorMessage="true" showInputMessage="false" sqref="B4:B78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157</v>
      </c>
    </row>
    <row r="2" customFormat="false" ht="30" hidden="false" customHeight="true" outlineLevel="0" collapsed="false">
      <c r="A2" s="2" t="s">
        <v>158</v>
      </c>
      <c r="B2" s="2"/>
      <c r="C2" s="2"/>
    </row>
    <row r="4" customFormat="false" ht="15" hidden="false" customHeight="false" outlineLevel="0" collapsed="false">
      <c r="A4" s="18" t="s">
        <v>159</v>
      </c>
      <c r="B4" s="19"/>
      <c r="C4" s="19"/>
    </row>
    <row r="5" customFormat="false" ht="27" hidden="false" customHeight="true" outlineLevel="0" collapsed="false">
      <c r="A5" s="20" t="s">
        <v>160</v>
      </c>
      <c r="B5" s="8" t="n">
        <f aca="false">COUNTA(Sesiones!$B$4:$B$78)</f>
        <v>0</v>
      </c>
      <c r="C5" s="21"/>
    </row>
    <row r="6" customFormat="false" ht="27" hidden="false" customHeight="true" outlineLevel="0" collapsed="false">
      <c r="A6" s="20" t="s">
        <v>161</v>
      </c>
      <c r="B6" s="8" t="n">
        <f aca="false">COUNTIF(Sesiones!$AZ$4:$AZ$78,"Sí")</f>
        <v>0</v>
      </c>
      <c r="C6" s="21"/>
    </row>
    <row r="7" customFormat="false" ht="27" hidden="false" customHeight="true" outlineLevel="0" collapsed="false">
      <c r="A7" s="20" t="s">
        <v>162</v>
      </c>
      <c r="B7" s="8" t="n">
        <f aca="false">COUNTIF(Sesiones!$F$4:$F$78,"No")</f>
        <v>0</v>
      </c>
      <c r="C7" s="21"/>
    </row>
    <row r="8" customFormat="false" ht="27" hidden="false" customHeight="true" outlineLevel="0" collapsed="false">
      <c r="A8" s="20" t="s">
        <v>163</v>
      </c>
      <c r="B8" s="8" t="n">
        <f aca="false">COUNTIFS(Sesiones!$F$4:$F$78,"Sí",Sesiones!$AZ$4:$AZ$78,"No")</f>
        <v>0</v>
      </c>
      <c r="C8" s="21" t="s">
        <v>164</v>
      </c>
    </row>
    <row r="9" customFormat="false" ht="27" hidden="false" customHeight="true" outlineLevel="0" collapsed="false">
      <c r="A9" s="20" t="s">
        <v>165</v>
      </c>
      <c r="B9" s="8" t="n">
        <f aca="false">Parametros!$B$14</f>
        <v>60</v>
      </c>
      <c r="C9" s="21"/>
    </row>
    <row r="10" customFormat="false" ht="27" hidden="false" customHeight="true" outlineLevel="0" collapsed="false">
      <c r="A10" s="20" t="s">
        <v>166</v>
      </c>
      <c r="B10" s="9" t="n">
        <f aca="false">MAX(0,B9-B6)</f>
        <v>60</v>
      </c>
      <c r="C10" s="21"/>
    </row>
    <row r="11" customFormat="false" ht="27" hidden="false" customHeight="true" outlineLevel="0" collapsed="false">
      <c r="A11" s="20" t="s">
        <v>167</v>
      </c>
      <c r="B11" s="4" t="str">
        <f aca="false">IF(B6&gt;=B9,"Meta alcanzada",IF(B6&gt;0,"Parcial (n = "&amp;B6&amp;")","Sin datos"))</f>
        <v>Sin datos</v>
      </c>
      <c r="C11" s="21" t="s">
        <v>168</v>
      </c>
    </row>
    <row r="13" customFormat="false" ht="15" hidden="false" customHeight="false" outlineLevel="0" collapsed="false">
      <c r="A13" s="18" t="s">
        <v>169</v>
      </c>
      <c r="B13" s="19"/>
      <c r="C13" s="19"/>
    </row>
    <row r="14" customFormat="false" ht="27" hidden="false" customHeight="true" outlineLevel="0" collapsed="false">
      <c r="A14" s="20" t="s">
        <v>170</v>
      </c>
      <c r="B14" s="10" t="str">
        <f aca="false">IFERROR(AVERAGEIFS(Sesiones!$BA$4:$BA$78,Sesiones!$AZ$4:$AZ$78,"Sí"),"")</f>
        <v/>
      </c>
      <c r="C14" s="21" t="s">
        <v>171</v>
      </c>
    </row>
    <row r="15" customFormat="false" ht="27" hidden="false" customHeight="true" outlineLevel="0" collapsed="false">
      <c r="A15" s="20" t="s">
        <v>172</v>
      </c>
      <c r="B15" s="10" t="str">
        <f aca="false">IFERROR(AVERAGEIFS(Sesiones!$BB$4:$BB$78,Sesiones!$AZ$4:$AZ$78,"Sí"),"")</f>
        <v/>
      </c>
      <c r="C15" s="21" t="s">
        <v>173</v>
      </c>
    </row>
    <row r="16" customFormat="false" ht="27" hidden="false" customHeight="true" outlineLevel="0" collapsed="false">
      <c r="A16" s="20" t="s">
        <v>174</v>
      </c>
      <c r="B16" s="12" t="str">
        <f aca="false">IFERROR((B14-B15)/B14,"")</f>
        <v/>
      </c>
      <c r="C16" s="21" t="str">
        <f aca="false">IF(B16="","","Meta ≥ "&amp;TEXT(Parametros!$B$15,"0%")&amp;": "&amp;IF(B16&gt;=Parametros!$B$15,"cumple","no cumple"))</f>
        <v/>
      </c>
    </row>
    <row r="17" customFormat="false" ht="27" hidden="false" customHeight="true" outlineLevel="0" collapsed="false">
      <c r="A17" s="20" t="s">
        <v>175</v>
      </c>
      <c r="B17" s="22" t="str">
        <f aca="false">IFERROR(AVERAGEIFS(Sesiones!$BD$4:$BD$78,Sesiones!$AZ$4:$AZ$78,"Sí"),"")</f>
        <v/>
      </c>
      <c r="C17" s="21" t="s">
        <v>176</v>
      </c>
    </row>
    <row r="19" customFormat="false" ht="15" hidden="false" customHeight="false" outlineLevel="0" collapsed="false">
      <c r="A19" s="18" t="s">
        <v>177</v>
      </c>
      <c r="B19" s="19"/>
      <c r="C19" s="19"/>
    </row>
    <row r="20" customFormat="false" ht="27" hidden="false" customHeight="true" outlineLevel="0" collapsed="false">
      <c r="A20" s="20" t="s">
        <v>178</v>
      </c>
      <c r="B20" s="23" t="str">
        <f aca="false">IFERROR(AVERAGEIFS(Sesiones!$BE$4:$BE$78,Sesiones!$AZ$4:$AZ$78,"Sí"),"")</f>
        <v/>
      </c>
      <c r="C20" s="21"/>
    </row>
    <row r="21" customFormat="false" ht="27" hidden="false" customHeight="true" outlineLevel="0" collapsed="false">
      <c r="A21" s="20" t="s">
        <v>179</v>
      </c>
      <c r="B21" s="23" t="str">
        <f aca="false">IFERROR(AVERAGEIFS(Sesiones!$BF$4:$BF$78,Sesiones!$AZ$4:$AZ$78,"Sí"),"")</f>
        <v/>
      </c>
      <c r="C21" s="21"/>
    </row>
    <row r="22" customFormat="false" ht="27" hidden="false" customHeight="true" outlineLevel="0" collapsed="false">
      <c r="A22" s="20" t="s">
        <v>180</v>
      </c>
      <c r="B22" s="24" t="str">
        <f aca="false">IFERROR(B21-B20,"")</f>
        <v/>
      </c>
      <c r="C22" s="21"/>
    </row>
    <row r="23" customFormat="false" ht="27" hidden="false" customHeight="true" outlineLevel="0" collapsed="false">
      <c r="A23" s="20" t="s">
        <v>181</v>
      </c>
      <c r="B23" s="23" t="str">
        <f aca="false">IFERROR(AVERAGEIFS(Sesiones!$BK$4:$BK$78,Sesiones!$AZ$4:$AZ$78,"Sí")/COLUMNS(Calc!$B$3:$I$3),"")</f>
        <v/>
      </c>
      <c r="C23" s="21" t="str">
        <f aca="false">IF(B23="","","Meta ≥ "&amp;TEXT(Parametros!$B$16,"0.0")&amp;": "&amp;IF(B23&gt;=Parametros!$B$16,"cumple","no cumple"))</f>
        <v/>
      </c>
    </row>
    <row r="24" customFormat="false" ht="27" hidden="false" customHeight="true" outlineLevel="0" collapsed="false">
      <c r="A24" s="20" t="s">
        <v>182</v>
      </c>
      <c r="B24" s="24" t="str">
        <f aca="false">IFERROR((COLUMNS(Calc!$B$3:$I$3)/(COLUMNS(Calc!$B$3:$I$3)-1))*(1-(VAR(Calc!B4:B78)+VAR(Calc!C4:C78)+VAR(Calc!D4:D78)+VAR(Calc!E4:E78)+VAR(Calc!F4:F78)+VAR(Calc!G4:G78)+VAR(Calc!H4:H78)+VAR(Calc!I4:I78))/VAR(Calc!$J$4:$J$78)),"")</f>
        <v/>
      </c>
      <c r="C24" s="21" t="str">
        <f aca="false">IF(B24="","","Mínimo "&amp;TEXT(Parametros!$B$17,"0.00")&amp;": "&amp;IF(B24&gt;=Parametros!$B$17,"cumple","no cumple"))</f>
        <v/>
      </c>
    </row>
    <row r="26" customFormat="false" ht="15" hidden="false" customHeight="false" outlineLevel="0" collapsed="false">
      <c r="A26" s="18" t="s">
        <v>183</v>
      </c>
      <c r="B26" s="19"/>
      <c r="C26" s="19"/>
    </row>
    <row r="27" customFormat="false" ht="27" hidden="false" customHeight="true" outlineLevel="0" collapsed="false">
      <c r="A27" s="20" t="s">
        <v>184</v>
      </c>
      <c r="B27" s="9" t="n">
        <f aca="false">3*B6</f>
        <v>0</v>
      </c>
      <c r="C27" s="21"/>
    </row>
    <row r="28" customFormat="false" ht="27" hidden="false" customHeight="true" outlineLevel="0" collapsed="false">
      <c r="A28" s="20" t="s">
        <v>185</v>
      </c>
      <c r="B28" s="22" t="str">
        <f aca="false">IFERROR(SUMIFS(Sesiones!$BH$4:$BH$78,Sesiones!$AZ$4:$AZ$78,"Sí")/B27,"")</f>
        <v/>
      </c>
      <c r="C28" s="21"/>
    </row>
    <row r="29" customFormat="false" ht="27" hidden="false" customHeight="true" outlineLevel="0" collapsed="false">
      <c r="A29" s="20" t="s">
        <v>186</v>
      </c>
      <c r="B29" s="22" t="str">
        <f aca="false">IFERROR(SUMIFS(Sesiones!$BI$4:$BI$78,Sesiones!$AZ$4:$AZ$78,"Sí")/B27,"")</f>
        <v/>
      </c>
      <c r="C29" s="21" t="s">
        <v>187</v>
      </c>
    </row>
    <row r="30" customFormat="false" ht="27" hidden="false" customHeight="true" outlineLevel="0" collapsed="false">
      <c r="A30" s="20" t="s">
        <v>188</v>
      </c>
      <c r="B30" s="22" t="str">
        <f aca="false">IFERROR(SUMIFS(Sesiones!$BJ$4:$BJ$78,Sesiones!$AZ$4:$AZ$78,"Sí")/B27,"")</f>
        <v/>
      </c>
      <c r="C30" s="21"/>
    </row>
    <row r="31" customFormat="false" ht="27" hidden="false" customHeight="true" outlineLevel="0" collapsed="false">
      <c r="A31" s="20" t="s">
        <v>189</v>
      </c>
      <c r="B31" s="10" t="str">
        <f aca="false">IFERROR((SUMIFS(Sesiones!$Y$4:$Y$78,Sesiones!$AZ$4:$AZ$78,"Sí")+SUMIFS(Sesiones!$AE$4:$AE$78,Sesiones!$AZ$4:$AZ$78,"Sí")+SUMIFS(Sesiones!$AK$4:$AK$78,Sesiones!$AZ$4:$AZ$78,"Sí"))/B27,"")</f>
        <v/>
      </c>
      <c r="C31" s="21"/>
    </row>
    <row r="32" customFormat="false" ht="27" hidden="false" customHeight="true" outlineLevel="0" collapsed="false">
      <c r="A32" s="20" t="s">
        <v>190</v>
      </c>
      <c r="B32" s="8" t="n">
        <f aca="false">MIN(Tarjetas!$D$4:$D$59)</f>
        <v>0</v>
      </c>
      <c r="C32" s="21" t="s">
        <v>191</v>
      </c>
    </row>
  </sheetData>
  <mergeCells count="1">
    <mergeCell ref="A2:C2"/>
  </mergeCells>
  <conditionalFormatting sqref="B11">
    <cfRule type="cellIs" priority="2" operator="equal" aboveAverage="0" equalAverage="0" bottom="0" percent="0" rank="0" text="" dxfId="0">
      <formula>"Meta alcanzada"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0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192</v>
      </c>
    </row>
    <row r="2" customFormat="false" ht="30" hidden="false" customHeight="true" outlineLevel="0" collapsed="false">
      <c r="A2" s="2" t="s">
        <v>193</v>
      </c>
      <c r="B2" s="2"/>
      <c r="C2" s="2"/>
      <c r="D2" s="2"/>
    </row>
    <row r="3" customFormat="false" ht="39.75" hidden="false" customHeight="true" outlineLevel="0" collapsed="false">
      <c r="A3" s="3" t="s">
        <v>194</v>
      </c>
      <c r="B3" s="3" t="s">
        <v>195</v>
      </c>
      <c r="C3" s="3" t="s">
        <v>196</v>
      </c>
      <c r="D3" s="3" t="s">
        <v>184</v>
      </c>
    </row>
    <row r="4" customFormat="false" ht="23.85" hidden="false" customHeight="false" outlineLevel="0" collapsed="false">
      <c r="A4" s="25" t="s">
        <v>148</v>
      </c>
      <c r="B4" s="26" t="s">
        <v>197</v>
      </c>
      <c r="C4" s="26" t="s">
        <v>198</v>
      </c>
      <c r="D4" s="8" t="n">
        <f aca="false">COUNTIFS(Sesiones!$T$4:$T$78,A4,Sesiones!$AZ$4:$AZ$78,"Sí")+COUNTIFS(Sesiones!$U$4:$U$78,A4,Sesiones!$AZ$4:$AZ$78,"Sí")+COUNTIFS(Sesiones!$V$4:$V$78,A4,Sesiones!$AZ$4:$AZ$78,"Sí")</f>
        <v>0</v>
      </c>
    </row>
    <row r="5" customFormat="false" ht="15" hidden="false" customHeight="false" outlineLevel="0" collapsed="false">
      <c r="A5" s="25" t="s">
        <v>149</v>
      </c>
      <c r="B5" s="26" t="s">
        <v>199</v>
      </c>
      <c r="C5" s="26" t="s">
        <v>200</v>
      </c>
      <c r="D5" s="8" t="n">
        <f aca="false">COUNTIFS(Sesiones!$T$4:$T$78,A5,Sesiones!$AZ$4:$AZ$78,"Sí")+COUNTIFS(Sesiones!$U$4:$U$78,A5,Sesiones!$AZ$4:$AZ$78,"Sí")+COUNTIFS(Sesiones!$V$4:$V$78,A5,Sesiones!$AZ$4:$AZ$78,"Sí")</f>
        <v>0</v>
      </c>
    </row>
    <row r="6" customFormat="false" ht="15" hidden="false" customHeight="false" outlineLevel="0" collapsed="false">
      <c r="A6" s="25" t="s">
        <v>150</v>
      </c>
      <c r="B6" s="26" t="s">
        <v>201</v>
      </c>
      <c r="C6" s="26" t="s">
        <v>202</v>
      </c>
      <c r="D6" s="8" t="n">
        <f aca="false">COUNTIFS(Sesiones!$T$4:$T$78,A6,Sesiones!$AZ$4:$AZ$78,"Sí")+COUNTIFS(Sesiones!$U$4:$U$78,A6,Sesiones!$AZ$4:$AZ$78,"Sí")+COUNTIFS(Sesiones!$V$4:$V$78,A6,Sesiones!$AZ$4:$AZ$78,"Sí")</f>
        <v>0</v>
      </c>
    </row>
    <row r="7" customFormat="false" ht="23.85" hidden="false" customHeight="false" outlineLevel="0" collapsed="false">
      <c r="A7" s="25" t="s">
        <v>203</v>
      </c>
      <c r="B7" s="26" t="s">
        <v>204</v>
      </c>
      <c r="C7" s="26" t="s">
        <v>205</v>
      </c>
      <c r="D7" s="8" t="n">
        <f aca="false">COUNTIFS(Sesiones!$T$4:$T$78,A7,Sesiones!$AZ$4:$AZ$78,"Sí")+COUNTIFS(Sesiones!$U$4:$U$78,A7,Sesiones!$AZ$4:$AZ$78,"Sí")+COUNTIFS(Sesiones!$V$4:$V$78,A7,Sesiones!$AZ$4:$AZ$78,"Sí")</f>
        <v>0</v>
      </c>
    </row>
    <row r="8" customFormat="false" ht="15" hidden="false" customHeight="false" outlineLevel="0" collapsed="false">
      <c r="A8" s="25" t="s">
        <v>206</v>
      </c>
      <c r="B8" s="26" t="s">
        <v>207</v>
      </c>
      <c r="C8" s="26" t="s">
        <v>208</v>
      </c>
      <c r="D8" s="8" t="n">
        <f aca="false">COUNTIFS(Sesiones!$T$4:$T$78,A8,Sesiones!$AZ$4:$AZ$78,"Sí")+COUNTIFS(Sesiones!$U$4:$U$78,A8,Sesiones!$AZ$4:$AZ$78,"Sí")+COUNTIFS(Sesiones!$V$4:$V$78,A8,Sesiones!$AZ$4:$AZ$78,"Sí")</f>
        <v>0</v>
      </c>
    </row>
    <row r="9" customFormat="false" ht="23.85" hidden="false" customHeight="false" outlineLevel="0" collapsed="false">
      <c r="A9" s="25" t="s">
        <v>209</v>
      </c>
      <c r="B9" s="26" t="s">
        <v>210</v>
      </c>
      <c r="C9" s="26" t="s">
        <v>211</v>
      </c>
      <c r="D9" s="8" t="n">
        <f aca="false">COUNTIFS(Sesiones!$T$4:$T$78,A9,Sesiones!$AZ$4:$AZ$78,"Sí")+COUNTIFS(Sesiones!$U$4:$U$78,A9,Sesiones!$AZ$4:$AZ$78,"Sí")+COUNTIFS(Sesiones!$V$4:$V$78,A9,Sesiones!$AZ$4:$AZ$78,"Sí")</f>
        <v>0</v>
      </c>
    </row>
    <row r="10" customFormat="false" ht="15" hidden="false" customHeight="false" outlineLevel="0" collapsed="false">
      <c r="A10" s="25" t="s">
        <v>212</v>
      </c>
      <c r="B10" s="26" t="s">
        <v>213</v>
      </c>
      <c r="C10" s="26" t="s">
        <v>214</v>
      </c>
      <c r="D10" s="8" t="n">
        <f aca="false">COUNTIFS(Sesiones!$T$4:$T$78,A10,Sesiones!$AZ$4:$AZ$78,"Sí")+COUNTIFS(Sesiones!$U$4:$U$78,A10,Sesiones!$AZ$4:$AZ$78,"Sí")+COUNTIFS(Sesiones!$V$4:$V$78,A10,Sesiones!$AZ$4:$AZ$78,"Sí")</f>
        <v>0</v>
      </c>
    </row>
    <row r="11" customFormat="false" ht="15" hidden="false" customHeight="false" outlineLevel="0" collapsed="false">
      <c r="A11" s="25" t="s">
        <v>215</v>
      </c>
      <c r="B11" s="26" t="s">
        <v>216</v>
      </c>
      <c r="C11" s="26" t="s">
        <v>217</v>
      </c>
      <c r="D11" s="8" t="n">
        <f aca="false">COUNTIFS(Sesiones!$T$4:$T$78,A11,Sesiones!$AZ$4:$AZ$78,"Sí")+COUNTIFS(Sesiones!$U$4:$U$78,A11,Sesiones!$AZ$4:$AZ$78,"Sí")+COUNTIFS(Sesiones!$V$4:$V$78,A11,Sesiones!$AZ$4:$AZ$78,"Sí")</f>
        <v>0</v>
      </c>
    </row>
    <row r="12" customFormat="false" ht="15" hidden="false" customHeight="false" outlineLevel="0" collapsed="false">
      <c r="A12" s="25" t="s">
        <v>218</v>
      </c>
      <c r="B12" s="26" t="s">
        <v>219</v>
      </c>
      <c r="C12" s="26" t="s">
        <v>220</v>
      </c>
      <c r="D12" s="8" t="n">
        <f aca="false">COUNTIFS(Sesiones!$T$4:$T$78,A12,Sesiones!$AZ$4:$AZ$78,"Sí")+COUNTIFS(Sesiones!$U$4:$U$78,A12,Sesiones!$AZ$4:$AZ$78,"Sí")+COUNTIFS(Sesiones!$V$4:$V$78,A12,Sesiones!$AZ$4:$AZ$78,"Sí")</f>
        <v>0</v>
      </c>
    </row>
    <row r="13" customFormat="false" ht="23.85" hidden="false" customHeight="false" outlineLevel="0" collapsed="false">
      <c r="A13" s="25" t="s">
        <v>221</v>
      </c>
      <c r="B13" s="26" t="s">
        <v>222</v>
      </c>
      <c r="C13" s="26" t="s">
        <v>223</v>
      </c>
      <c r="D13" s="8" t="n">
        <f aca="false">COUNTIFS(Sesiones!$T$4:$T$78,A13,Sesiones!$AZ$4:$AZ$78,"Sí")+COUNTIFS(Sesiones!$U$4:$U$78,A13,Sesiones!$AZ$4:$AZ$78,"Sí")+COUNTIFS(Sesiones!$V$4:$V$78,A13,Sesiones!$AZ$4:$AZ$78,"Sí")</f>
        <v>0</v>
      </c>
    </row>
    <row r="14" customFormat="false" ht="23.85" hidden="false" customHeight="false" outlineLevel="0" collapsed="false">
      <c r="A14" s="25" t="s">
        <v>224</v>
      </c>
      <c r="B14" s="26" t="s">
        <v>225</v>
      </c>
      <c r="C14" s="26" t="s">
        <v>226</v>
      </c>
      <c r="D14" s="8" t="n">
        <f aca="false">COUNTIFS(Sesiones!$T$4:$T$78,A14,Sesiones!$AZ$4:$AZ$78,"Sí")+COUNTIFS(Sesiones!$U$4:$U$78,A14,Sesiones!$AZ$4:$AZ$78,"Sí")+COUNTIFS(Sesiones!$V$4:$V$78,A14,Sesiones!$AZ$4:$AZ$78,"Sí")</f>
        <v>0</v>
      </c>
    </row>
    <row r="15" customFormat="false" ht="15" hidden="false" customHeight="false" outlineLevel="0" collapsed="false">
      <c r="A15" s="25" t="s">
        <v>227</v>
      </c>
      <c r="B15" s="26" t="s">
        <v>228</v>
      </c>
      <c r="C15" s="26" t="s">
        <v>229</v>
      </c>
      <c r="D15" s="8" t="n">
        <f aca="false">COUNTIFS(Sesiones!$T$4:$T$78,A15,Sesiones!$AZ$4:$AZ$78,"Sí")+COUNTIFS(Sesiones!$U$4:$U$78,A15,Sesiones!$AZ$4:$AZ$78,"Sí")+COUNTIFS(Sesiones!$V$4:$V$78,A15,Sesiones!$AZ$4:$AZ$78,"Sí")</f>
        <v>0</v>
      </c>
    </row>
    <row r="16" customFormat="false" ht="15" hidden="false" customHeight="false" outlineLevel="0" collapsed="false">
      <c r="A16" s="25" t="s">
        <v>230</v>
      </c>
      <c r="B16" s="26" t="s">
        <v>231</v>
      </c>
      <c r="C16" s="26" t="s">
        <v>232</v>
      </c>
      <c r="D16" s="8" t="n">
        <f aca="false">COUNTIFS(Sesiones!$T$4:$T$78,A16,Sesiones!$AZ$4:$AZ$78,"Sí")+COUNTIFS(Sesiones!$U$4:$U$78,A16,Sesiones!$AZ$4:$AZ$78,"Sí")+COUNTIFS(Sesiones!$V$4:$V$78,A16,Sesiones!$AZ$4:$AZ$78,"Sí")</f>
        <v>0</v>
      </c>
    </row>
    <row r="17" customFormat="false" ht="15" hidden="false" customHeight="false" outlineLevel="0" collapsed="false">
      <c r="A17" s="25" t="s">
        <v>233</v>
      </c>
      <c r="B17" s="26" t="s">
        <v>234</v>
      </c>
      <c r="C17" s="26" t="s">
        <v>235</v>
      </c>
      <c r="D17" s="8" t="n">
        <f aca="false">COUNTIFS(Sesiones!$T$4:$T$78,A17,Sesiones!$AZ$4:$AZ$78,"Sí")+COUNTIFS(Sesiones!$U$4:$U$78,A17,Sesiones!$AZ$4:$AZ$78,"Sí")+COUNTIFS(Sesiones!$V$4:$V$78,A17,Sesiones!$AZ$4:$AZ$78,"Sí")</f>
        <v>0</v>
      </c>
    </row>
    <row r="18" customFormat="false" ht="15" hidden="false" customHeight="false" outlineLevel="0" collapsed="false">
      <c r="A18" s="25" t="s">
        <v>236</v>
      </c>
      <c r="B18" s="26" t="s">
        <v>237</v>
      </c>
      <c r="C18" s="26" t="s">
        <v>238</v>
      </c>
      <c r="D18" s="8" t="n">
        <f aca="false">COUNTIFS(Sesiones!$T$4:$T$78,A18,Sesiones!$AZ$4:$AZ$78,"Sí")+COUNTIFS(Sesiones!$U$4:$U$78,A18,Sesiones!$AZ$4:$AZ$78,"Sí")+COUNTIFS(Sesiones!$V$4:$V$78,A18,Sesiones!$AZ$4:$AZ$78,"Sí")</f>
        <v>0</v>
      </c>
    </row>
    <row r="19" customFormat="false" ht="15" hidden="false" customHeight="false" outlineLevel="0" collapsed="false">
      <c r="A19" s="25" t="s">
        <v>239</v>
      </c>
      <c r="B19" s="26" t="s">
        <v>240</v>
      </c>
      <c r="C19" s="26" t="s">
        <v>241</v>
      </c>
      <c r="D19" s="8" t="n">
        <f aca="false">COUNTIFS(Sesiones!$T$4:$T$78,A19,Sesiones!$AZ$4:$AZ$78,"Sí")+COUNTIFS(Sesiones!$U$4:$U$78,A19,Sesiones!$AZ$4:$AZ$78,"Sí")+COUNTIFS(Sesiones!$V$4:$V$78,A19,Sesiones!$AZ$4:$AZ$78,"Sí")</f>
        <v>0</v>
      </c>
    </row>
    <row r="20" customFormat="false" ht="23.85" hidden="false" customHeight="false" outlineLevel="0" collapsed="false">
      <c r="A20" s="25" t="s">
        <v>242</v>
      </c>
      <c r="B20" s="26" t="s">
        <v>243</v>
      </c>
      <c r="C20" s="26" t="s">
        <v>244</v>
      </c>
      <c r="D20" s="8" t="n">
        <f aca="false">COUNTIFS(Sesiones!$T$4:$T$78,A20,Sesiones!$AZ$4:$AZ$78,"Sí")+COUNTIFS(Sesiones!$U$4:$U$78,A20,Sesiones!$AZ$4:$AZ$78,"Sí")+COUNTIFS(Sesiones!$V$4:$V$78,A20,Sesiones!$AZ$4:$AZ$78,"Sí")</f>
        <v>0</v>
      </c>
    </row>
    <row r="21" customFormat="false" ht="15" hidden="false" customHeight="false" outlineLevel="0" collapsed="false">
      <c r="A21" s="25" t="s">
        <v>245</v>
      </c>
      <c r="B21" s="26" t="s">
        <v>246</v>
      </c>
      <c r="C21" s="26" t="s">
        <v>247</v>
      </c>
      <c r="D21" s="8" t="n">
        <f aca="false">COUNTIFS(Sesiones!$T$4:$T$78,A21,Sesiones!$AZ$4:$AZ$78,"Sí")+COUNTIFS(Sesiones!$U$4:$U$78,A21,Sesiones!$AZ$4:$AZ$78,"Sí")+COUNTIFS(Sesiones!$V$4:$V$78,A21,Sesiones!$AZ$4:$AZ$78,"Sí")</f>
        <v>0</v>
      </c>
    </row>
    <row r="22" customFormat="false" ht="15" hidden="false" customHeight="false" outlineLevel="0" collapsed="false">
      <c r="A22" s="25" t="s">
        <v>248</v>
      </c>
      <c r="B22" s="26" t="s">
        <v>249</v>
      </c>
      <c r="C22" s="26" t="s">
        <v>250</v>
      </c>
      <c r="D22" s="8" t="n">
        <f aca="false">COUNTIFS(Sesiones!$T$4:$T$78,A22,Sesiones!$AZ$4:$AZ$78,"Sí")+COUNTIFS(Sesiones!$U$4:$U$78,A22,Sesiones!$AZ$4:$AZ$78,"Sí")+COUNTIFS(Sesiones!$V$4:$V$78,A22,Sesiones!$AZ$4:$AZ$78,"Sí")</f>
        <v>0</v>
      </c>
    </row>
    <row r="23" customFormat="false" ht="23.85" hidden="false" customHeight="false" outlineLevel="0" collapsed="false">
      <c r="A23" s="25" t="s">
        <v>251</v>
      </c>
      <c r="B23" s="26" t="s">
        <v>252</v>
      </c>
      <c r="C23" s="26" t="s">
        <v>253</v>
      </c>
      <c r="D23" s="8" t="n">
        <f aca="false">COUNTIFS(Sesiones!$T$4:$T$78,A23,Sesiones!$AZ$4:$AZ$78,"Sí")+COUNTIFS(Sesiones!$U$4:$U$78,A23,Sesiones!$AZ$4:$AZ$78,"Sí")+COUNTIFS(Sesiones!$V$4:$V$78,A23,Sesiones!$AZ$4:$AZ$78,"Sí")</f>
        <v>0</v>
      </c>
    </row>
    <row r="24" customFormat="false" ht="15" hidden="false" customHeight="false" outlineLevel="0" collapsed="false">
      <c r="A24" s="25" t="s">
        <v>254</v>
      </c>
      <c r="B24" s="26" t="s">
        <v>255</v>
      </c>
      <c r="C24" s="26" t="s">
        <v>256</v>
      </c>
      <c r="D24" s="8" t="n">
        <f aca="false">COUNTIFS(Sesiones!$T$4:$T$78,A24,Sesiones!$AZ$4:$AZ$78,"Sí")+COUNTIFS(Sesiones!$U$4:$U$78,A24,Sesiones!$AZ$4:$AZ$78,"Sí")+COUNTIFS(Sesiones!$V$4:$V$78,A24,Sesiones!$AZ$4:$AZ$78,"Sí")</f>
        <v>0</v>
      </c>
    </row>
    <row r="25" customFormat="false" ht="15" hidden="false" customHeight="false" outlineLevel="0" collapsed="false">
      <c r="A25" s="25" t="s">
        <v>257</v>
      </c>
      <c r="B25" s="26" t="s">
        <v>258</v>
      </c>
      <c r="C25" s="26" t="s">
        <v>259</v>
      </c>
      <c r="D25" s="8" t="n">
        <f aca="false">COUNTIFS(Sesiones!$T$4:$T$78,A25,Sesiones!$AZ$4:$AZ$78,"Sí")+COUNTIFS(Sesiones!$U$4:$U$78,A25,Sesiones!$AZ$4:$AZ$78,"Sí")+COUNTIFS(Sesiones!$V$4:$V$78,A25,Sesiones!$AZ$4:$AZ$78,"Sí")</f>
        <v>0</v>
      </c>
    </row>
    <row r="26" customFormat="false" ht="15" hidden="false" customHeight="false" outlineLevel="0" collapsed="false">
      <c r="A26" s="25" t="s">
        <v>260</v>
      </c>
      <c r="B26" s="26" t="s">
        <v>261</v>
      </c>
      <c r="C26" s="26" t="s">
        <v>262</v>
      </c>
      <c r="D26" s="8" t="n">
        <f aca="false">COUNTIFS(Sesiones!$T$4:$T$78,A26,Sesiones!$AZ$4:$AZ$78,"Sí")+COUNTIFS(Sesiones!$U$4:$U$78,A26,Sesiones!$AZ$4:$AZ$78,"Sí")+COUNTIFS(Sesiones!$V$4:$V$78,A26,Sesiones!$AZ$4:$AZ$78,"Sí")</f>
        <v>0</v>
      </c>
    </row>
    <row r="27" customFormat="false" ht="15" hidden="false" customHeight="false" outlineLevel="0" collapsed="false">
      <c r="A27" s="25" t="s">
        <v>263</v>
      </c>
      <c r="B27" s="26" t="s">
        <v>264</v>
      </c>
      <c r="C27" s="26" t="s">
        <v>265</v>
      </c>
      <c r="D27" s="8" t="n">
        <f aca="false">COUNTIFS(Sesiones!$T$4:$T$78,A27,Sesiones!$AZ$4:$AZ$78,"Sí")+COUNTIFS(Sesiones!$U$4:$U$78,A27,Sesiones!$AZ$4:$AZ$78,"Sí")+COUNTIFS(Sesiones!$V$4:$V$78,A27,Sesiones!$AZ$4:$AZ$78,"Sí")</f>
        <v>0</v>
      </c>
    </row>
    <row r="28" customFormat="false" ht="15" hidden="false" customHeight="false" outlineLevel="0" collapsed="false">
      <c r="A28" s="25" t="s">
        <v>266</v>
      </c>
      <c r="B28" s="26" t="s">
        <v>267</v>
      </c>
      <c r="C28" s="26" t="s">
        <v>268</v>
      </c>
      <c r="D28" s="8" t="n">
        <f aca="false">COUNTIFS(Sesiones!$T$4:$T$78,A28,Sesiones!$AZ$4:$AZ$78,"Sí")+COUNTIFS(Sesiones!$U$4:$U$78,A28,Sesiones!$AZ$4:$AZ$78,"Sí")+COUNTIFS(Sesiones!$V$4:$V$78,A28,Sesiones!$AZ$4:$AZ$78,"Sí")</f>
        <v>0</v>
      </c>
    </row>
    <row r="29" customFormat="false" ht="15" hidden="false" customHeight="false" outlineLevel="0" collapsed="false">
      <c r="A29" s="25" t="s">
        <v>269</v>
      </c>
      <c r="B29" s="26" t="s">
        <v>270</v>
      </c>
      <c r="C29" s="26" t="s">
        <v>271</v>
      </c>
      <c r="D29" s="8" t="n">
        <f aca="false">COUNTIFS(Sesiones!$T$4:$T$78,A29,Sesiones!$AZ$4:$AZ$78,"Sí")+COUNTIFS(Sesiones!$U$4:$U$78,A29,Sesiones!$AZ$4:$AZ$78,"Sí")+COUNTIFS(Sesiones!$V$4:$V$78,A29,Sesiones!$AZ$4:$AZ$78,"Sí")</f>
        <v>0</v>
      </c>
    </row>
    <row r="30" customFormat="false" ht="15" hidden="false" customHeight="false" outlineLevel="0" collapsed="false">
      <c r="A30" s="25" t="s">
        <v>272</v>
      </c>
      <c r="B30" s="26" t="s">
        <v>273</v>
      </c>
      <c r="C30" s="26" t="s">
        <v>274</v>
      </c>
      <c r="D30" s="8" t="n">
        <f aca="false">COUNTIFS(Sesiones!$T$4:$T$78,A30,Sesiones!$AZ$4:$AZ$78,"Sí")+COUNTIFS(Sesiones!$U$4:$U$78,A30,Sesiones!$AZ$4:$AZ$78,"Sí")+COUNTIFS(Sesiones!$V$4:$V$78,A30,Sesiones!$AZ$4:$AZ$78,"Sí")</f>
        <v>0</v>
      </c>
    </row>
    <row r="31" customFormat="false" ht="15" hidden="false" customHeight="false" outlineLevel="0" collapsed="false">
      <c r="A31" s="25" t="s">
        <v>275</v>
      </c>
      <c r="B31" s="26" t="s">
        <v>276</v>
      </c>
      <c r="C31" s="26" t="s">
        <v>277</v>
      </c>
      <c r="D31" s="8" t="n">
        <f aca="false">COUNTIFS(Sesiones!$T$4:$T$78,A31,Sesiones!$AZ$4:$AZ$78,"Sí")+COUNTIFS(Sesiones!$U$4:$U$78,A31,Sesiones!$AZ$4:$AZ$78,"Sí")+COUNTIFS(Sesiones!$V$4:$V$78,A31,Sesiones!$AZ$4:$AZ$78,"Sí")</f>
        <v>0</v>
      </c>
    </row>
    <row r="32" customFormat="false" ht="15" hidden="false" customHeight="false" outlineLevel="0" collapsed="false">
      <c r="A32" s="25" t="s">
        <v>278</v>
      </c>
      <c r="B32" s="26" t="s">
        <v>279</v>
      </c>
      <c r="C32" s="26" t="s">
        <v>280</v>
      </c>
      <c r="D32" s="8" t="n">
        <f aca="false">COUNTIFS(Sesiones!$T$4:$T$78,A32,Sesiones!$AZ$4:$AZ$78,"Sí")+COUNTIFS(Sesiones!$U$4:$U$78,A32,Sesiones!$AZ$4:$AZ$78,"Sí")+COUNTIFS(Sesiones!$V$4:$V$78,A32,Sesiones!$AZ$4:$AZ$78,"Sí")</f>
        <v>0</v>
      </c>
    </row>
    <row r="33" customFormat="false" ht="15" hidden="false" customHeight="false" outlineLevel="0" collapsed="false">
      <c r="A33" s="25" t="s">
        <v>281</v>
      </c>
      <c r="B33" s="26" t="s">
        <v>282</v>
      </c>
      <c r="C33" s="26" t="s">
        <v>283</v>
      </c>
      <c r="D33" s="8" t="n">
        <f aca="false">COUNTIFS(Sesiones!$T$4:$T$78,A33,Sesiones!$AZ$4:$AZ$78,"Sí")+COUNTIFS(Sesiones!$U$4:$U$78,A33,Sesiones!$AZ$4:$AZ$78,"Sí")+COUNTIFS(Sesiones!$V$4:$V$78,A33,Sesiones!$AZ$4:$AZ$78,"Sí")</f>
        <v>0</v>
      </c>
    </row>
    <row r="34" customFormat="false" ht="15" hidden="false" customHeight="false" outlineLevel="0" collapsed="false">
      <c r="A34" s="25" t="s">
        <v>284</v>
      </c>
      <c r="B34" s="26" t="s">
        <v>285</v>
      </c>
      <c r="C34" s="26" t="s">
        <v>286</v>
      </c>
      <c r="D34" s="8" t="n">
        <f aca="false">COUNTIFS(Sesiones!$T$4:$T$78,A34,Sesiones!$AZ$4:$AZ$78,"Sí")+COUNTIFS(Sesiones!$U$4:$U$78,A34,Sesiones!$AZ$4:$AZ$78,"Sí")+COUNTIFS(Sesiones!$V$4:$V$78,A34,Sesiones!$AZ$4:$AZ$78,"Sí")</f>
        <v>0</v>
      </c>
    </row>
    <row r="35" customFormat="false" ht="15" hidden="false" customHeight="false" outlineLevel="0" collapsed="false">
      <c r="A35" s="25" t="s">
        <v>287</v>
      </c>
      <c r="B35" s="26" t="s">
        <v>288</v>
      </c>
      <c r="C35" s="26" t="s">
        <v>289</v>
      </c>
      <c r="D35" s="8" t="n">
        <f aca="false">COUNTIFS(Sesiones!$T$4:$T$78,A35,Sesiones!$AZ$4:$AZ$78,"Sí")+COUNTIFS(Sesiones!$U$4:$U$78,A35,Sesiones!$AZ$4:$AZ$78,"Sí")+COUNTIFS(Sesiones!$V$4:$V$78,A35,Sesiones!$AZ$4:$AZ$78,"Sí")</f>
        <v>0</v>
      </c>
    </row>
    <row r="36" customFormat="false" ht="15" hidden="false" customHeight="false" outlineLevel="0" collapsed="false">
      <c r="A36" s="25" t="s">
        <v>290</v>
      </c>
      <c r="B36" s="26" t="s">
        <v>291</v>
      </c>
      <c r="C36" s="26" t="s">
        <v>292</v>
      </c>
      <c r="D36" s="8" t="n">
        <f aca="false">COUNTIFS(Sesiones!$T$4:$T$78,A36,Sesiones!$AZ$4:$AZ$78,"Sí")+COUNTIFS(Sesiones!$U$4:$U$78,A36,Sesiones!$AZ$4:$AZ$78,"Sí")+COUNTIFS(Sesiones!$V$4:$V$78,A36,Sesiones!$AZ$4:$AZ$78,"Sí")</f>
        <v>0</v>
      </c>
    </row>
    <row r="37" customFormat="false" ht="15" hidden="false" customHeight="false" outlineLevel="0" collapsed="false">
      <c r="A37" s="25" t="s">
        <v>293</v>
      </c>
      <c r="B37" s="26" t="s">
        <v>294</v>
      </c>
      <c r="C37" s="26" t="s">
        <v>295</v>
      </c>
      <c r="D37" s="8" t="n">
        <f aca="false">COUNTIFS(Sesiones!$T$4:$T$78,A37,Sesiones!$AZ$4:$AZ$78,"Sí")+COUNTIFS(Sesiones!$U$4:$U$78,A37,Sesiones!$AZ$4:$AZ$78,"Sí")+COUNTIFS(Sesiones!$V$4:$V$78,A37,Sesiones!$AZ$4:$AZ$78,"Sí")</f>
        <v>0</v>
      </c>
    </row>
    <row r="38" customFormat="false" ht="15" hidden="false" customHeight="false" outlineLevel="0" collapsed="false">
      <c r="A38" s="25" t="s">
        <v>296</v>
      </c>
      <c r="B38" s="26" t="s">
        <v>297</v>
      </c>
      <c r="C38" s="26" t="s">
        <v>298</v>
      </c>
      <c r="D38" s="8" t="n">
        <f aca="false">COUNTIFS(Sesiones!$T$4:$T$78,A38,Sesiones!$AZ$4:$AZ$78,"Sí")+COUNTIFS(Sesiones!$U$4:$U$78,A38,Sesiones!$AZ$4:$AZ$78,"Sí")+COUNTIFS(Sesiones!$V$4:$V$78,A38,Sesiones!$AZ$4:$AZ$78,"Sí")</f>
        <v>0</v>
      </c>
    </row>
    <row r="39" customFormat="false" ht="15" hidden="false" customHeight="false" outlineLevel="0" collapsed="false">
      <c r="A39" s="25" t="s">
        <v>299</v>
      </c>
      <c r="B39" s="26" t="s">
        <v>300</v>
      </c>
      <c r="C39" s="26" t="s">
        <v>301</v>
      </c>
      <c r="D39" s="8" t="n">
        <f aca="false">COUNTIFS(Sesiones!$T$4:$T$78,A39,Sesiones!$AZ$4:$AZ$78,"Sí")+COUNTIFS(Sesiones!$U$4:$U$78,A39,Sesiones!$AZ$4:$AZ$78,"Sí")+COUNTIFS(Sesiones!$V$4:$V$78,A39,Sesiones!$AZ$4:$AZ$78,"Sí")</f>
        <v>0</v>
      </c>
    </row>
    <row r="40" customFormat="false" ht="15" hidden="false" customHeight="false" outlineLevel="0" collapsed="false">
      <c r="A40" s="25" t="s">
        <v>302</v>
      </c>
      <c r="B40" s="26" t="s">
        <v>303</v>
      </c>
      <c r="C40" s="26" t="s">
        <v>304</v>
      </c>
      <c r="D40" s="8" t="n">
        <f aca="false">COUNTIFS(Sesiones!$T$4:$T$78,A40,Sesiones!$AZ$4:$AZ$78,"Sí")+COUNTIFS(Sesiones!$U$4:$U$78,A40,Sesiones!$AZ$4:$AZ$78,"Sí")+COUNTIFS(Sesiones!$V$4:$V$78,A40,Sesiones!$AZ$4:$AZ$78,"Sí")</f>
        <v>0</v>
      </c>
    </row>
    <row r="41" customFormat="false" ht="15" hidden="false" customHeight="false" outlineLevel="0" collapsed="false">
      <c r="A41" s="25" t="s">
        <v>305</v>
      </c>
      <c r="B41" s="26" t="s">
        <v>306</v>
      </c>
      <c r="C41" s="26" t="s">
        <v>307</v>
      </c>
      <c r="D41" s="8" t="n">
        <f aca="false">COUNTIFS(Sesiones!$T$4:$T$78,A41,Sesiones!$AZ$4:$AZ$78,"Sí")+COUNTIFS(Sesiones!$U$4:$U$78,A41,Sesiones!$AZ$4:$AZ$78,"Sí")+COUNTIFS(Sesiones!$V$4:$V$78,A41,Sesiones!$AZ$4:$AZ$78,"Sí")</f>
        <v>0</v>
      </c>
    </row>
    <row r="42" customFormat="false" ht="23.85" hidden="false" customHeight="false" outlineLevel="0" collapsed="false">
      <c r="A42" s="25" t="s">
        <v>308</v>
      </c>
      <c r="B42" s="26" t="s">
        <v>309</v>
      </c>
      <c r="C42" s="26" t="s">
        <v>310</v>
      </c>
      <c r="D42" s="8" t="n">
        <f aca="false">COUNTIFS(Sesiones!$T$4:$T$78,A42,Sesiones!$AZ$4:$AZ$78,"Sí")+COUNTIFS(Sesiones!$U$4:$U$78,A42,Sesiones!$AZ$4:$AZ$78,"Sí")+COUNTIFS(Sesiones!$V$4:$V$78,A42,Sesiones!$AZ$4:$AZ$78,"Sí")</f>
        <v>0</v>
      </c>
    </row>
    <row r="43" customFormat="false" ht="15" hidden="false" customHeight="false" outlineLevel="0" collapsed="false">
      <c r="A43" s="25" t="s">
        <v>311</v>
      </c>
      <c r="B43" s="26" t="s">
        <v>312</v>
      </c>
      <c r="C43" s="26" t="s">
        <v>313</v>
      </c>
      <c r="D43" s="8" t="n">
        <f aca="false">COUNTIFS(Sesiones!$T$4:$T$78,A43,Sesiones!$AZ$4:$AZ$78,"Sí")+COUNTIFS(Sesiones!$U$4:$U$78,A43,Sesiones!$AZ$4:$AZ$78,"Sí")+COUNTIFS(Sesiones!$V$4:$V$78,A43,Sesiones!$AZ$4:$AZ$78,"Sí")</f>
        <v>0</v>
      </c>
    </row>
    <row r="44" customFormat="false" ht="15" hidden="false" customHeight="false" outlineLevel="0" collapsed="false">
      <c r="A44" s="25" t="s">
        <v>314</v>
      </c>
      <c r="B44" s="26" t="s">
        <v>315</v>
      </c>
      <c r="C44" s="26" t="s">
        <v>316</v>
      </c>
      <c r="D44" s="8" t="n">
        <f aca="false">COUNTIFS(Sesiones!$T$4:$T$78,A44,Sesiones!$AZ$4:$AZ$78,"Sí")+COUNTIFS(Sesiones!$U$4:$U$78,A44,Sesiones!$AZ$4:$AZ$78,"Sí")+COUNTIFS(Sesiones!$V$4:$V$78,A44,Sesiones!$AZ$4:$AZ$78,"Sí")</f>
        <v>0</v>
      </c>
    </row>
    <row r="45" customFormat="false" ht="15" hidden="false" customHeight="false" outlineLevel="0" collapsed="false">
      <c r="A45" s="25" t="s">
        <v>317</v>
      </c>
      <c r="B45" s="26" t="s">
        <v>318</v>
      </c>
      <c r="C45" s="26" t="s">
        <v>319</v>
      </c>
      <c r="D45" s="8" t="n">
        <f aca="false">COUNTIFS(Sesiones!$T$4:$T$78,A45,Sesiones!$AZ$4:$AZ$78,"Sí")+COUNTIFS(Sesiones!$U$4:$U$78,A45,Sesiones!$AZ$4:$AZ$78,"Sí")+COUNTIFS(Sesiones!$V$4:$V$78,A45,Sesiones!$AZ$4:$AZ$78,"Sí")</f>
        <v>0</v>
      </c>
    </row>
    <row r="46" customFormat="false" ht="15" hidden="false" customHeight="false" outlineLevel="0" collapsed="false">
      <c r="A46" s="25" t="s">
        <v>320</v>
      </c>
      <c r="B46" s="26" t="s">
        <v>321</v>
      </c>
      <c r="C46" s="26" t="s">
        <v>322</v>
      </c>
      <c r="D46" s="8" t="n">
        <f aca="false">COUNTIFS(Sesiones!$T$4:$T$78,A46,Sesiones!$AZ$4:$AZ$78,"Sí")+COUNTIFS(Sesiones!$U$4:$U$78,A46,Sesiones!$AZ$4:$AZ$78,"Sí")+COUNTIFS(Sesiones!$V$4:$V$78,A46,Sesiones!$AZ$4:$AZ$78,"Sí")</f>
        <v>0</v>
      </c>
    </row>
    <row r="47" customFormat="false" ht="15" hidden="false" customHeight="false" outlineLevel="0" collapsed="false">
      <c r="A47" s="25" t="s">
        <v>323</v>
      </c>
      <c r="B47" s="26" t="s">
        <v>324</v>
      </c>
      <c r="C47" s="26" t="s">
        <v>325</v>
      </c>
      <c r="D47" s="8" t="n">
        <f aca="false">COUNTIFS(Sesiones!$T$4:$T$78,A47,Sesiones!$AZ$4:$AZ$78,"Sí")+COUNTIFS(Sesiones!$U$4:$U$78,A47,Sesiones!$AZ$4:$AZ$78,"Sí")+COUNTIFS(Sesiones!$V$4:$V$78,A47,Sesiones!$AZ$4:$AZ$78,"Sí")</f>
        <v>0</v>
      </c>
    </row>
    <row r="48" customFormat="false" ht="15" hidden="false" customHeight="false" outlineLevel="0" collapsed="false">
      <c r="A48" s="25" t="s">
        <v>326</v>
      </c>
      <c r="B48" s="26" t="s">
        <v>327</v>
      </c>
      <c r="C48" s="26" t="s">
        <v>328</v>
      </c>
      <c r="D48" s="8" t="n">
        <f aca="false">COUNTIFS(Sesiones!$T$4:$T$78,A48,Sesiones!$AZ$4:$AZ$78,"Sí")+COUNTIFS(Sesiones!$U$4:$U$78,A48,Sesiones!$AZ$4:$AZ$78,"Sí")+COUNTIFS(Sesiones!$V$4:$V$78,A48,Sesiones!$AZ$4:$AZ$78,"Sí")</f>
        <v>0</v>
      </c>
    </row>
    <row r="49" customFormat="false" ht="15" hidden="false" customHeight="false" outlineLevel="0" collapsed="false">
      <c r="A49" s="25" t="s">
        <v>329</v>
      </c>
      <c r="B49" s="26" t="s">
        <v>330</v>
      </c>
      <c r="C49" s="26" t="s">
        <v>331</v>
      </c>
      <c r="D49" s="8" t="n">
        <f aca="false">COUNTIFS(Sesiones!$T$4:$T$78,A49,Sesiones!$AZ$4:$AZ$78,"Sí")+COUNTIFS(Sesiones!$U$4:$U$78,A49,Sesiones!$AZ$4:$AZ$78,"Sí")+COUNTIFS(Sesiones!$V$4:$V$78,A49,Sesiones!$AZ$4:$AZ$78,"Sí")</f>
        <v>0</v>
      </c>
    </row>
    <row r="50" customFormat="false" ht="15" hidden="false" customHeight="false" outlineLevel="0" collapsed="false">
      <c r="A50" s="25" t="s">
        <v>332</v>
      </c>
      <c r="B50" s="26" t="s">
        <v>333</v>
      </c>
      <c r="C50" s="26" t="s">
        <v>334</v>
      </c>
      <c r="D50" s="8" t="n">
        <f aca="false">COUNTIFS(Sesiones!$T$4:$T$78,A50,Sesiones!$AZ$4:$AZ$78,"Sí")+COUNTIFS(Sesiones!$U$4:$U$78,A50,Sesiones!$AZ$4:$AZ$78,"Sí")+COUNTIFS(Sesiones!$V$4:$V$78,A50,Sesiones!$AZ$4:$AZ$78,"Sí")</f>
        <v>0</v>
      </c>
    </row>
    <row r="51" customFormat="false" ht="15" hidden="false" customHeight="false" outlineLevel="0" collapsed="false">
      <c r="A51" s="25" t="s">
        <v>335</v>
      </c>
      <c r="B51" s="26" t="s">
        <v>336</v>
      </c>
      <c r="C51" s="26" t="s">
        <v>337</v>
      </c>
      <c r="D51" s="8" t="n">
        <f aca="false">COUNTIFS(Sesiones!$T$4:$T$78,A51,Sesiones!$AZ$4:$AZ$78,"Sí")+COUNTIFS(Sesiones!$U$4:$U$78,A51,Sesiones!$AZ$4:$AZ$78,"Sí")+COUNTIFS(Sesiones!$V$4:$V$78,A51,Sesiones!$AZ$4:$AZ$78,"Sí")</f>
        <v>0</v>
      </c>
    </row>
    <row r="52" customFormat="false" ht="15" hidden="false" customHeight="false" outlineLevel="0" collapsed="false">
      <c r="A52" s="25" t="s">
        <v>338</v>
      </c>
      <c r="B52" s="26" t="s">
        <v>339</v>
      </c>
      <c r="C52" s="26" t="s">
        <v>340</v>
      </c>
      <c r="D52" s="8" t="n">
        <f aca="false">COUNTIFS(Sesiones!$T$4:$T$78,A52,Sesiones!$AZ$4:$AZ$78,"Sí")+COUNTIFS(Sesiones!$U$4:$U$78,A52,Sesiones!$AZ$4:$AZ$78,"Sí")+COUNTIFS(Sesiones!$V$4:$V$78,A52,Sesiones!$AZ$4:$AZ$78,"Sí")</f>
        <v>0</v>
      </c>
    </row>
    <row r="53" customFormat="false" ht="23.85" hidden="false" customHeight="false" outlineLevel="0" collapsed="false">
      <c r="A53" s="25" t="s">
        <v>341</v>
      </c>
      <c r="B53" s="26" t="s">
        <v>342</v>
      </c>
      <c r="C53" s="26" t="s">
        <v>343</v>
      </c>
      <c r="D53" s="8" t="n">
        <f aca="false">COUNTIFS(Sesiones!$T$4:$T$78,A53,Sesiones!$AZ$4:$AZ$78,"Sí")+COUNTIFS(Sesiones!$U$4:$U$78,A53,Sesiones!$AZ$4:$AZ$78,"Sí")+COUNTIFS(Sesiones!$V$4:$V$78,A53,Sesiones!$AZ$4:$AZ$78,"Sí")</f>
        <v>0</v>
      </c>
    </row>
    <row r="54" customFormat="false" ht="23.85" hidden="false" customHeight="false" outlineLevel="0" collapsed="false">
      <c r="A54" s="25" t="s">
        <v>344</v>
      </c>
      <c r="B54" s="26" t="s">
        <v>342</v>
      </c>
      <c r="C54" s="26" t="s">
        <v>345</v>
      </c>
      <c r="D54" s="8" t="n">
        <f aca="false">COUNTIFS(Sesiones!$T$4:$T$78,A54,Sesiones!$AZ$4:$AZ$78,"Sí")+COUNTIFS(Sesiones!$U$4:$U$78,A54,Sesiones!$AZ$4:$AZ$78,"Sí")+COUNTIFS(Sesiones!$V$4:$V$78,A54,Sesiones!$AZ$4:$AZ$78,"Sí")</f>
        <v>0</v>
      </c>
    </row>
    <row r="55" customFormat="false" ht="23.85" hidden="false" customHeight="false" outlineLevel="0" collapsed="false">
      <c r="A55" s="25" t="s">
        <v>346</v>
      </c>
      <c r="B55" s="26" t="s">
        <v>342</v>
      </c>
      <c r="C55" s="26" t="s">
        <v>347</v>
      </c>
      <c r="D55" s="8" t="n">
        <f aca="false">COUNTIFS(Sesiones!$T$4:$T$78,A55,Sesiones!$AZ$4:$AZ$78,"Sí")+COUNTIFS(Sesiones!$U$4:$U$78,A55,Sesiones!$AZ$4:$AZ$78,"Sí")+COUNTIFS(Sesiones!$V$4:$V$78,A55,Sesiones!$AZ$4:$AZ$78,"Sí")</f>
        <v>0</v>
      </c>
    </row>
    <row r="56" customFormat="false" ht="15" hidden="false" customHeight="false" outlineLevel="0" collapsed="false">
      <c r="A56" s="25" t="s">
        <v>348</v>
      </c>
      <c r="B56" s="26" t="s">
        <v>349</v>
      </c>
      <c r="C56" s="26" t="s">
        <v>350</v>
      </c>
      <c r="D56" s="8" t="n">
        <f aca="false">COUNTIFS(Sesiones!$T$4:$T$78,A56,Sesiones!$AZ$4:$AZ$78,"Sí")+COUNTIFS(Sesiones!$U$4:$U$78,A56,Sesiones!$AZ$4:$AZ$78,"Sí")+COUNTIFS(Sesiones!$V$4:$V$78,A56,Sesiones!$AZ$4:$AZ$78,"Sí")</f>
        <v>0</v>
      </c>
    </row>
    <row r="57" customFormat="false" ht="15" hidden="false" customHeight="false" outlineLevel="0" collapsed="false">
      <c r="A57" s="25" t="s">
        <v>351</v>
      </c>
      <c r="B57" s="26" t="s">
        <v>352</v>
      </c>
      <c r="C57" s="26" t="s">
        <v>353</v>
      </c>
      <c r="D57" s="8" t="n">
        <f aca="false">COUNTIFS(Sesiones!$T$4:$T$78,A57,Sesiones!$AZ$4:$AZ$78,"Sí")+COUNTIFS(Sesiones!$U$4:$U$78,A57,Sesiones!$AZ$4:$AZ$78,"Sí")+COUNTIFS(Sesiones!$V$4:$V$78,A57,Sesiones!$AZ$4:$AZ$78,"Sí")</f>
        <v>0</v>
      </c>
    </row>
    <row r="58" customFormat="false" ht="15" hidden="false" customHeight="false" outlineLevel="0" collapsed="false">
      <c r="A58" s="25" t="s">
        <v>354</v>
      </c>
      <c r="B58" s="26" t="s">
        <v>355</v>
      </c>
      <c r="C58" s="26" t="s">
        <v>356</v>
      </c>
      <c r="D58" s="8" t="n">
        <f aca="false">COUNTIFS(Sesiones!$T$4:$T$78,A58,Sesiones!$AZ$4:$AZ$78,"Sí")+COUNTIFS(Sesiones!$U$4:$U$78,A58,Sesiones!$AZ$4:$AZ$78,"Sí")+COUNTIFS(Sesiones!$V$4:$V$78,A58,Sesiones!$AZ$4:$AZ$78,"Sí")</f>
        <v>0</v>
      </c>
    </row>
    <row r="59" customFormat="false" ht="15" hidden="false" customHeight="false" outlineLevel="0" collapsed="false">
      <c r="A59" s="25" t="s">
        <v>357</v>
      </c>
      <c r="B59" s="26" t="s">
        <v>358</v>
      </c>
      <c r="C59" s="26" t="s">
        <v>359</v>
      </c>
      <c r="D59" s="8" t="n">
        <f aca="false">COUNTIFS(Sesiones!$T$4:$T$78,A59,Sesiones!$AZ$4:$AZ$78,"Sí")+COUNTIFS(Sesiones!$U$4:$U$78,A59,Sesiones!$AZ$4:$AZ$78,"Sí")+COUNTIFS(Sesiones!$V$4:$V$78,A59,Sesiones!$AZ$4:$AZ$78,"Sí")</f>
        <v>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5" min="4" style="0" width="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6"/>
    <col collapsed="false" customWidth="true" hidden="false" outlineLevel="0" max="9" min="9" style="0" width="32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13" t="s">
        <v>361</v>
      </c>
    </row>
    <row r="3" customFormat="false" ht="30" hidden="false" customHeight="true" outlineLevel="0" collapsed="false">
      <c r="A3" s="3" t="s">
        <v>362</v>
      </c>
      <c r="B3" s="3" t="s">
        <v>363</v>
      </c>
      <c r="F3" s="3" t="s">
        <v>5</v>
      </c>
      <c r="G3" s="3" t="s">
        <v>364</v>
      </c>
      <c r="H3" s="3" t="s">
        <v>8</v>
      </c>
      <c r="I3" s="3" t="s">
        <v>365</v>
      </c>
      <c r="J3" s="3" t="s">
        <v>366</v>
      </c>
    </row>
    <row r="4" customFormat="false" ht="15" hidden="false" customHeight="false" outlineLevel="0" collapsed="false">
      <c r="A4" s="26" t="s">
        <v>367</v>
      </c>
      <c r="B4" s="7" t="n">
        <v>7.5</v>
      </c>
      <c r="F4" s="26" t="s">
        <v>368</v>
      </c>
      <c r="G4" s="26" t="s">
        <v>144</v>
      </c>
      <c r="H4" s="26" t="s">
        <v>145</v>
      </c>
      <c r="I4" s="26" t="s">
        <v>369</v>
      </c>
      <c r="J4" s="26" t="s">
        <v>144</v>
      </c>
    </row>
    <row r="5" customFormat="false" ht="15" hidden="false" customHeight="false" outlineLevel="0" collapsed="false">
      <c r="A5" s="26" t="s">
        <v>370</v>
      </c>
      <c r="B5" s="7" t="n">
        <v>22.5</v>
      </c>
      <c r="F5" s="26" t="s">
        <v>143</v>
      </c>
      <c r="G5" s="26" t="s">
        <v>152</v>
      </c>
      <c r="H5" s="26" t="s">
        <v>371</v>
      </c>
      <c r="I5" s="26" t="s">
        <v>147</v>
      </c>
      <c r="J5" s="26" t="s">
        <v>154</v>
      </c>
    </row>
    <row r="6" customFormat="false" ht="15" hidden="false" customHeight="false" outlineLevel="0" collapsed="false">
      <c r="A6" s="26" t="s">
        <v>372</v>
      </c>
      <c r="B6" s="7" t="n">
        <v>45</v>
      </c>
      <c r="F6" s="26" t="s">
        <v>373</v>
      </c>
      <c r="H6" s="26" t="s">
        <v>374</v>
      </c>
      <c r="I6" s="26" t="s">
        <v>375</v>
      </c>
      <c r="J6" s="26" t="s">
        <v>152</v>
      </c>
    </row>
    <row r="7" customFormat="false" ht="15" hidden="false" customHeight="false" outlineLevel="0" collapsed="false">
      <c r="A7" s="26" t="s">
        <v>146</v>
      </c>
      <c r="B7" s="7" t="n">
        <v>90</v>
      </c>
      <c r="F7" s="26" t="s">
        <v>376</v>
      </c>
      <c r="H7" s="26" t="s">
        <v>377</v>
      </c>
      <c r="I7" s="26" t="s">
        <v>378</v>
      </c>
    </row>
    <row r="8" customFormat="false" ht="15" hidden="false" customHeight="false" outlineLevel="0" collapsed="false">
      <c r="A8" s="26" t="s">
        <v>379</v>
      </c>
      <c r="B8" s="7" t="n">
        <v>180</v>
      </c>
      <c r="H8" s="26" t="s">
        <v>380</v>
      </c>
    </row>
    <row r="9" customFormat="false" ht="15" hidden="false" customHeight="false" outlineLevel="0" collapsed="false">
      <c r="A9" s="26" t="s">
        <v>381</v>
      </c>
      <c r="B9" s="7" t="n">
        <v>300</v>
      </c>
      <c r="H9" s="26" t="s">
        <v>382</v>
      </c>
    </row>
    <row r="10" customFormat="false" ht="15" hidden="false" customHeight="false" outlineLevel="0" collapsed="false">
      <c r="A10" s="13" t="s">
        <v>383</v>
      </c>
      <c r="H10" s="26" t="s">
        <v>384</v>
      </c>
    </row>
    <row r="11" customFormat="false" ht="15" hidden="false" customHeight="false" outlineLevel="0" collapsed="false">
      <c r="H11" s="26" t="s">
        <v>385</v>
      </c>
    </row>
    <row r="13" customFormat="false" ht="15" hidden="false" customHeight="false" outlineLevel="0" collapsed="false">
      <c r="A13" s="3" t="s">
        <v>386</v>
      </c>
      <c r="B13" s="3" t="s">
        <v>387</v>
      </c>
      <c r="C13" s="3" t="s">
        <v>388</v>
      </c>
    </row>
    <row r="14" customFormat="false" ht="15" hidden="false" customHeight="false" outlineLevel="0" collapsed="false">
      <c r="A14" s="20" t="s">
        <v>389</v>
      </c>
      <c r="B14" s="7" t="n">
        <v>60</v>
      </c>
      <c r="C14" s="27" t="s">
        <v>390</v>
      </c>
    </row>
    <row r="15" customFormat="false" ht="15" hidden="false" customHeight="false" outlineLevel="0" collapsed="false">
      <c r="A15" s="20" t="s">
        <v>391</v>
      </c>
      <c r="B15" s="28" t="n">
        <v>0.6</v>
      </c>
      <c r="C15" s="27" t="s">
        <v>392</v>
      </c>
    </row>
    <row r="16" customFormat="false" ht="15" hidden="false" customHeight="false" outlineLevel="0" collapsed="false">
      <c r="A16" s="20" t="s">
        <v>393</v>
      </c>
      <c r="B16" s="7" t="n">
        <v>4</v>
      </c>
      <c r="C16" s="27" t="s">
        <v>394</v>
      </c>
    </row>
    <row r="17" customFormat="false" ht="15" hidden="false" customHeight="false" outlineLevel="0" collapsed="false">
      <c r="A17" s="20" t="s">
        <v>395</v>
      </c>
      <c r="B17" s="7" t="n">
        <v>0.7</v>
      </c>
      <c r="C17" s="27" t="s">
        <v>396</v>
      </c>
    </row>
    <row r="18" customFormat="false" ht="15" hidden="false" customHeight="false" outlineLevel="0" collapsed="false">
      <c r="A18" s="20" t="s">
        <v>397</v>
      </c>
      <c r="B18" s="7" t="n">
        <v>180</v>
      </c>
      <c r="C18" s="27" t="s">
        <v>398</v>
      </c>
    </row>
    <row r="19" customFormat="false" ht="15" hidden="false" customHeight="false" outlineLevel="0" collapsed="false">
      <c r="A19" s="20" t="s">
        <v>399</v>
      </c>
      <c r="B19" s="7" t="n">
        <v>3</v>
      </c>
      <c r="C19" s="27" t="s">
        <v>400</v>
      </c>
    </row>
    <row r="20" customFormat="false" ht="15" hidden="false" customHeight="false" outlineLevel="0" collapsed="false">
      <c r="A20" s="20" t="s">
        <v>401</v>
      </c>
      <c r="B20" s="7"/>
      <c r="C20" s="27" t="s">
        <v>402</v>
      </c>
    </row>
    <row r="21" customFormat="false" ht="15" hidden="false" customHeight="false" outlineLevel="0" collapsed="false">
      <c r="A21" s="20" t="s">
        <v>403</v>
      </c>
      <c r="B21" s="5"/>
      <c r="C21" s="27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9"/>
  </cols>
  <sheetData>
    <row r="1" customFormat="false" ht="17.35" hidden="false" customHeight="false" outlineLevel="0" collapsed="false">
      <c r="A1" s="1" t="s">
        <v>405</v>
      </c>
    </row>
    <row r="2" customFormat="false" ht="15" hidden="false" customHeight="false" outlineLevel="0" collapsed="false">
      <c r="A2" s="13" t="s">
        <v>406</v>
      </c>
    </row>
    <row r="3" customFormat="false" ht="15" hidden="false" customHeight="false" outlineLevel="0" collapsed="false">
      <c r="A3" s="3" t="s">
        <v>407</v>
      </c>
      <c r="B3" s="3" t="s">
        <v>408</v>
      </c>
      <c r="C3" s="3" t="s">
        <v>409</v>
      </c>
      <c r="D3" s="3" t="s">
        <v>410</v>
      </c>
      <c r="E3" s="3" t="s">
        <v>411</v>
      </c>
      <c r="F3" s="3" t="s">
        <v>412</v>
      </c>
      <c r="G3" s="3" t="s">
        <v>413</v>
      </c>
      <c r="H3" s="3" t="s">
        <v>414</v>
      </c>
      <c r="I3" s="3" t="s">
        <v>415</v>
      </c>
      <c r="J3" s="3" t="s">
        <v>416</v>
      </c>
    </row>
    <row r="4" customFormat="false" ht="15" hidden="false" customHeight="false" outlineLevel="0" collapsed="false">
      <c r="A4" s="8" t="str">
        <f aca="false">Sesiones!A4</f>
        <v>SA01</v>
      </c>
      <c r="B4" s="8" t="str">
        <f aca="false">IF(Sesiones!AZ4="Sí",Sesiones!AO4,"")</f>
        <v/>
      </c>
      <c r="C4" s="8" t="str">
        <f aca="false">IF(Sesiones!AZ4="Sí",Sesiones!AP4,"")</f>
        <v/>
      </c>
      <c r="D4" s="8" t="str">
        <f aca="false">IF(Sesiones!AZ4="Sí",Sesiones!AQ4,"")</f>
        <v/>
      </c>
      <c r="E4" s="8" t="str">
        <f aca="false">IF(Sesiones!AZ4="Sí",Sesiones!AR4,"")</f>
        <v/>
      </c>
      <c r="F4" s="8" t="str">
        <f aca="false">IF(Sesiones!AZ4="Sí",Sesiones!AS4,"")</f>
        <v/>
      </c>
      <c r="G4" s="8" t="str">
        <f aca="false">IF(Sesiones!AZ4="Sí",Sesiones!AT4,"")</f>
        <v/>
      </c>
      <c r="H4" s="8" t="str">
        <f aca="false">IF(Sesiones!AZ4="Sí",Sesiones!AU4,"")</f>
        <v/>
      </c>
      <c r="I4" s="8" t="str">
        <f aca="false">IF(Sesiones!AZ4="Sí",Sesiones!AV4,"")</f>
        <v/>
      </c>
      <c r="J4" s="8" t="str">
        <f aca="false">IF(Sesiones!AZ4="Sí",Sesiones!BK4,"")</f>
        <v/>
      </c>
    </row>
    <row r="5" customFormat="false" ht="15" hidden="false" customHeight="false" outlineLevel="0" collapsed="false">
      <c r="A5" s="8" t="str">
        <f aca="false">Sesiones!A5</f>
        <v>SA02</v>
      </c>
      <c r="B5" s="8" t="str">
        <f aca="false">IF(Sesiones!AZ5="Sí",Sesiones!AO5,"")</f>
        <v/>
      </c>
      <c r="C5" s="8" t="str">
        <f aca="false">IF(Sesiones!AZ5="Sí",Sesiones!AP5,"")</f>
        <v/>
      </c>
      <c r="D5" s="8" t="str">
        <f aca="false">IF(Sesiones!AZ5="Sí",Sesiones!AQ5,"")</f>
        <v/>
      </c>
      <c r="E5" s="8" t="str">
        <f aca="false">IF(Sesiones!AZ5="Sí",Sesiones!AR5,"")</f>
        <v/>
      </c>
      <c r="F5" s="8" t="str">
        <f aca="false">IF(Sesiones!AZ5="Sí",Sesiones!AS5,"")</f>
        <v/>
      </c>
      <c r="G5" s="8" t="str">
        <f aca="false">IF(Sesiones!AZ5="Sí",Sesiones!AT5,"")</f>
        <v/>
      </c>
      <c r="H5" s="8" t="str">
        <f aca="false">IF(Sesiones!AZ5="Sí",Sesiones!AU5,"")</f>
        <v/>
      </c>
      <c r="I5" s="8" t="str">
        <f aca="false">IF(Sesiones!AZ5="Sí",Sesiones!AV5,"")</f>
        <v/>
      </c>
      <c r="J5" s="8" t="str">
        <f aca="false">IF(Sesiones!AZ5="Sí",Sesiones!BK5,"")</f>
        <v/>
      </c>
    </row>
    <row r="6" customFormat="false" ht="15" hidden="false" customHeight="false" outlineLevel="0" collapsed="false">
      <c r="A6" s="8" t="str">
        <f aca="false">Sesiones!A6</f>
        <v>SA03</v>
      </c>
      <c r="B6" s="8" t="str">
        <f aca="false">IF(Sesiones!AZ6="Sí",Sesiones!AO6,"")</f>
        <v/>
      </c>
      <c r="C6" s="8" t="str">
        <f aca="false">IF(Sesiones!AZ6="Sí",Sesiones!AP6,"")</f>
        <v/>
      </c>
      <c r="D6" s="8" t="str">
        <f aca="false">IF(Sesiones!AZ6="Sí",Sesiones!AQ6,"")</f>
        <v/>
      </c>
      <c r="E6" s="8" t="str">
        <f aca="false">IF(Sesiones!AZ6="Sí",Sesiones!AR6,"")</f>
        <v/>
      </c>
      <c r="F6" s="8" t="str">
        <f aca="false">IF(Sesiones!AZ6="Sí",Sesiones!AS6,"")</f>
        <v/>
      </c>
      <c r="G6" s="8" t="str">
        <f aca="false">IF(Sesiones!AZ6="Sí",Sesiones!AT6,"")</f>
        <v/>
      </c>
      <c r="H6" s="8" t="str">
        <f aca="false">IF(Sesiones!AZ6="Sí",Sesiones!AU6,"")</f>
        <v/>
      </c>
      <c r="I6" s="8" t="str">
        <f aca="false">IF(Sesiones!AZ6="Sí",Sesiones!AV6,"")</f>
        <v/>
      </c>
      <c r="J6" s="8" t="str">
        <f aca="false">IF(Sesiones!AZ6="Sí",Sesiones!BK6,"")</f>
        <v/>
      </c>
    </row>
    <row r="7" customFormat="false" ht="15" hidden="false" customHeight="false" outlineLevel="0" collapsed="false">
      <c r="A7" s="8" t="str">
        <f aca="false">Sesiones!A7</f>
        <v>SA04</v>
      </c>
      <c r="B7" s="8" t="str">
        <f aca="false">IF(Sesiones!AZ7="Sí",Sesiones!AO7,"")</f>
        <v/>
      </c>
      <c r="C7" s="8" t="str">
        <f aca="false">IF(Sesiones!AZ7="Sí",Sesiones!AP7,"")</f>
        <v/>
      </c>
      <c r="D7" s="8" t="str">
        <f aca="false">IF(Sesiones!AZ7="Sí",Sesiones!AQ7,"")</f>
        <v/>
      </c>
      <c r="E7" s="8" t="str">
        <f aca="false">IF(Sesiones!AZ7="Sí",Sesiones!AR7,"")</f>
        <v/>
      </c>
      <c r="F7" s="8" t="str">
        <f aca="false">IF(Sesiones!AZ7="Sí",Sesiones!AS7,"")</f>
        <v/>
      </c>
      <c r="G7" s="8" t="str">
        <f aca="false">IF(Sesiones!AZ7="Sí",Sesiones!AT7,"")</f>
        <v/>
      </c>
      <c r="H7" s="8" t="str">
        <f aca="false">IF(Sesiones!AZ7="Sí",Sesiones!AU7,"")</f>
        <v/>
      </c>
      <c r="I7" s="8" t="str">
        <f aca="false">IF(Sesiones!AZ7="Sí",Sesiones!AV7,"")</f>
        <v/>
      </c>
      <c r="J7" s="8" t="str">
        <f aca="false">IF(Sesiones!AZ7="Sí",Sesiones!BK7,"")</f>
        <v/>
      </c>
    </row>
    <row r="8" customFormat="false" ht="15" hidden="false" customHeight="false" outlineLevel="0" collapsed="false">
      <c r="A8" s="8" t="str">
        <f aca="false">Sesiones!A8</f>
        <v>SA05</v>
      </c>
      <c r="B8" s="8" t="str">
        <f aca="false">IF(Sesiones!AZ8="Sí",Sesiones!AO8,"")</f>
        <v/>
      </c>
      <c r="C8" s="8" t="str">
        <f aca="false">IF(Sesiones!AZ8="Sí",Sesiones!AP8,"")</f>
        <v/>
      </c>
      <c r="D8" s="8" t="str">
        <f aca="false">IF(Sesiones!AZ8="Sí",Sesiones!AQ8,"")</f>
        <v/>
      </c>
      <c r="E8" s="8" t="str">
        <f aca="false">IF(Sesiones!AZ8="Sí",Sesiones!AR8,"")</f>
        <v/>
      </c>
      <c r="F8" s="8" t="str">
        <f aca="false">IF(Sesiones!AZ8="Sí",Sesiones!AS8,"")</f>
        <v/>
      </c>
      <c r="G8" s="8" t="str">
        <f aca="false">IF(Sesiones!AZ8="Sí",Sesiones!AT8,"")</f>
        <v/>
      </c>
      <c r="H8" s="8" t="str">
        <f aca="false">IF(Sesiones!AZ8="Sí",Sesiones!AU8,"")</f>
        <v/>
      </c>
      <c r="I8" s="8" t="str">
        <f aca="false">IF(Sesiones!AZ8="Sí",Sesiones!AV8,"")</f>
        <v/>
      </c>
      <c r="J8" s="8" t="str">
        <f aca="false">IF(Sesiones!AZ8="Sí",Sesiones!BK8,"")</f>
        <v/>
      </c>
    </row>
    <row r="9" customFormat="false" ht="15" hidden="false" customHeight="false" outlineLevel="0" collapsed="false">
      <c r="A9" s="8" t="str">
        <f aca="false">Sesiones!A9</f>
        <v>SA06</v>
      </c>
      <c r="B9" s="8" t="str">
        <f aca="false">IF(Sesiones!AZ9="Sí",Sesiones!AO9,"")</f>
        <v/>
      </c>
      <c r="C9" s="8" t="str">
        <f aca="false">IF(Sesiones!AZ9="Sí",Sesiones!AP9,"")</f>
        <v/>
      </c>
      <c r="D9" s="8" t="str">
        <f aca="false">IF(Sesiones!AZ9="Sí",Sesiones!AQ9,"")</f>
        <v/>
      </c>
      <c r="E9" s="8" t="str">
        <f aca="false">IF(Sesiones!AZ9="Sí",Sesiones!AR9,"")</f>
        <v/>
      </c>
      <c r="F9" s="8" t="str">
        <f aca="false">IF(Sesiones!AZ9="Sí",Sesiones!AS9,"")</f>
        <v/>
      </c>
      <c r="G9" s="8" t="str">
        <f aca="false">IF(Sesiones!AZ9="Sí",Sesiones!AT9,"")</f>
        <v/>
      </c>
      <c r="H9" s="8" t="str">
        <f aca="false">IF(Sesiones!AZ9="Sí",Sesiones!AU9,"")</f>
        <v/>
      </c>
      <c r="I9" s="8" t="str">
        <f aca="false">IF(Sesiones!AZ9="Sí",Sesiones!AV9,"")</f>
        <v/>
      </c>
      <c r="J9" s="8" t="str">
        <f aca="false">IF(Sesiones!AZ9="Sí",Sesiones!BK9,"")</f>
        <v/>
      </c>
    </row>
    <row r="10" customFormat="false" ht="15" hidden="false" customHeight="false" outlineLevel="0" collapsed="false">
      <c r="A10" s="8" t="str">
        <f aca="false">Sesiones!A10</f>
        <v>SA07</v>
      </c>
      <c r="B10" s="8" t="str">
        <f aca="false">IF(Sesiones!AZ10="Sí",Sesiones!AO10,"")</f>
        <v/>
      </c>
      <c r="C10" s="8" t="str">
        <f aca="false">IF(Sesiones!AZ10="Sí",Sesiones!AP10,"")</f>
        <v/>
      </c>
      <c r="D10" s="8" t="str">
        <f aca="false">IF(Sesiones!AZ10="Sí",Sesiones!AQ10,"")</f>
        <v/>
      </c>
      <c r="E10" s="8" t="str">
        <f aca="false">IF(Sesiones!AZ10="Sí",Sesiones!AR10,"")</f>
        <v/>
      </c>
      <c r="F10" s="8" t="str">
        <f aca="false">IF(Sesiones!AZ10="Sí",Sesiones!AS10,"")</f>
        <v/>
      </c>
      <c r="G10" s="8" t="str">
        <f aca="false">IF(Sesiones!AZ10="Sí",Sesiones!AT10,"")</f>
        <v/>
      </c>
      <c r="H10" s="8" t="str">
        <f aca="false">IF(Sesiones!AZ10="Sí",Sesiones!AU10,"")</f>
        <v/>
      </c>
      <c r="I10" s="8" t="str">
        <f aca="false">IF(Sesiones!AZ10="Sí",Sesiones!AV10,"")</f>
        <v/>
      </c>
      <c r="J10" s="8" t="str">
        <f aca="false">IF(Sesiones!AZ10="Sí",Sesiones!BK10,"")</f>
        <v/>
      </c>
    </row>
    <row r="11" customFormat="false" ht="15" hidden="false" customHeight="false" outlineLevel="0" collapsed="false">
      <c r="A11" s="8" t="str">
        <f aca="false">Sesiones!A11</f>
        <v>SA08</v>
      </c>
      <c r="B11" s="8" t="str">
        <f aca="false">IF(Sesiones!AZ11="Sí",Sesiones!AO11,"")</f>
        <v/>
      </c>
      <c r="C11" s="8" t="str">
        <f aca="false">IF(Sesiones!AZ11="Sí",Sesiones!AP11,"")</f>
        <v/>
      </c>
      <c r="D11" s="8" t="str">
        <f aca="false">IF(Sesiones!AZ11="Sí",Sesiones!AQ11,"")</f>
        <v/>
      </c>
      <c r="E11" s="8" t="str">
        <f aca="false">IF(Sesiones!AZ11="Sí",Sesiones!AR11,"")</f>
        <v/>
      </c>
      <c r="F11" s="8" t="str">
        <f aca="false">IF(Sesiones!AZ11="Sí",Sesiones!AS11,"")</f>
        <v/>
      </c>
      <c r="G11" s="8" t="str">
        <f aca="false">IF(Sesiones!AZ11="Sí",Sesiones!AT11,"")</f>
        <v/>
      </c>
      <c r="H11" s="8" t="str">
        <f aca="false">IF(Sesiones!AZ11="Sí",Sesiones!AU11,"")</f>
        <v/>
      </c>
      <c r="I11" s="8" t="str">
        <f aca="false">IF(Sesiones!AZ11="Sí",Sesiones!AV11,"")</f>
        <v/>
      </c>
      <c r="J11" s="8" t="str">
        <f aca="false">IF(Sesiones!AZ11="Sí",Sesiones!BK11,"")</f>
        <v/>
      </c>
    </row>
    <row r="12" customFormat="false" ht="15" hidden="false" customHeight="false" outlineLevel="0" collapsed="false">
      <c r="A12" s="8" t="str">
        <f aca="false">Sesiones!A12</f>
        <v>SA09</v>
      </c>
      <c r="B12" s="8" t="str">
        <f aca="false">IF(Sesiones!AZ12="Sí",Sesiones!AO12,"")</f>
        <v/>
      </c>
      <c r="C12" s="8" t="str">
        <f aca="false">IF(Sesiones!AZ12="Sí",Sesiones!AP12,"")</f>
        <v/>
      </c>
      <c r="D12" s="8" t="str">
        <f aca="false">IF(Sesiones!AZ12="Sí",Sesiones!AQ12,"")</f>
        <v/>
      </c>
      <c r="E12" s="8" t="str">
        <f aca="false">IF(Sesiones!AZ12="Sí",Sesiones!AR12,"")</f>
        <v/>
      </c>
      <c r="F12" s="8" t="str">
        <f aca="false">IF(Sesiones!AZ12="Sí",Sesiones!AS12,"")</f>
        <v/>
      </c>
      <c r="G12" s="8" t="str">
        <f aca="false">IF(Sesiones!AZ12="Sí",Sesiones!AT12,"")</f>
        <v/>
      </c>
      <c r="H12" s="8" t="str">
        <f aca="false">IF(Sesiones!AZ12="Sí",Sesiones!AU12,"")</f>
        <v/>
      </c>
      <c r="I12" s="8" t="str">
        <f aca="false">IF(Sesiones!AZ12="Sí",Sesiones!AV12,"")</f>
        <v/>
      </c>
      <c r="J12" s="8" t="str">
        <f aca="false">IF(Sesiones!AZ12="Sí",Sesiones!BK12,"")</f>
        <v/>
      </c>
    </row>
    <row r="13" customFormat="false" ht="15" hidden="false" customHeight="false" outlineLevel="0" collapsed="false">
      <c r="A13" s="8" t="str">
        <f aca="false">Sesiones!A13</f>
        <v>SA10</v>
      </c>
      <c r="B13" s="8" t="str">
        <f aca="false">IF(Sesiones!AZ13="Sí",Sesiones!AO13,"")</f>
        <v/>
      </c>
      <c r="C13" s="8" t="str">
        <f aca="false">IF(Sesiones!AZ13="Sí",Sesiones!AP13,"")</f>
        <v/>
      </c>
      <c r="D13" s="8" t="str">
        <f aca="false">IF(Sesiones!AZ13="Sí",Sesiones!AQ13,"")</f>
        <v/>
      </c>
      <c r="E13" s="8" t="str">
        <f aca="false">IF(Sesiones!AZ13="Sí",Sesiones!AR13,"")</f>
        <v/>
      </c>
      <c r="F13" s="8" t="str">
        <f aca="false">IF(Sesiones!AZ13="Sí",Sesiones!AS13,"")</f>
        <v/>
      </c>
      <c r="G13" s="8" t="str">
        <f aca="false">IF(Sesiones!AZ13="Sí",Sesiones!AT13,"")</f>
        <v/>
      </c>
      <c r="H13" s="8" t="str">
        <f aca="false">IF(Sesiones!AZ13="Sí",Sesiones!AU13,"")</f>
        <v/>
      </c>
      <c r="I13" s="8" t="str">
        <f aca="false">IF(Sesiones!AZ13="Sí",Sesiones!AV13,"")</f>
        <v/>
      </c>
      <c r="J13" s="8" t="str">
        <f aca="false">IF(Sesiones!AZ13="Sí",Sesiones!BK13,"")</f>
        <v/>
      </c>
    </row>
    <row r="14" customFormat="false" ht="15" hidden="false" customHeight="false" outlineLevel="0" collapsed="false">
      <c r="A14" s="8" t="str">
        <f aca="false">Sesiones!A14</f>
        <v>SA11</v>
      </c>
      <c r="B14" s="8" t="str">
        <f aca="false">IF(Sesiones!AZ14="Sí",Sesiones!AO14,"")</f>
        <v/>
      </c>
      <c r="C14" s="8" t="str">
        <f aca="false">IF(Sesiones!AZ14="Sí",Sesiones!AP14,"")</f>
        <v/>
      </c>
      <c r="D14" s="8" t="str">
        <f aca="false">IF(Sesiones!AZ14="Sí",Sesiones!AQ14,"")</f>
        <v/>
      </c>
      <c r="E14" s="8" t="str">
        <f aca="false">IF(Sesiones!AZ14="Sí",Sesiones!AR14,"")</f>
        <v/>
      </c>
      <c r="F14" s="8" t="str">
        <f aca="false">IF(Sesiones!AZ14="Sí",Sesiones!AS14,"")</f>
        <v/>
      </c>
      <c r="G14" s="8" t="str">
        <f aca="false">IF(Sesiones!AZ14="Sí",Sesiones!AT14,"")</f>
        <v/>
      </c>
      <c r="H14" s="8" t="str">
        <f aca="false">IF(Sesiones!AZ14="Sí",Sesiones!AU14,"")</f>
        <v/>
      </c>
      <c r="I14" s="8" t="str">
        <f aca="false">IF(Sesiones!AZ14="Sí",Sesiones!AV14,"")</f>
        <v/>
      </c>
      <c r="J14" s="8" t="str">
        <f aca="false">IF(Sesiones!AZ14="Sí",Sesiones!BK14,"")</f>
        <v/>
      </c>
    </row>
    <row r="15" customFormat="false" ht="15" hidden="false" customHeight="false" outlineLevel="0" collapsed="false">
      <c r="A15" s="8" t="str">
        <f aca="false">Sesiones!A15</f>
        <v>SA12</v>
      </c>
      <c r="B15" s="8" t="str">
        <f aca="false">IF(Sesiones!AZ15="Sí",Sesiones!AO15,"")</f>
        <v/>
      </c>
      <c r="C15" s="8" t="str">
        <f aca="false">IF(Sesiones!AZ15="Sí",Sesiones!AP15,"")</f>
        <v/>
      </c>
      <c r="D15" s="8" t="str">
        <f aca="false">IF(Sesiones!AZ15="Sí",Sesiones!AQ15,"")</f>
        <v/>
      </c>
      <c r="E15" s="8" t="str">
        <f aca="false">IF(Sesiones!AZ15="Sí",Sesiones!AR15,"")</f>
        <v/>
      </c>
      <c r="F15" s="8" t="str">
        <f aca="false">IF(Sesiones!AZ15="Sí",Sesiones!AS15,"")</f>
        <v/>
      </c>
      <c r="G15" s="8" t="str">
        <f aca="false">IF(Sesiones!AZ15="Sí",Sesiones!AT15,"")</f>
        <v/>
      </c>
      <c r="H15" s="8" t="str">
        <f aca="false">IF(Sesiones!AZ15="Sí",Sesiones!AU15,"")</f>
        <v/>
      </c>
      <c r="I15" s="8" t="str">
        <f aca="false">IF(Sesiones!AZ15="Sí",Sesiones!AV15,"")</f>
        <v/>
      </c>
      <c r="J15" s="8" t="str">
        <f aca="false">IF(Sesiones!AZ15="Sí",Sesiones!BK15,"")</f>
        <v/>
      </c>
    </row>
    <row r="16" customFormat="false" ht="15" hidden="false" customHeight="false" outlineLevel="0" collapsed="false">
      <c r="A16" s="8" t="str">
        <f aca="false">Sesiones!A16</f>
        <v>SA13</v>
      </c>
      <c r="B16" s="8" t="str">
        <f aca="false">IF(Sesiones!AZ16="Sí",Sesiones!AO16,"")</f>
        <v/>
      </c>
      <c r="C16" s="8" t="str">
        <f aca="false">IF(Sesiones!AZ16="Sí",Sesiones!AP16,"")</f>
        <v/>
      </c>
      <c r="D16" s="8" t="str">
        <f aca="false">IF(Sesiones!AZ16="Sí",Sesiones!AQ16,"")</f>
        <v/>
      </c>
      <c r="E16" s="8" t="str">
        <f aca="false">IF(Sesiones!AZ16="Sí",Sesiones!AR16,"")</f>
        <v/>
      </c>
      <c r="F16" s="8" t="str">
        <f aca="false">IF(Sesiones!AZ16="Sí",Sesiones!AS16,"")</f>
        <v/>
      </c>
      <c r="G16" s="8" t="str">
        <f aca="false">IF(Sesiones!AZ16="Sí",Sesiones!AT16,"")</f>
        <v/>
      </c>
      <c r="H16" s="8" t="str">
        <f aca="false">IF(Sesiones!AZ16="Sí",Sesiones!AU16,"")</f>
        <v/>
      </c>
      <c r="I16" s="8" t="str">
        <f aca="false">IF(Sesiones!AZ16="Sí",Sesiones!AV16,"")</f>
        <v/>
      </c>
      <c r="J16" s="8" t="str">
        <f aca="false">IF(Sesiones!AZ16="Sí",Sesiones!BK16,"")</f>
        <v/>
      </c>
    </row>
    <row r="17" customFormat="false" ht="15" hidden="false" customHeight="false" outlineLevel="0" collapsed="false">
      <c r="A17" s="8" t="str">
        <f aca="false">Sesiones!A17</f>
        <v>SA14</v>
      </c>
      <c r="B17" s="8" t="str">
        <f aca="false">IF(Sesiones!AZ17="Sí",Sesiones!AO17,"")</f>
        <v/>
      </c>
      <c r="C17" s="8" t="str">
        <f aca="false">IF(Sesiones!AZ17="Sí",Sesiones!AP17,"")</f>
        <v/>
      </c>
      <c r="D17" s="8" t="str">
        <f aca="false">IF(Sesiones!AZ17="Sí",Sesiones!AQ17,"")</f>
        <v/>
      </c>
      <c r="E17" s="8" t="str">
        <f aca="false">IF(Sesiones!AZ17="Sí",Sesiones!AR17,"")</f>
        <v/>
      </c>
      <c r="F17" s="8" t="str">
        <f aca="false">IF(Sesiones!AZ17="Sí",Sesiones!AS17,"")</f>
        <v/>
      </c>
      <c r="G17" s="8" t="str">
        <f aca="false">IF(Sesiones!AZ17="Sí",Sesiones!AT17,"")</f>
        <v/>
      </c>
      <c r="H17" s="8" t="str">
        <f aca="false">IF(Sesiones!AZ17="Sí",Sesiones!AU17,"")</f>
        <v/>
      </c>
      <c r="I17" s="8" t="str">
        <f aca="false">IF(Sesiones!AZ17="Sí",Sesiones!AV17,"")</f>
        <v/>
      </c>
      <c r="J17" s="8" t="str">
        <f aca="false">IF(Sesiones!AZ17="Sí",Sesiones!BK17,"")</f>
        <v/>
      </c>
    </row>
    <row r="18" customFormat="false" ht="15" hidden="false" customHeight="false" outlineLevel="0" collapsed="false">
      <c r="A18" s="8" t="str">
        <f aca="false">Sesiones!A18</f>
        <v>SA15</v>
      </c>
      <c r="B18" s="8" t="str">
        <f aca="false">IF(Sesiones!AZ18="Sí",Sesiones!AO18,"")</f>
        <v/>
      </c>
      <c r="C18" s="8" t="str">
        <f aca="false">IF(Sesiones!AZ18="Sí",Sesiones!AP18,"")</f>
        <v/>
      </c>
      <c r="D18" s="8" t="str">
        <f aca="false">IF(Sesiones!AZ18="Sí",Sesiones!AQ18,"")</f>
        <v/>
      </c>
      <c r="E18" s="8" t="str">
        <f aca="false">IF(Sesiones!AZ18="Sí",Sesiones!AR18,"")</f>
        <v/>
      </c>
      <c r="F18" s="8" t="str">
        <f aca="false">IF(Sesiones!AZ18="Sí",Sesiones!AS18,"")</f>
        <v/>
      </c>
      <c r="G18" s="8" t="str">
        <f aca="false">IF(Sesiones!AZ18="Sí",Sesiones!AT18,"")</f>
        <v/>
      </c>
      <c r="H18" s="8" t="str">
        <f aca="false">IF(Sesiones!AZ18="Sí",Sesiones!AU18,"")</f>
        <v/>
      </c>
      <c r="I18" s="8" t="str">
        <f aca="false">IF(Sesiones!AZ18="Sí",Sesiones!AV18,"")</f>
        <v/>
      </c>
      <c r="J18" s="8" t="str">
        <f aca="false">IF(Sesiones!AZ18="Sí",Sesiones!BK18,"")</f>
        <v/>
      </c>
    </row>
    <row r="19" customFormat="false" ht="15" hidden="false" customHeight="false" outlineLevel="0" collapsed="false">
      <c r="A19" s="8" t="str">
        <f aca="false">Sesiones!A19</f>
        <v>SA16</v>
      </c>
      <c r="B19" s="8" t="str">
        <f aca="false">IF(Sesiones!AZ19="Sí",Sesiones!AO19,"")</f>
        <v/>
      </c>
      <c r="C19" s="8" t="str">
        <f aca="false">IF(Sesiones!AZ19="Sí",Sesiones!AP19,"")</f>
        <v/>
      </c>
      <c r="D19" s="8" t="str">
        <f aca="false">IF(Sesiones!AZ19="Sí",Sesiones!AQ19,"")</f>
        <v/>
      </c>
      <c r="E19" s="8" t="str">
        <f aca="false">IF(Sesiones!AZ19="Sí",Sesiones!AR19,"")</f>
        <v/>
      </c>
      <c r="F19" s="8" t="str">
        <f aca="false">IF(Sesiones!AZ19="Sí",Sesiones!AS19,"")</f>
        <v/>
      </c>
      <c r="G19" s="8" t="str">
        <f aca="false">IF(Sesiones!AZ19="Sí",Sesiones!AT19,"")</f>
        <v/>
      </c>
      <c r="H19" s="8" t="str">
        <f aca="false">IF(Sesiones!AZ19="Sí",Sesiones!AU19,"")</f>
        <v/>
      </c>
      <c r="I19" s="8" t="str">
        <f aca="false">IF(Sesiones!AZ19="Sí",Sesiones!AV19,"")</f>
        <v/>
      </c>
      <c r="J19" s="8" t="str">
        <f aca="false">IF(Sesiones!AZ19="Sí",Sesiones!BK19,"")</f>
        <v/>
      </c>
    </row>
    <row r="20" customFormat="false" ht="15" hidden="false" customHeight="false" outlineLevel="0" collapsed="false">
      <c r="A20" s="8" t="str">
        <f aca="false">Sesiones!A20</f>
        <v>SA17</v>
      </c>
      <c r="B20" s="8" t="str">
        <f aca="false">IF(Sesiones!AZ20="Sí",Sesiones!AO20,"")</f>
        <v/>
      </c>
      <c r="C20" s="8" t="str">
        <f aca="false">IF(Sesiones!AZ20="Sí",Sesiones!AP20,"")</f>
        <v/>
      </c>
      <c r="D20" s="8" t="str">
        <f aca="false">IF(Sesiones!AZ20="Sí",Sesiones!AQ20,"")</f>
        <v/>
      </c>
      <c r="E20" s="8" t="str">
        <f aca="false">IF(Sesiones!AZ20="Sí",Sesiones!AR20,"")</f>
        <v/>
      </c>
      <c r="F20" s="8" t="str">
        <f aca="false">IF(Sesiones!AZ20="Sí",Sesiones!AS20,"")</f>
        <v/>
      </c>
      <c r="G20" s="8" t="str">
        <f aca="false">IF(Sesiones!AZ20="Sí",Sesiones!AT20,"")</f>
        <v/>
      </c>
      <c r="H20" s="8" t="str">
        <f aca="false">IF(Sesiones!AZ20="Sí",Sesiones!AU20,"")</f>
        <v/>
      </c>
      <c r="I20" s="8" t="str">
        <f aca="false">IF(Sesiones!AZ20="Sí",Sesiones!AV20,"")</f>
        <v/>
      </c>
      <c r="J20" s="8" t="str">
        <f aca="false">IF(Sesiones!AZ20="Sí",Sesiones!BK20,"")</f>
        <v/>
      </c>
    </row>
    <row r="21" customFormat="false" ht="15" hidden="false" customHeight="false" outlineLevel="0" collapsed="false">
      <c r="A21" s="8" t="str">
        <f aca="false">Sesiones!A21</f>
        <v>SA18</v>
      </c>
      <c r="B21" s="8" t="str">
        <f aca="false">IF(Sesiones!AZ21="Sí",Sesiones!AO21,"")</f>
        <v/>
      </c>
      <c r="C21" s="8" t="str">
        <f aca="false">IF(Sesiones!AZ21="Sí",Sesiones!AP21,"")</f>
        <v/>
      </c>
      <c r="D21" s="8" t="str">
        <f aca="false">IF(Sesiones!AZ21="Sí",Sesiones!AQ21,"")</f>
        <v/>
      </c>
      <c r="E21" s="8" t="str">
        <f aca="false">IF(Sesiones!AZ21="Sí",Sesiones!AR21,"")</f>
        <v/>
      </c>
      <c r="F21" s="8" t="str">
        <f aca="false">IF(Sesiones!AZ21="Sí",Sesiones!AS21,"")</f>
        <v/>
      </c>
      <c r="G21" s="8" t="str">
        <f aca="false">IF(Sesiones!AZ21="Sí",Sesiones!AT21,"")</f>
        <v/>
      </c>
      <c r="H21" s="8" t="str">
        <f aca="false">IF(Sesiones!AZ21="Sí",Sesiones!AU21,"")</f>
        <v/>
      </c>
      <c r="I21" s="8" t="str">
        <f aca="false">IF(Sesiones!AZ21="Sí",Sesiones!AV21,"")</f>
        <v/>
      </c>
      <c r="J21" s="8" t="str">
        <f aca="false">IF(Sesiones!AZ21="Sí",Sesiones!BK21,"")</f>
        <v/>
      </c>
    </row>
    <row r="22" customFormat="false" ht="15" hidden="false" customHeight="false" outlineLevel="0" collapsed="false">
      <c r="A22" s="8" t="str">
        <f aca="false">Sesiones!A22</f>
        <v>SA19</v>
      </c>
      <c r="B22" s="8" t="str">
        <f aca="false">IF(Sesiones!AZ22="Sí",Sesiones!AO22,"")</f>
        <v/>
      </c>
      <c r="C22" s="8" t="str">
        <f aca="false">IF(Sesiones!AZ22="Sí",Sesiones!AP22,"")</f>
        <v/>
      </c>
      <c r="D22" s="8" t="str">
        <f aca="false">IF(Sesiones!AZ22="Sí",Sesiones!AQ22,"")</f>
        <v/>
      </c>
      <c r="E22" s="8" t="str">
        <f aca="false">IF(Sesiones!AZ22="Sí",Sesiones!AR22,"")</f>
        <v/>
      </c>
      <c r="F22" s="8" t="str">
        <f aca="false">IF(Sesiones!AZ22="Sí",Sesiones!AS22,"")</f>
        <v/>
      </c>
      <c r="G22" s="8" t="str">
        <f aca="false">IF(Sesiones!AZ22="Sí",Sesiones!AT22,"")</f>
        <v/>
      </c>
      <c r="H22" s="8" t="str">
        <f aca="false">IF(Sesiones!AZ22="Sí",Sesiones!AU22,"")</f>
        <v/>
      </c>
      <c r="I22" s="8" t="str">
        <f aca="false">IF(Sesiones!AZ22="Sí",Sesiones!AV22,"")</f>
        <v/>
      </c>
      <c r="J22" s="8" t="str">
        <f aca="false">IF(Sesiones!AZ22="Sí",Sesiones!BK22,"")</f>
        <v/>
      </c>
    </row>
    <row r="23" customFormat="false" ht="15" hidden="false" customHeight="false" outlineLevel="0" collapsed="false">
      <c r="A23" s="8" t="str">
        <f aca="false">Sesiones!A23</f>
        <v>SA20</v>
      </c>
      <c r="B23" s="8" t="str">
        <f aca="false">IF(Sesiones!AZ23="Sí",Sesiones!AO23,"")</f>
        <v/>
      </c>
      <c r="C23" s="8" t="str">
        <f aca="false">IF(Sesiones!AZ23="Sí",Sesiones!AP23,"")</f>
        <v/>
      </c>
      <c r="D23" s="8" t="str">
        <f aca="false">IF(Sesiones!AZ23="Sí",Sesiones!AQ23,"")</f>
        <v/>
      </c>
      <c r="E23" s="8" t="str">
        <f aca="false">IF(Sesiones!AZ23="Sí",Sesiones!AR23,"")</f>
        <v/>
      </c>
      <c r="F23" s="8" t="str">
        <f aca="false">IF(Sesiones!AZ23="Sí",Sesiones!AS23,"")</f>
        <v/>
      </c>
      <c r="G23" s="8" t="str">
        <f aca="false">IF(Sesiones!AZ23="Sí",Sesiones!AT23,"")</f>
        <v/>
      </c>
      <c r="H23" s="8" t="str">
        <f aca="false">IF(Sesiones!AZ23="Sí",Sesiones!AU23,"")</f>
        <v/>
      </c>
      <c r="I23" s="8" t="str">
        <f aca="false">IF(Sesiones!AZ23="Sí",Sesiones!AV23,"")</f>
        <v/>
      </c>
      <c r="J23" s="8" t="str">
        <f aca="false">IF(Sesiones!AZ23="Sí",Sesiones!BK23,"")</f>
        <v/>
      </c>
    </row>
    <row r="24" customFormat="false" ht="15" hidden="false" customHeight="false" outlineLevel="0" collapsed="false">
      <c r="A24" s="8" t="str">
        <f aca="false">Sesiones!A24</f>
        <v>SA21</v>
      </c>
      <c r="B24" s="8" t="str">
        <f aca="false">IF(Sesiones!AZ24="Sí",Sesiones!AO24,"")</f>
        <v/>
      </c>
      <c r="C24" s="8" t="str">
        <f aca="false">IF(Sesiones!AZ24="Sí",Sesiones!AP24,"")</f>
        <v/>
      </c>
      <c r="D24" s="8" t="str">
        <f aca="false">IF(Sesiones!AZ24="Sí",Sesiones!AQ24,"")</f>
        <v/>
      </c>
      <c r="E24" s="8" t="str">
        <f aca="false">IF(Sesiones!AZ24="Sí",Sesiones!AR24,"")</f>
        <v/>
      </c>
      <c r="F24" s="8" t="str">
        <f aca="false">IF(Sesiones!AZ24="Sí",Sesiones!AS24,"")</f>
        <v/>
      </c>
      <c r="G24" s="8" t="str">
        <f aca="false">IF(Sesiones!AZ24="Sí",Sesiones!AT24,"")</f>
        <v/>
      </c>
      <c r="H24" s="8" t="str">
        <f aca="false">IF(Sesiones!AZ24="Sí",Sesiones!AU24,"")</f>
        <v/>
      </c>
      <c r="I24" s="8" t="str">
        <f aca="false">IF(Sesiones!AZ24="Sí",Sesiones!AV24,"")</f>
        <v/>
      </c>
      <c r="J24" s="8" t="str">
        <f aca="false">IF(Sesiones!AZ24="Sí",Sesiones!BK24,"")</f>
        <v/>
      </c>
    </row>
    <row r="25" customFormat="false" ht="15" hidden="false" customHeight="false" outlineLevel="0" collapsed="false">
      <c r="A25" s="8" t="str">
        <f aca="false">Sesiones!A25</f>
        <v>SA22</v>
      </c>
      <c r="B25" s="8" t="str">
        <f aca="false">IF(Sesiones!AZ25="Sí",Sesiones!AO25,"")</f>
        <v/>
      </c>
      <c r="C25" s="8" t="str">
        <f aca="false">IF(Sesiones!AZ25="Sí",Sesiones!AP25,"")</f>
        <v/>
      </c>
      <c r="D25" s="8" t="str">
        <f aca="false">IF(Sesiones!AZ25="Sí",Sesiones!AQ25,"")</f>
        <v/>
      </c>
      <c r="E25" s="8" t="str">
        <f aca="false">IF(Sesiones!AZ25="Sí",Sesiones!AR25,"")</f>
        <v/>
      </c>
      <c r="F25" s="8" t="str">
        <f aca="false">IF(Sesiones!AZ25="Sí",Sesiones!AS25,"")</f>
        <v/>
      </c>
      <c r="G25" s="8" t="str">
        <f aca="false">IF(Sesiones!AZ25="Sí",Sesiones!AT25,"")</f>
        <v/>
      </c>
      <c r="H25" s="8" t="str">
        <f aca="false">IF(Sesiones!AZ25="Sí",Sesiones!AU25,"")</f>
        <v/>
      </c>
      <c r="I25" s="8" t="str">
        <f aca="false">IF(Sesiones!AZ25="Sí",Sesiones!AV25,"")</f>
        <v/>
      </c>
      <c r="J25" s="8" t="str">
        <f aca="false">IF(Sesiones!AZ25="Sí",Sesiones!BK25,"")</f>
        <v/>
      </c>
    </row>
    <row r="26" customFormat="false" ht="15" hidden="false" customHeight="false" outlineLevel="0" collapsed="false">
      <c r="A26" s="8" t="str">
        <f aca="false">Sesiones!A26</f>
        <v>SA23</v>
      </c>
      <c r="B26" s="8" t="str">
        <f aca="false">IF(Sesiones!AZ26="Sí",Sesiones!AO26,"")</f>
        <v/>
      </c>
      <c r="C26" s="8" t="str">
        <f aca="false">IF(Sesiones!AZ26="Sí",Sesiones!AP26,"")</f>
        <v/>
      </c>
      <c r="D26" s="8" t="str">
        <f aca="false">IF(Sesiones!AZ26="Sí",Sesiones!AQ26,"")</f>
        <v/>
      </c>
      <c r="E26" s="8" t="str">
        <f aca="false">IF(Sesiones!AZ26="Sí",Sesiones!AR26,"")</f>
        <v/>
      </c>
      <c r="F26" s="8" t="str">
        <f aca="false">IF(Sesiones!AZ26="Sí",Sesiones!AS26,"")</f>
        <v/>
      </c>
      <c r="G26" s="8" t="str">
        <f aca="false">IF(Sesiones!AZ26="Sí",Sesiones!AT26,"")</f>
        <v/>
      </c>
      <c r="H26" s="8" t="str">
        <f aca="false">IF(Sesiones!AZ26="Sí",Sesiones!AU26,"")</f>
        <v/>
      </c>
      <c r="I26" s="8" t="str">
        <f aca="false">IF(Sesiones!AZ26="Sí",Sesiones!AV26,"")</f>
        <v/>
      </c>
      <c r="J26" s="8" t="str">
        <f aca="false">IF(Sesiones!AZ26="Sí",Sesiones!BK26,"")</f>
        <v/>
      </c>
    </row>
    <row r="27" customFormat="false" ht="15" hidden="false" customHeight="false" outlineLevel="0" collapsed="false">
      <c r="A27" s="8" t="str">
        <f aca="false">Sesiones!A27</f>
        <v>SA24</v>
      </c>
      <c r="B27" s="8" t="str">
        <f aca="false">IF(Sesiones!AZ27="Sí",Sesiones!AO27,"")</f>
        <v/>
      </c>
      <c r="C27" s="8" t="str">
        <f aca="false">IF(Sesiones!AZ27="Sí",Sesiones!AP27,"")</f>
        <v/>
      </c>
      <c r="D27" s="8" t="str">
        <f aca="false">IF(Sesiones!AZ27="Sí",Sesiones!AQ27,"")</f>
        <v/>
      </c>
      <c r="E27" s="8" t="str">
        <f aca="false">IF(Sesiones!AZ27="Sí",Sesiones!AR27,"")</f>
        <v/>
      </c>
      <c r="F27" s="8" t="str">
        <f aca="false">IF(Sesiones!AZ27="Sí",Sesiones!AS27,"")</f>
        <v/>
      </c>
      <c r="G27" s="8" t="str">
        <f aca="false">IF(Sesiones!AZ27="Sí",Sesiones!AT27,"")</f>
        <v/>
      </c>
      <c r="H27" s="8" t="str">
        <f aca="false">IF(Sesiones!AZ27="Sí",Sesiones!AU27,"")</f>
        <v/>
      </c>
      <c r="I27" s="8" t="str">
        <f aca="false">IF(Sesiones!AZ27="Sí",Sesiones!AV27,"")</f>
        <v/>
      </c>
      <c r="J27" s="8" t="str">
        <f aca="false">IF(Sesiones!AZ27="Sí",Sesiones!BK27,"")</f>
        <v/>
      </c>
    </row>
    <row r="28" customFormat="false" ht="15" hidden="false" customHeight="false" outlineLevel="0" collapsed="false">
      <c r="A28" s="8" t="str">
        <f aca="false">Sesiones!A28</f>
        <v>SA25</v>
      </c>
      <c r="B28" s="8" t="str">
        <f aca="false">IF(Sesiones!AZ28="Sí",Sesiones!AO28,"")</f>
        <v/>
      </c>
      <c r="C28" s="8" t="str">
        <f aca="false">IF(Sesiones!AZ28="Sí",Sesiones!AP28,"")</f>
        <v/>
      </c>
      <c r="D28" s="8" t="str">
        <f aca="false">IF(Sesiones!AZ28="Sí",Sesiones!AQ28,"")</f>
        <v/>
      </c>
      <c r="E28" s="8" t="str">
        <f aca="false">IF(Sesiones!AZ28="Sí",Sesiones!AR28,"")</f>
        <v/>
      </c>
      <c r="F28" s="8" t="str">
        <f aca="false">IF(Sesiones!AZ28="Sí",Sesiones!AS28,"")</f>
        <v/>
      </c>
      <c r="G28" s="8" t="str">
        <f aca="false">IF(Sesiones!AZ28="Sí",Sesiones!AT28,"")</f>
        <v/>
      </c>
      <c r="H28" s="8" t="str">
        <f aca="false">IF(Sesiones!AZ28="Sí",Sesiones!AU28,"")</f>
        <v/>
      </c>
      <c r="I28" s="8" t="str">
        <f aca="false">IF(Sesiones!AZ28="Sí",Sesiones!AV28,"")</f>
        <v/>
      </c>
      <c r="J28" s="8" t="str">
        <f aca="false">IF(Sesiones!AZ28="Sí",Sesiones!BK28,"")</f>
        <v/>
      </c>
    </row>
    <row r="29" customFormat="false" ht="15" hidden="false" customHeight="false" outlineLevel="0" collapsed="false">
      <c r="A29" s="8" t="str">
        <f aca="false">Sesiones!A29</f>
        <v>SA26</v>
      </c>
      <c r="B29" s="8" t="str">
        <f aca="false">IF(Sesiones!AZ29="Sí",Sesiones!AO29,"")</f>
        <v/>
      </c>
      <c r="C29" s="8" t="str">
        <f aca="false">IF(Sesiones!AZ29="Sí",Sesiones!AP29,"")</f>
        <v/>
      </c>
      <c r="D29" s="8" t="str">
        <f aca="false">IF(Sesiones!AZ29="Sí",Sesiones!AQ29,"")</f>
        <v/>
      </c>
      <c r="E29" s="8" t="str">
        <f aca="false">IF(Sesiones!AZ29="Sí",Sesiones!AR29,"")</f>
        <v/>
      </c>
      <c r="F29" s="8" t="str">
        <f aca="false">IF(Sesiones!AZ29="Sí",Sesiones!AS29,"")</f>
        <v/>
      </c>
      <c r="G29" s="8" t="str">
        <f aca="false">IF(Sesiones!AZ29="Sí",Sesiones!AT29,"")</f>
        <v/>
      </c>
      <c r="H29" s="8" t="str">
        <f aca="false">IF(Sesiones!AZ29="Sí",Sesiones!AU29,"")</f>
        <v/>
      </c>
      <c r="I29" s="8" t="str">
        <f aca="false">IF(Sesiones!AZ29="Sí",Sesiones!AV29,"")</f>
        <v/>
      </c>
      <c r="J29" s="8" t="str">
        <f aca="false">IF(Sesiones!AZ29="Sí",Sesiones!BK29,"")</f>
        <v/>
      </c>
    </row>
    <row r="30" customFormat="false" ht="15" hidden="false" customHeight="false" outlineLevel="0" collapsed="false">
      <c r="A30" s="8" t="str">
        <f aca="false">Sesiones!A30</f>
        <v>SA27</v>
      </c>
      <c r="B30" s="8" t="str">
        <f aca="false">IF(Sesiones!AZ30="Sí",Sesiones!AO30,"")</f>
        <v/>
      </c>
      <c r="C30" s="8" t="str">
        <f aca="false">IF(Sesiones!AZ30="Sí",Sesiones!AP30,"")</f>
        <v/>
      </c>
      <c r="D30" s="8" t="str">
        <f aca="false">IF(Sesiones!AZ30="Sí",Sesiones!AQ30,"")</f>
        <v/>
      </c>
      <c r="E30" s="8" t="str">
        <f aca="false">IF(Sesiones!AZ30="Sí",Sesiones!AR30,"")</f>
        <v/>
      </c>
      <c r="F30" s="8" t="str">
        <f aca="false">IF(Sesiones!AZ30="Sí",Sesiones!AS30,"")</f>
        <v/>
      </c>
      <c r="G30" s="8" t="str">
        <f aca="false">IF(Sesiones!AZ30="Sí",Sesiones!AT30,"")</f>
        <v/>
      </c>
      <c r="H30" s="8" t="str">
        <f aca="false">IF(Sesiones!AZ30="Sí",Sesiones!AU30,"")</f>
        <v/>
      </c>
      <c r="I30" s="8" t="str">
        <f aca="false">IF(Sesiones!AZ30="Sí",Sesiones!AV30,"")</f>
        <v/>
      </c>
      <c r="J30" s="8" t="str">
        <f aca="false">IF(Sesiones!AZ30="Sí",Sesiones!BK30,"")</f>
        <v/>
      </c>
    </row>
    <row r="31" customFormat="false" ht="15" hidden="false" customHeight="false" outlineLevel="0" collapsed="false">
      <c r="A31" s="8" t="str">
        <f aca="false">Sesiones!A31</f>
        <v>SA28</v>
      </c>
      <c r="B31" s="8" t="str">
        <f aca="false">IF(Sesiones!AZ31="Sí",Sesiones!AO31,"")</f>
        <v/>
      </c>
      <c r="C31" s="8" t="str">
        <f aca="false">IF(Sesiones!AZ31="Sí",Sesiones!AP31,"")</f>
        <v/>
      </c>
      <c r="D31" s="8" t="str">
        <f aca="false">IF(Sesiones!AZ31="Sí",Sesiones!AQ31,"")</f>
        <v/>
      </c>
      <c r="E31" s="8" t="str">
        <f aca="false">IF(Sesiones!AZ31="Sí",Sesiones!AR31,"")</f>
        <v/>
      </c>
      <c r="F31" s="8" t="str">
        <f aca="false">IF(Sesiones!AZ31="Sí",Sesiones!AS31,"")</f>
        <v/>
      </c>
      <c r="G31" s="8" t="str">
        <f aca="false">IF(Sesiones!AZ31="Sí",Sesiones!AT31,"")</f>
        <v/>
      </c>
      <c r="H31" s="8" t="str">
        <f aca="false">IF(Sesiones!AZ31="Sí",Sesiones!AU31,"")</f>
        <v/>
      </c>
      <c r="I31" s="8" t="str">
        <f aca="false">IF(Sesiones!AZ31="Sí",Sesiones!AV31,"")</f>
        <v/>
      </c>
      <c r="J31" s="8" t="str">
        <f aca="false">IF(Sesiones!AZ31="Sí",Sesiones!BK31,"")</f>
        <v/>
      </c>
    </row>
    <row r="32" customFormat="false" ht="15" hidden="false" customHeight="false" outlineLevel="0" collapsed="false">
      <c r="A32" s="8" t="str">
        <f aca="false">Sesiones!A32</f>
        <v>SA29</v>
      </c>
      <c r="B32" s="8" t="str">
        <f aca="false">IF(Sesiones!AZ32="Sí",Sesiones!AO32,"")</f>
        <v/>
      </c>
      <c r="C32" s="8" t="str">
        <f aca="false">IF(Sesiones!AZ32="Sí",Sesiones!AP32,"")</f>
        <v/>
      </c>
      <c r="D32" s="8" t="str">
        <f aca="false">IF(Sesiones!AZ32="Sí",Sesiones!AQ32,"")</f>
        <v/>
      </c>
      <c r="E32" s="8" t="str">
        <f aca="false">IF(Sesiones!AZ32="Sí",Sesiones!AR32,"")</f>
        <v/>
      </c>
      <c r="F32" s="8" t="str">
        <f aca="false">IF(Sesiones!AZ32="Sí",Sesiones!AS32,"")</f>
        <v/>
      </c>
      <c r="G32" s="8" t="str">
        <f aca="false">IF(Sesiones!AZ32="Sí",Sesiones!AT32,"")</f>
        <v/>
      </c>
      <c r="H32" s="8" t="str">
        <f aca="false">IF(Sesiones!AZ32="Sí",Sesiones!AU32,"")</f>
        <v/>
      </c>
      <c r="I32" s="8" t="str">
        <f aca="false">IF(Sesiones!AZ32="Sí",Sesiones!AV32,"")</f>
        <v/>
      </c>
      <c r="J32" s="8" t="str">
        <f aca="false">IF(Sesiones!AZ32="Sí",Sesiones!BK32,"")</f>
        <v/>
      </c>
    </row>
    <row r="33" customFormat="false" ht="15" hidden="false" customHeight="false" outlineLevel="0" collapsed="false">
      <c r="A33" s="8" t="str">
        <f aca="false">Sesiones!A33</f>
        <v>SA30</v>
      </c>
      <c r="B33" s="8" t="str">
        <f aca="false">IF(Sesiones!AZ33="Sí",Sesiones!AO33,"")</f>
        <v/>
      </c>
      <c r="C33" s="8" t="str">
        <f aca="false">IF(Sesiones!AZ33="Sí",Sesiones!AP33,"")</f>
        <v/>
      </c>
      <c r="D33" s="8" t="str">
        <f aca="false">IF(Sesiones!AZ33="Sí",Sesiones!AQ33,"")</f>
        <v/>
      </c>
      <c r="E33" s="8" t="str">
        <f aca="false">IF(Sesiones!AZ33="Sí",Sesiones!AR33,"")</f>
        <v/>
      </c>
      <c r="F33" s="8" t="str">
        <f aca="false">IF(Sesiones!AZ33="Sí",Sesiones!AS33,"")</f>
        <v/>
      </c>
      <c r="G33" s="8" t="str">
        <f aca="false">IF(Sesiones!AZ33="Sí",Sesiones!AT33,"")</f>
        <v/>
      </c>
      <c r="H33" s="8" t="str">
        <f aca="false">IF(Sesiones!AZ33="Sí",Sesiones!AU33,"")</f>
        <v/>
      </c>
      <c r="I33" s="8" t="str">
        <f aca="false">IF(Sesiones!AZ33="Sí",Sesiones!AV33,"")</f>
        <v/>
      </c>
      <c r="J33" s="8" t="str">
        <f aca="false">IF(Sesiones!AZ33="Sí",Sesiones!BK33,"")</f>
        <v/>
      </c>
    </row>
    <row r="34" customFormat="false" ht="15" hidden="false" customHeight="false" outlineLevel="0" collapsed="false">
      <c r="A34" s="8" t="str">
        <f aca="false">Sesiones!A34</f>
        <v>SA31</v>
      </c>
      <c r="B34" s="8" t="str">
        <f aca="false">IF(Sesiones!AZ34="Sí",Sesiones!AO34,"")</f>
        <v/>
      </c>
      <c r="C34" s="8" t="str">
        <f aca="false">IF(Sesiones!AZ34="Sí",Sesiones!AP34,"")</f>
        <v/>
      </c>
      <c r="D34" s="8" t="str">
        <f aca="false">IF(Sesiones!AZ34="Sí",Sesiones!AQ34,"")</f>
        <v/>
      </c>
      <c r="E34" s="8" t="str">
        <f aca="false">IF(Sesiones!AZ34="Sí",Sesiones!AR34,"")</f>
        <v/>
      </c>
      <c r="F34" s="8" t="str">
        <f aca="false">IF(Sesiones!AZ34="Sí",Sesiones!AS34,"")</f>
        <v/>
      </c>
      <c r="G34" s="8" t="str">
        <f aca="false">IF(Sesiones!AZ34="Sí",Sesiones!AT34,"")</f>
        <v/>
      </c>
      <c r="H34" s="8" t="str">
        <f aca="false">IF(Sesiones!AZ34="Sí",Sesiones!AU34,"")</f>
        <v/>
      </c>
      <c r="I34" s="8" t="str">
        <f aca="false">IF(Sesiones!AZ34="Sí",Sesiones!AV34,"")</f>
        <v/>
      </c>
      <c r="J34" s="8" t="str">
        <f aca="false">IF(Sesiones!AZ34="Sí",Sesiones!BK34,"")</f>
        <v/>
      </c>
    </row>
    <row r="35" customFormat="false" ht="15" hidden="false" customHeight="false" outlineLevel="0" collapsed="false">
      <c r="A35" s="8" t="str">
        <f aca="false">Sesiones!A35</f>
        <v>SA32</v>
      </c>
      <c r="B35" s="8" t="str">
        <f aca="false">IF(Sesiones!AZ35="Sí",Sesiones!AO35,"")</f>
        <v/>
      </c>
      <c r="C35" s="8" t="str">
        <f aca="false">IF(Sesiones!AZ35="Sí",Sesiones!AP35,"")</f>
        <v/>
      </c>
      <c r="D35" s="8" t="str">
        <f aca="false">IF(Sesiones!AZ35="Sí",Sesiones!AQ35,"")</f>
        <v/>
      </c>
      <c r="E35" s="8" t="str">
        <f aca="false">IF(Sesiones!AZ35="Sí",Sesiones!AR35,"")</f>
        <v/>
      </c>
      <c r="F35" s="8" t="str">
        <f aca="false">IF(Sesiones!AZ35="Sí",Sesiones!AS35,"")</f>
        <v/>
      </c>
      <c r="G35" s="8" t="str">
        <f aca="false">IF(Sesiones!AZ35="Sí",Sesiones!AT35,"")</f>
        <v/>
      </c>
      <c r="H35" s="8" t="str">
        <f aca="false">IF(Sesiones!AZ35="Sí",Sesiones!AU35,"")</f>
        <v/>
      </c>
      <c r="I35" s="8" t="str">
        <f aca="false">IF(Sesiones!AZ35="Sí",Sesiones!AV35,"")</f>
        <v/>
      </c>
      <c r="J35" s="8" t="str">
        <f aca="false">IF(Sesiones!AZ35="Sí",Sesiones!BK35,"")</f>
        <v/>
      </c>
    </row>
    <row r="36" customFormat="false" ht="15" hidden="false" customHeight="false" outlineLevel="0" collapsed="false">
      <c r="A36" s="8" t="str">
        <f aca="false">Sesiones!A36</f>
        <v>SA33</v>
      </c>
      <c r="B36" s="8" t="str">
        <f aca="false">IF(Sesiones!AZ36="Sí",Sesiones!AO36,"")</f>
        <v/>
      </c>
      <c r="C36" s="8" t="str">
        <f aca="false">IF(Sesiones!AZ36="Sí",Sesiones!AP36,"")</f>
        <v/>
      </c>
      <c r="D36" s="8" t="str">
        <f aca="false">IF(Sesiones!AZ36="Sí",Sesiones!AQ36,"")</f>
        <v/>
      </c>
      <c r="E36" s="8" t="str">
        <f aca="false">IF(Sesiones!AZ36="Sí",Sesiones!AR36,"")</f>
        <v/>
      </c>
      <c r="F36" s="8" t="str">
        <f aca="false">IF(Sesiones!AZ36="Sí",Sesiones!AS36,"")</f>
        <v/>
      </c>
      <c r="G36" s="8" t="str">
        <f aca="false">IF(Sesiones!AZ36="Sí",Sesiones!AT36,"")</f>
        <v/>
      </c>
      <c r="H36" s="8" t="str">
        <f aca="false">IF(Sesiones!AZ36="Sí",Sesiones!AU36,"")</f>
        <v/>
      </c>
      <c r="I36" s="8" t="str">
        <f aca="false">IF(Sesiones!AZ36="Sí",Sesiones!AV36,"")</f>
        <v/>
      </c>
      <c r="J36" s="8" t="str">
        <f aca="false">IF(Sesiones!AZ36="Sí",Sesiones!BK36,"")</f>
        <v/>
      </c>
    </row>
    <row r="37" customFormat="false" ht="15" hidden="false" customHeight="false" outlineLevel="0" collapsed="false">
      <c r="A37" s="8" t="str">
        <f aca="false">Sesiones!A37</f>
        <v>SA34</v>
      </c>
      <c r="B37" s="8" t="str">
        <f aca="false">IF(Sesiones!AZ37="Sí",Sesiones!AO37,"")</f>
        <v/>
      </c>
      <c r="C37" s="8" t="str">
        <f aca="false">IF(Sesiones!AZ37="Sí",Sesiones!AP37,"")</f>
        <v/>
      </c>
      <c r="D37" s="8" t="str">
        <f aca="false">IF(Sesiones!AZ37="Sí",Sesiones!AQ37,"")</f>
        <v/>
      </c>
      <c r="E37" s="8" t="str">
        <f aca="false">IF(Sesiones!AZ37="Sí",Sesiones!AR37,"")</f>
        <v/>
      </c>
      <c r="F37" s="8" t="str">
        <f aca="false">IF(Sesiones!AZ37="Sí",Sesiones!AS37,"")</f>
        <v/>
      </c>
      <c r="G37" s="8" t="str">
        <f aca="false">IF(Sesiones!AZ37="Sí",Sesiones!AT37,"")</f>
        <v/>
      </c>
      <c r="H37" s="8" t="str">
        <f aca="false">IF(Sesiones!AZ37="Sí",Sesiones!AU37,"")</f>
        <v/>
      </c>
      <c r="I37" s="8" t="str">
        <f aca="false">IF(Sesiones!AZ37="Sí",Sesiones!AV37,"")</f>
        <v/>
      </c>
      <c r="J37" s="8" t="str">
        <f aca="false">IF(Sesiones!AZ37="Sí",Sesiones!BK37,"")</f>
        <v/>
      </c>
    </row>
    <row r="38" customFormat="false" ht="15" hidden="false" customHeight="false" outlineLevel="0" collapsed="false">
      <c r="A38" s="8" t="str">
        <f aca="false">Sesiones!A38</f>
        <v>SA35</v>
      </c>
      <c r="B38" s="8" t="str">
        <f aca="false">IF(Sesiones!AZ38="Sí",Sesiones!AO38,"")</f>
        <v/>
      </c>
      <c r="C38" s="8" t="str">
        <f aca="false">IF(Sesiones!AZ38="Sí",Sesiones!AP38,"")</f>
        <v/>
      </c>
      <c r="D38" s="8" t="str">
        <f aca="false">IF(Sesiones!AZ38="Sí",Sesiones!AQ38,"")</f>
        <v/>
      </c>
      <c r="E38" s="8" t="str">
        <f aca="false">IF(Sesiones!AZ38="Sí",Sesiones!AR38,"")</f>
        <v/>
      </c>
      <c r="F38" s="8" t="str">
        <f aca="false">IF(Sesiones!AZ38="Sí",Sesiones!AS38,"")</f>
        <v/>
      </c>
      <c r="G38" s="8" t="str">
        <f aca="false">IF(Sesiones!AZ38="Sí",Sesiones!AT38,"")</f>
        <v/>
      </c>
      <c r="H38" s="8" t="str">
        <f aca="false">IF(Sesiones!AZ38="Sí",Sesiones!AU38,"")</f>
        <v/>
      </c>
      <c r="I38" s="8" t="str">
        <f aca="false">IF(Sesiones!AZ38="Sí",Sesiones!AV38,"")</f>
        <v/>
      </c>
      <c r="J38" s="8" t="str">
        <f aca="false">IF(Sesiones!AZ38="Sí",Sesiones!BK38,"")</f>
        <v/>
      </c>
    </row>
    <row r="39" customFormat="false" ht="15" hidden="false" customHeight="false" outlineLevel="0" collapsed="false">
      <c r="A39" s="8" t="str">
        <f aca="false">Sesiones!A39</f>
        <v>SA36</v>
      </c>
      <c r="B39" s="8" t="str">
        <f aca="false">IF(Sesiones!AZ39="Sí",Sesiones!AO39,"")</f>
        <v/>
      </c>
      <c r="C39" s="8" t="str">
        <f aca="false">IF(Sesiones!AZ39="Sí",Sesiones!AP39,"")</f>
        <v/>
      </c>
      <c r="D39" s="8" t="str">
        <f aca="false">IF(Sesiones!AZ39="Sí",Sesiones!AQ39,"")</f>
        <v/>
      </c>
      <c r="E39" s="8" t="str">
        <f aca="false">IF(Sesiones!AZ39="Sí",Sesiones!AR39,"")</f>
        <v/>
      </c>
      <c r="F39" s="8" t="str">
        <f aca="false">IF(Sesiones!AZ39="Sí",Sesiones!AS39,"")</f>
        <v/>
      </c>
      <c r="G39" s="8" t="str">
        <f aca="false">IF(Sesiones!AZ39="Sí",Sesiones!AT39,"")</f>
        <v/>
      </c>
      <c r="H39" s="8" t="str">
        <f aca="false">IF(Sesiones!AZ39="Sí",Sesiones!AU39,"")</f>
        <v/>
      </c>
      <c r="I39" s="8" t="str">
        <f aca="false">IF(Sesiones!AZ39="Sí",Sesiones!AV39,"")</f>
        <v/>
      </c>
      <c r="J39" s="8" t="str">
        <f aca="false">IF(Sesiones!AZ39="Sí",Sesiones!BK39,"")</f>
        <v/>
      </c>
    </row>
    <row r="40" customFormat="false" ht="15" hidden="false" customHeight="false" outlineLevel="0" collapsed="false">
      <c r="A40" s="8" t="str">
        <f aca="false">Sesiones!A40</f>
        <v>SA37</v>
      </c>
      <c r="B40" s="8" t="str">
        <f aca="false">IF(Sesiones!AZ40="Sí",Sesiones!AO40,"")</f>
        <v/>
      </c>
      <c r="C40" s="8" t="str">
        <f aca="false">IF(Sesiones!AZ40="Sí",Sesiones!AP40,"")</f>
        <v/>
      </c>
      <c r="D40" s="8" t="str">
        <f aca="false">IF(Sesiones!AZ40="Sí",Sesiones!AQ40,"")</f>
        <v/>
      </c>
      <c r="E40" s="8" t="str">
        <f aca="false">IF(Sesiones!AZ40="Sí",Sesiones!AR40,"")</f>
        <v/>
      </c>
      <c r="F40" s="8" t="str">
        <f aca="false">IF(Sesiones!AZ40="Sí",Sesiones!AS40,"")</f>
        <v/>
      </c>
      <c r="G40" s="8" t="str">
        <f aca="false">IF(Sesiones!AZ40="Sí",Sesiones!AT40,"")</f>
        <v/>
      </c>
      <c r="H40" s="8" t="str">
        <f aca="false">IF(Sesiones!AZ40="Sí",Sesiones!AU40,"")</f>
        <v/>
      </c>
      <c r="I40" s="8" t="str">
        <f aca="false">IF(Sesiones!AZ40="Sí",Sesiones!AV40,"")</f>
        <v/>
      </c>
      <c r="J40" s="8" t="str">
        <f aca="false">IF(Sesiones!AZ40="Sí",Sesiones!BK40,"")</f>
        <v/>
      </c>
    </row>
    <row r="41" customFormat="false" ht="15" hidden="false" customHeight="false" outlineLevel="0" collapsed="false">
      <c r="A41" s="8" t="str">
        <f aca="false">Sesiones!A41</f>
        <v>SA38</v>
      </c>
      <c r="B41" s="8" t="str">
        <f aca="false">IF(Sesiones!AZ41="Sí",Sesiones!AO41,"")</f>
        <v/>
      </c>
      <c r="C41" s="8" t="str">
        <f aca="false">IF(Sesiones!AZ41="Sí",Sesiones!AP41,"")</f>
        <v/>
      </c>
      <c r="D41" s="8" t="str">
        <f aca="false">IF(Sesiones!AZ41="Sí",Sesiones!AQ41,"")</f>
        <v/>
      </c>
      <c r="E41" s="8" t="str">
        <f aca="false">IF(Sesiones!AZ41="Sí",Sesiones!AR41,"")</f>
        <v/>
      </c>
      <c r="F41" s="8" t="str">
        <f aca="false">IF(Sesiones!AZ41="Sí",Sesiones!AS41,"")</f>
        <v/>
      </c>
      <c r="G41" s="8" t="str">
        <f aca="false">IF(Sesiones!AZ41="Sí",Sesiones!AT41,"")</f>
        <v/>
      </c>
      <c r="H41" s="8" t="str">
        <f aca="false">IF(Sesiones!AZ41="Sí",Sesiones!AU41,"")</f>
        <v/>
      </c>
      <c r="I41" s="8" t="str">
        <f aca="false">IF(Sesiones!AZ41="Sí",Sesiones!AV41,"")</f>
        <v/>
      </c>
      <c r="J41" s="8" t="str">
        <f aca="false">IF(Sesiones!AZ41="Sí",Sesiones!BK41,"")</f>
        <v/>
      </c>
    </row>
    <row r="42" customFormat="false" ht="15" hidden="false" customHeight="false" outlineLevel="0" collapsed="false">
      <c r="A42" s="8" t="str">
        <f aca="false">Sesiones!A42</f>
        <v>SA39</v>
      </c>
      <c r="B42" s="8" t="str">
        <f aca="false">IF(Sesiones!AZ42="Sí",Sesiones!AO42,"")</f>
        <v/>
      </c>
      <c r="C42" s="8" t="str">
        <f aca="false">IF(Sesiones!AZ42="Sí",Sesiones!AP42,"")</f>
        <v/>
      </c>
      <c r="D42" s="8" t="str">
        <f aca="false">IF(Sesiones!AZ42="Sí",Sesiones!AQ42,"")</f>
        <v/>
      </c>
      <c r="E42" s="8" t="str">
        <f aca="false">IF(Sesiones!AZ42="Sí",Sesiones!AR42,"")</f>
        <v/>
      </c>
      <c r="F42" s="8" t="str">
        <f aca="false">IF(Sesiones!AZ42="Sí",Sesiones!AS42,"")</f>
        <v/>
      </c>
      <c r="G42" s="8" t="str">
        <f aca="false">IF(Sesiones!AZ42="Sí",Sesiones!AT42,"")</f>
        <v/>
      </c>
      <c r="H42" s="8" t="str">
        <f aca="false">IF(Sesiones!AZ42="Sí",Sesiones!AU42,"")</f>
        <v/>
      </c>
      <c r="I42" s="8" t="str">
        <f aca="false">IF(Sesiones!AZ42="Sí",Sesiones!AV42,"")</f>
        <v/>
      </c>
      <c r="J42" s="8" t="str">
        <f aca="false">IF(Sesiones!AZ42="Sí",Sesiones!BK42,"")</f>
        <v/>
      </c>
    </row>
    <row r="43" customFormat="false" ht="15" hidden="false" customHeight="false" outlineLevel="0" collapsed="false">
      <c r="A43" s="8" t="str">
        <f aca="false">Sesiones!A43</f>
        <v>SA40</v>
      </c>
      <c r="B43" s="8" t="str">
        <f aca="false">IF(Sesiones!AZ43="Sí",Sesiones!AO43,"")</f>
        <v/>
      </c>
      <c r="C43" s="8" t="str">
        <f aca="false">IF(Sesiones!AZ43="Sí",Sesiones!AP43,"")</f>
        <v/>
      </c>
      <c r="D43" s="8" t="str">
        <f aca="false">IF(Sesiones!AZ43="Sí",Sesiones!AQ43,"")</f>
        <v/>
      </c>
      <c r="E43" s="8" t="str">
        <f aca="false">IF(Sesiones!AZ43="Sí",Sesiones!AR43,"")</f>
        <v/>
      </c>
      <c r="F43" s="8" t="str">
        <f aca="false">IF(Sesiones!AZ43="Sí",Sesiones!AS43,"")</f>
        <v/>
      </c>
      <c r="G43" s="8" t="str">
        <f aca="false">IF(Sesiones!AZ43="Sí",Sesiones!AT43,"")</f>
        <v/>
      </c>
      <c r="H43" s="8" t="str">
        <f aca="false">IF(Sesiones!AZ43="Sí",Sesiones!AU43,"")</f>
        <v/>
      </c>
      <c r="I43" s="8" t="str">
        <f aca="false">IF(Sesiones!AZ43="Sí",Sesiones!AV43,"")</f>
        <v/>
      </c>
      <c r="J43" s="8" t="str">
        <f aca="false">IF(Sesiones!AZ43="Sí",Sesiones!BK43,"")</f>
        <v/>
      </c>
    </row>
    <row r="44" customFormat="false" ht="15" hidden="false" customHeight="false" outlineLevel="0" collapsed="false">
      <c r="A44" s="8" t="str">
        <f aca="false">Sesiones!A44</f>
        <v>SA41</v>
      </c>
      <c r="B44" s="8" t="str">
        <f aca="false">IF(Sesiones!AZ44="Sí",Sesiones!AO44,"")</f>
        <v/>
      </c>
      <c r="C44" s="8" t="str">
        <f aca="false">IF(Sesiones!AZ44="Sí",Sesiones!AP44,"")</f>
        <v/>
      </c>
      <c r="D44" s="8" t="str">
        <f aca="false">IF(Sesiones!AZ44="Sí",Sesiones!AQ44,"")</f>
        <v/>
      </c>
      <c r="E44" s="8" t="str">
        <f aca="false">IF(Sesiones!AZ44="Sí",Sesiones!AR44,"")</f>
        <v/>
      </c>
      <c r="F44" s="8" t="str">
        <f aca="false">IF(Sesiones!AZ44="Sí",Sesiones!AS44,"")</f>
        <v/>
      </c>
      <c r="G44" s="8" t="str">
        <f aca="false">IF(Sesiones!AZ44="Sí",Sesiones!AT44,"")</f>
        <v/>
      </c>
      <c r="H44" s="8" t="str">
        <f aca="false">IF(Sesiones!AZ44="Sí",Sesiones!AU44,"")</f>
        <v/>
      </c>
      <c r="I44" s="8" t="str">
        <f aca="false">IF(Sesiones!AZ44="Sí",Sesiones!AV44,"")</f>
        <v/>
      </c>
      <c r="J44" s="8" t="str">
        <f aca="false">IF(Sesiones!AZ44="Sí",Sesiones!BK44,"")</f>
        <v/>
      </c>
    </row>
    <row r="45" customFormat="false" ht="15" hidden="false" customHeight="false" outlineLevel="0" collapsed="false">
      <c r="A45" s="8" t="str">
        <f aca="false">Sesiones!A45</f>
        <v>SA42</v>
      </c>
      <c r="B45" s="8" t="str">
        <f aca="false">IF(Sesiones!AZ45="Sí",Sesiones!AO45,"")</f>
        <v/>
      </c>
      <c r="C45" s="8" t="str">
        <f aca="false">IF(Sesiones!AZ45="Sí",Sesiones!AP45,"")</f>
        <v/>
      </c>
      <c r="D45" s="8" t="str">
        <f aca="false">IF(Sesiones!AZ45="Sí",Sesiones!AQ45,"")</f>
        <v/>
      </c>
      <c r="E45" s="8" t="str">
        <f aca="false">IF(Sesiones!AZ45="Sí",Sesiones!AR45,"")</f>
        <v/>
      </c>
      <c r="F45" s="8" t="str">
        <f aca="false">IF(Sesiones!AZ45="Sí",Sesiones!AS45,"")</f>
        <v/>
      </c>
      <c r="G45" s="8" t="str">
        <f aca="false">IF(Sesiones!AZ45="Sí",Sesiones!AT45,"")</f>
        <v/>
      </c>
      <c r="H45" s="8" t="str">
        <f aca="false">IF(Sesiones!AZ45="Sí",Sesiones!AU45,"")</f>
        <v/>
      </c>
      <c r="I45" s="8" t="str">
        <f aca="false">IF(Sesiones!AZ45="Sí",Sesiones!AV45,"")</f>
        <v/>
      </c>
      <c r="J45" s="8" t="str">
        <f aca="false">IF(Sesiones!AZ45="Sí",Sesiones!BK45,"")</f>
        <v/>
      </c>
    </row>
    <row r="46" customFormat="false" ht="15" hidden="false" customHeight="false" outlineLevel="0" collapsed="false">
      <c r="A46" s="8" t="str">
        <f aca="false">Sesiones!A46</f>
        <v>SA43</v>
      </c>
      <c r="B46" s="8" t="str">
        <f aca="false">IF(Sesiones!AZ46="Sí",Sesiones!AO46,"")</f>
        <v/>
      </c>
      <c r="C46" s="8" t="str">
        <f aca="false">IF(Sesiones!AZ46="Sí",Sesiones!AP46,"")</f>
        <v/>
      </c>
      <c r="D46" s="8" t="str">
        <f aca="false">IF(Sesiones!AZ46="Sí",Sesiones!AQ46,"")</f>
        <v/>
      </c>
      <c r="E46" s="8" t="str">
        <f aca="false">IF(Sesiones!AZ46="Sí",Sesiones!AR46,"")</f>
        <v/>
      </c>
      <c r="F46" s="8" t="str">
        <f aca="false">IF(Sesiones!AZ46="Sí",Sesiones!AS46,"")</f>
        <v/>
      </c>
      <c r="G46" s="8" t="str">
        <f aca="false">IF(Sesiones!AZ46="Sí",Sesiones!AT46,"")</f>
        <v/>
      </c>
      <c r="H46" s="8" t="str">
        <f aca="false">IF(Sesiones!AZ46="Sí",Sesiones!AU46,"")</f>
        <v/>
      </c>
      <c r="I46" s="8" t="str">
        <f aca="false">IF(Sesiones!AZ46="Sí",Sesiones!AV46,"")</f>
        <v/>
      </c>
      <c r="J46" s="8" t="str">
        <f aca="false">IF(Sesiones!AZ46="Sí",Sesiones!BK46,"")</f>
        <v/>
      </c>
    </row>
    <row r="47" customFormat="false" ht="15" hidden="false" customHeight="false" outlineLevel="0" collapsed="false">
      <c r="A47" s="8" t="str">
        <f aca="false">Sesiones!A47</f>
        <v>SA44</v>
      </c>
      <c r="B47" s="8" t="str">
        <f aca="false">IF(Sesiones!AZ47="Sí",Sesiones!AO47,"")</f>
        <v/>
      </c>
      <c r="C47" s="8" t="str">
        <f aca="false">IF(Sesiones!AZ47="Sí",Sesiones!AP47,"")</f>
        <v/>
      </c>
      <c r="D47" s="8" t="str">
        <f aca="false">IF(Sesiones!AZ47="Sí",Sesiones!AQ47,"")</f>
        <v/>
      </c>
      <c r="E47" s="8" t="str">
        <f aca="false">IF(Sesiones!AZ47="Sí",Sesiones!AR47,"")</f>
        <v/>
      </c>
      <c r="F47" s="8" t="str">
        <f aca="false">IF(Sesiones!AZ47="Sí",Sesiones!AS47,"")</f>
        <v/>
      </c>
      <c r="G47" s="8" t="str">
        <f aca="false">IF(Sesiones!AZ47="Sí",Sesiones!AT47,"")</f>
        <v/>
      </c>
      <c r="H47" s="8" t="str">
        <f aca="false">IF(Sesiones!AZ47="Sí",Sesiones!AU47,"")</f>
        <v/>
      </c>
      <c r="I47" s="8" t="str">
        <f aca="false">IF(Sesiones!AZ47="Sí",Sesiones!AV47,"")</f>
        <v/>
      </c>
      <c r="J47" s="8" t="str">
        <f aca="false">IF(Sesiones!AZ47="Sí",Sesiones!BK47,"")</f>
        <v/>
      </c>
    </row>
    <row r="48" customFormat="false" ht="15" hidden="false" customHeight="false" outlineLevel="0" collapsed="false">
      <c r="A48" s="8" t="str">
        <f aca="false">Sesiones!A48</f>
        <v>SA45</v>
      </c>
      <c r="B48" s="8" t="str">
        <f aca="false">IF(Sesiones!AZ48="Sí",Sesiones!AO48,"")</f>
        <v/>
      </c>
      <c r="C48" s="8" t="str">
        <f aca="false">IF(Sesiones!AZ48="Sí",Sesiones!AP48,"")</f>
        <v/>
      </c>
      <c r="D48" s="8" t="str">
        <f aca="false">IF(Sesiones!AZ48="Sí",Sesiones!AQ48,"")</f>
        <v/>
      </c>
      <c r="E48" s="8" t="str">
        <f aca="false">IF(Sesiones!AZ48="Sí",Sesiones!AR48,"")</f>
        <v/>
      </c>
      <c r="F48" s="8" t="str">
        <f aca="false">IF(Sesiones!AZ48="Sí",Sesiones!AS48,"")</f>
        <v/>
      </c>
      <c r="G48" s="8" t="str">
        <f aca="false">IF(Sesiones!AZ48="Sí",Sesiones!AT48,"")</f>
        <v/>
      </c>
      <c r="H48" s="8" t="str">
        <f aca="false">IF(Sesiones!AZ48="Sí",Sesiones!AU48,"")</f>
        <v/>
      </c>
      <c r="I48" s="8" t="str">
        <f aca="false">IF(Sesiones!AZ48="Sí",Sesiones!AV48,"")</f>
        <v/>
      </c>
      <c r="J48" s="8" t="str">
        <f aca="false">IF(Sesiones!AZ48="Sí",Sesiones!BK48,"")</f>
        <v/>
      </c>
    </row>
    <row r="49" customFormat="false" ht="15" hidden="false" customHeight="false" outlineLevel="0" collapsed="false">
      <c r="A49" s="8" t="str">
        <f aca="false">Sesiones!A49</f>
        <v>SA46</v>
      </c>
      <c r="B49" s="8" t="str">
        <f aca="false">IF(Sesiones!AZ49="Sí",Sesiones!AO49,"")</f>
        <v/>
      </c>
      <c r="C49" s="8" t="str">
        <f aca="false">IF(Sesiones!AZ49="Sí",Sesiones!AP49,"")</f>
        <v/>
      </c>
      <c r="D49" s="8" t="str">
        <f aca="false">IF(Sesiones!AZ49="Sí",Sesiones!AQ49,"")</f>
        <v/>
      </c>
      <c r="E49" s="8" t="str">
        <f aca="false">IF(Sesiones!AZ49="Sí",Sesiones!AR49,"")</f>
        <v/>
      </c>
      <c r="F49" s="8" t="str">
        <f aca="false">IF(Sesiones!AZ49="Sí",Sesiones!AS49,"")</f>
        <v/>
      </c>
      <c r="G49" s="8" t="str">
        <f aca="false">IF(Sesiones!AZ49="Sí",Sesiones!AT49,"")</f>
        <v/>
      </c>
      <c r="H49" s="8" t="str">
        <f aca="false">IF(Sesiones!AZ49="Sí",Sesiones!AU49,"")</f>
        <v/>
      </c>
      <c r="I49" s="8" t="str">
        <f aca="false">IF(Sesiones!AZ49="Sí",Sesiones!AV49,"")</f>
        <v/>
      </c>
      <c r="J49" s="8" t="str">
        <f aca="false">IF(Sesiones!AZ49="Sí",Sesiones!BK49,"")</f>
        <v/>
      </c>
    </row>
    <row r="50" customFormat="false" ht="15" hidden="false" customHeight="false" outlineLevel="0" collapsed="false">
      <c r="A50" s="8" t="str">
        <f aca="false">Sesiones!A50</f>
        <v>SA47</v>
      </c>
      <c r="B50" s="8" t="str">
        <f aca="false">IF(Sesiones!AZ50="Sí",Sesiones!AO50,"")</f>
        <v/>
      </c>
      <c r="C50" s="8" t="str">
        <f aca="false">IF(Sesiones!AZ50="Sí",Sesiones!AP50,"")</f>
        <v/>
      </c>
      <c r="D50" s="8" t="str">
        <f aca="false">IF(Sesiones!AZ50="Sí",Sesiones!AQ50,"")</f>
        <v/>
      </c>
      <c r="E50" s="8" t="str">
        <f aca="false">IF(Sesiones!AZ50="Sí",Sesiones!AR50,"")</f>
        <v/>
      </c>
      <c r="F50" s="8" t="str">
        <f aca="false">IF(Sesiones!AZ50="Sí",Sesiones!AS50,"")</f>
        <v/>
      </c>
      <c r="G50" s="8" t="str">
        <f aca="false">IF(Sesiones!AZ50="Sí",Sesiones!AT50,"")</f>
        <v/>
      </c>
      <c r="H50" s="8" t="str">
        <f aca="false">IF(Sesiones!AZ50="Sí",Sesiones!AU50,"")</f>
        <v/>
      </c>
      <c r="I50" s="8" t="str">
        <f aca="false">IF(Sesiones!AZ50="Sí",Sesiones!AV50,"")</f>
        <v/>
      </c>
      <c r="J50" s="8" t="str">
        <f aca="false">IF(Sesiones!AZ50="Sí",Sesiones!BK50,"")</f>
        <v/>
      </c>
    </row>
    <row r="51" customFormat="false" ht="15" hidden="false" customHeight="false" outlineLevel="0" collapsed="false">
      <c r="A51" s="8" t="str">
        <f aca="false">Sesiones!A51</f>
        <v>SA48</v>
      </c>
      <c r="B51" s="8" t="str">
        <f aca="false">IF(Sesiones!AZ51="Sí",Sesiones!AO51,"")</f>
        <v/>
      </c>
      <c r="C51" s="8" t="str">
        <f aca="false">IF(Sesiones!AZ51="Sí",Sesiones!AP51,"")</f>
        <v/>
      </c>
      <c r="D51" s="8" t="str">
        <f aca="false">IF(Sesiones!AZ51="Sí",Sesiones!AQ51,"")</f>
        <v/>
      </c>
      <c r="E51" s="8" t="str">
        <f aca="false">IF(Sesiones!AZ51="Sí",Sesiones!AR51,"")</f>
        <v/>
      </c>
      <c r="F51" s="8" t="str">
        <f aca="false">IF(Sesiones!AZ51="Sí",Sesiones!AS51,"")</f>
        <v/>
      </c>
      <c r="G51" s="8" t="str">
        <f aca="false">IF(Sesiones!AZ51="Sí",Sesiones!AT51,"")</f>
        <v/>
      </c>
      <c r="H51" s="8" t="str">
        <f aca="false">IF(Sesiones!AZ51="Sí",Sesiones!AU51,"")</f>
        <v/>
      </c>
      <c r="I51" s="8" t="str">
        <f aca="false">IF(Sesiones!AZ51="Sí",Sesiones!AV51,"")</f>
        <v/>
      </c>
      <c r="J51" s="8" t="str">
        <f aca="false">IF(Sesiones!AZ51="Sí",Sesiones!BK51,"")</f>
        <v/>
      </c>
    </row>
    <row r="52" customFormat="false" ht="15" hidden="false" customHeight="false" outlineLevel="0" collapsed="false">
      <c r="A52" s="8" t="str">
        <f aca="false">Sesiones!A52</f>
        <v>SA49</v>
      </c>
      <c r="B52" s="8" t="str">
        <f aca="false">IF(Sesiones!AZ52="Sí",Sesiones!AO52,"")</f>
        <v/>
      </c>
      <c r="C52" s="8" t="str">
        <f aca="false">IF(Sesiones!AZ52="Sí",Sesiones!AP52,"")</f>
        <v/>
      </c>
      <c r="D52" s="8" t="str">
        <f aca="false">IF(Sesiones!AZ52="Sí",Sesiones!AQ52,"")</f>
        <v/>
      </c>
      <c r="E52" s="8" t="str">
        <f aca="false">IF(Sesiones!AZ52="Sí",Sesiones!AR52,"")</f>
        <v/>
      </c>
      <c r="F52" s="8" t="str">
        <f aca="false">IF(Sesiones!AZ52="Sí",Sesiones!AS52,"")</f>
        <v/>
      </c>
      <c r="G52" s="8" t="str">
        <f aca="false">IF(Sesiones!AZ52="Sí",Sesiones!AT52,"")</f>
        <v/>
      </c>
      <c r="H52" s="8" t="str">
        <f aca="false">IF(Sesiones!AZ52="Sí",Sesiones!AU52,"")</f>
        <v/>
      </c>
      <c r="I52" s="8" t="str">
        <f aca="false">IF(Sesiones!AZ52="Sí",Sesiones!AV52,"")</f>
        <v/>
      </c>
      <c r="J52" s="8" t="str">
        <f aca="false">IF(Sesiones!AZ52="Sí",Sesiones!BK52,"")</f>
        <v/>
      </c>
    </row>
    <row r="53" customFormat="false" ht="15" hidden="false" customHeight="false" outlineLevel="0" collapsed="false">
      <c r="A53" s="8" t="str">
        <f aca="false">Sesiones!A53</f>
        <v>SA50</v>
      </c>
      <c r="B53" s="8" t="str">
        <f aca="false">IF(Sesiones!AZ53="Sí",Sesiones!AO53,"")</f>
        <v/>
      </c>
      <c r="C53" s="8" t="str">
        <f aca="false">IF(Sesiones!AZ53="Sí",Sesiones!AP53,"")</f>
        <v/>
      </c>
      <c r="D53" s="8" t="str">
        <f aca="false">IF(Sesiones!AZ53="Sí",Sesiones!AQ53,"")</f>
        <v/>
      </c>
      <c r="E53" s="8" t="str">
        <f aca="false">IF(Sesiones!AZ53="Sí",Sesiones!AR53,"")</f>
        <v/>
      </c>
      <c r="F53" s="8" t="str">
        <f aca="false">IF(Sesiones!AZ53="Sí",Sesiones!AS53,"")</f>
        <v/>
      </c>
      <c r="G53" s="8" t="str">
        <f aca="false">IF(Sesiones!AZ53="Sí",Sesiones!AT53,"")</f>
        <v/>
      </c>
      <c r="H53" s="8" t="str">
        <f aca="false">IF(Sesiones!AZ53="Sí",Sesiones!AU53,"")</f>
        <v/>
      </c>
      <c r="I53" s="8" t="str">
        <f aca="false">IF(Sesiones!AZ53="Sí",Sesiones!AV53,"")</f>
        <v/>
      </c>
      <c r="J53" s="8" t="str">
        <f aca="false">IF(Sesiones!AZ53="Sí",Sesiones!BK53,"")</f>
        <v/>
      </c>
    </row>
    <row r="54" customFormat="false" ht="15" hidden="false" customHeight="false" outlineLevel="0" collapsed="false">
      <c r="A54" s="8" t="str">
        <f aca="false">Sesiones!A54</f>
        <v>SA51</v>
      </c>
      <c r="B54" s="8" t="str">
        <f aca="false">IF(Sesiones!AZ54="Sí",Sesiones!AO54,"")</f>
        <v/>
      </c>
      <c r="C54" s="8" t="str">
        <f aca="false">IF(Sesiones!AZ54="Sí",Sesiones!AP54,"")</f>
        <v/>
      </c>
      <c r="D54" s="8" t="str">
        <f aca="false">IF(Sesiones!AZ54="Sí",Sesiones!AQ54,"")</f>
        <v/>
      </c>
      <c r="E54" s="8" t="str">
        <f aca="false">IF(Sesiones!AZ54="Sí",Sesiones!AR54,"")</f>
        <v/>
      </c>
      <c r="F54" s="8" t="str">
        <f aca="false">IF(Sesiones!AZ54="Sí",Sesiones!AS54,"")</f>
        <v/>
      </c>
      <c r="G54" s="8" t="str">
        <f aca="false">IF(Sesiones!AZ54="Sí",Sesiones!AT54,"")</f>
        <v/>
      </c>
      <c r="H54" s="8" t="str">
        <f aca="false">IF(Sesiones!AZ54="Sí",Sesiones!AU54,"")</f>
        <v/>
      </c>
      <c r="I54" s="8" t="str">
        <f aca="false">IF(Sesiones!AZ54="Sí",Sesiones!AV54,"")</f>
        <v/>
      </c>
      <c r="J54" s="8" t="str">
        <f aca="false">IF(Sesiones!AZ54="Sí",Sesiones!BK54,"")</f>
        <v/>
      </c>
    </row>
    <row r="55" customFormat="false" ht="15" hidden="false" customHeight="false" outlineLevel="0" collapsed="false">
      <c r="A55" s="8" t="str">
        <f aca="false">Sesiones!A55</f>
        <v>SA52</v>
      </c>
      <c r="B55" s="8" t="str">
        <f aca="false">IF(Sesiones!AZ55="Sí",Sesiones!AO55,"")</f>
        <v/>
      </c>
      <c r="C55" s="8" t="str">
        <f aca="false">IF(Sesiones!AZ55="Sí",Sesiones!AP55,"")</f>
        <v/>
      </c>
      <c r="D55" s="8" t="str">
        <f aca="false">IF(Sesiones!AZ55="Sí",Sesiones!AQ55,"")</f>
        <v/>
      </c>
      <c r="E55" s="8" t="str">
        <f aca="false">IF(Sesiones!AZ55="Sí",Sesiones!AR55,"")</f>
        <v/>
      </c>
      <c r="F55" s="8" t="str">
        <f aca="false">IF(Sesiones!AZ55="Sí",Sesiones!AS55,"")</f>
        <v/>
      </c>
      <c r="G55" s="8" t="str">
        <f aca="false">IF(Sesiones!AZ55="Sí",Sesiones!AT55,"")</f>
        <v/>
      </c>
      <c r="H55" s="8" t="str">
        <f aca="false">IF(Sesiones!AZ55="Sí",Sesiones!AU55,"")</f>
        <v/>
      </c>
      <c r="I55" s="8" t="str">
        <f aca="false">IF(Sesiones!AZ55="Sí",Sesiones!AV55,"")</f>
        <v/>
      </c>
      <c r="J55" s="8" t="str">
        <f aca="false">IF(Sesiones!AZ55="Sí",Sesiones!BK55,"")</f>
        <v/>
      </c>
    </row>
    <row r="56" customFormat="false" ht="15" hidden="false" customHeight="false" outlineLevel="0" collapsed="false">
      <c r="A56" s="8" t="str">
        <f aca="false">Sesiones!A56</f>
        <v>SA53</v>
      </c>
      <c r="B56" s="8" t="str">
        <f aca="false">IF(Sesiones!AZ56="Sí",Sesiones!AO56,"")</f>
        <v/>
      </c>
      <c r="C56" s="8" t="str">
        <f aca="false">IF(Sesiones!AZ56="Sí",Sesiones!AP56,"")</f>
        <v/>
      </c>
      <c r="D56" s="8" t="str">
        <f aca="false">IF(Sesiones!AZ56="Sí",Sesiones!AQ56,"")</f>
        <v/>
      </c>
      <c r="E56" s="8" t="str">
        <f aca="false">IF(Sesiones!AZ56="Sí",Sesiones!AR56,"")</f>
        <v/>
      </c>
      <c r="F56" s="8" t="str">
        <f aca="false">IF(Sesiones!AZ56="Sí",Sesiones!AS56,"")</f>
        <v/>
      </c>
      <c r="G56" s="8" t="str">
        <f aca="false">IF(Sesiones!AZ56="Sí",Sesiones!AT56,"")</f>
        <v/>
      </c>
      <c r="H56" s="8" t="str">
        <f aca="false">IF(Sesiones!AZ56="Sí",Sesiones!AU56,"")</f>
        <v/>
      </c>
      <c r="I56" s="8" t="str">
        <f aca="false">IF(Sesiones!AZ56="Sí",Sesiones!AV56,"")</f>
        <v/>
      </c>
      <c r="J56" s="8" t="str">
        <f aca="false">IF(Sesiones!AZ56="Sí",Sesiones!BK56,"")</f>
        <v/>
      </c>
    </row>
    <row r="57" customFormat="false" ht="15" hidden="false" customHeight="false" outlineLevel="0" collapsed="false">
      <c r="A57" s="8" t="str">
        <f aca="false">Sesiones!A57</f>
        <v>SA54</v>
      </c>
      <c r="B57" s="8" t="str">
        <f aca="false">IF(Sesiones!AZ57="Sí",Sesiones!AO57,"")</f>
        <v/>
      </c>
      <c r="C57" s="8" t="str">
        <f aca="false">IF(Sesiones!AZ57="Sí",Sesiones!AP57,"")</f>
        <v/>
      </c>
      <c r="D57" s="8" t="str">
        <f aca="false">IF(Sesiones!AZ57="Sí",Sesiones!AQ57,"")</f>
        <v/>
      </c>
      <c r="E57" s="8" t="str">
        <f aca="false">IF(Sesiones!AZ57="Sí",Sesiones!AR57,"")</f>
        <v/>
      </c>
      <c r="F57" s="8" t="str">
        <f aca="false">IF(Sesiones!AZ57="Sí",Sesiones!AS57,"")</f>
        <v/>
      </c>
      <c r="G57" s="8" t="str">
        <f aca="false">IF(Sesiones!AZ57="Sí",Sesiones!AT57,"")</f>
        <v/>
      </c>
      <c r="H57" s="8" t="str">
        <f aca="false">IF(Sesiones!AZ57="Sí",Sesiones!AU57,"")</f>
        <v/>
      </c>
      <c r="I57" s="8" t="str">
        <f aca="false">IF(Sesiones!AZ57="Sí",Sesiones!AV57,"")</f>
        <v/>
      </c>
      <c r="J57" s="8" t="str">
        <f aca="false">IF(Sesiones!AZ57="Sí",Sesiones!BK57,"")</f>
        <v/>
      </c>
    </row>
    <row r="58" customFormat="false" ht="15" hidden="false" customHeight="false" outlineLevel="0" collapsed="false">
      <c r="A58" s="8" t="str">
        <f aca="false">Sesiones!A58</f>
        <v>SA55</v>
      </c>
      <c r="B58" s="8" t="str">
        <f aca="false">IF(Sesiones!AZ58="Sí",Sesiones!AO58,"")</f>
        <v/>
      </c>
      <c r="C58" s="8" t="str">
        <f aca="false">IF(Sesiones!AZ58="Sí",Sesiones!AP58,"")</f>
        <v/>
      </c>
      <c r="D58" s="8" t="str">
        <f aca="false">IF(Sesiones!AZ58="Sí",Sesiones!AQ58,"")</f>
        <v/>
      </c>
      <c r="E58" s="8" t="str">
        <f aca="false">IF(Sesiones!AZ58="Sí",Sesiones!AR58,"")</f>
        <v/>
      </c>
      <c r="F58" s="8" t="str">
        <f aca="false">IF(Sesiones!AZ58="Sí",Sesiones!AS58,"")</f>
        <v/>
      </c>
      <c r="G58" s="8" t="str">
        <f aca="false">IF(Sesiones!AZ58="Sí",Sesiones!AT58,"")</f>
        <v/>
      </c>
      <c r="H58" s="8" t="str">
        <f aca="false">IF(Sesiones!AZ58="Sí",Sesiones!AU58,"")</f>
        <v/>
      </c>
      <c r="I58" s="8" t="str">
        <f aca="false">IF(Sesiones!AZ58="Sí",Sesiones!AV58,"")</f>
        <v/>
      </c>
      <c r="J58" s="8" t="str">
        <f aca="false">IF(Sesiones!AZ58="Sí",Sesiones!BK58,"")</f>
        <v/>
      </c>
    </row>
    <row r="59" customFormat="false" ht="15" hidden="false" customHeight="false" outlineLevel="0" collapsed="false">
      <c r="A59" s="8" t="str">
        <f aca="false">Sesiones!A59</f>
        <v>SA56</v>
      </c>
      <c r="B59" s="8" t="str">
        <f aca="false">IF(Sesiones!AZ59="Sí",Sesiones!AO59,"")</f>
        <v/>
      </c>
      <c r="C59" s="8" t="str">
        <f aca="false">IF(Sesiones!AZ59="Sí",Sesiones!AP59,"")</f>
        <v/>
      </c>
      <c r="D59" s="8" t="str">
        <f aca="false">IF(Sesiones!AZ59="Sí",Sesiones!AQ59,"")</f>
        <v/>
      </c>
      <c r="E59" s="8" t="str">
        <f aca="false">IF(Sesiones!AZ59="Sí",Sesiones!AR59,"")</f>
        <v/>
      </c>
      <c r="F59" s="8" t="str">
        <f aca="false">IF(Sesiones!AZ59="Sí",Sesiones!AS59,"")</f>
        <v/>
      </c>
      <c r="G59" s="8" t="str">
        <f aca="false">IF(Sesiones!AZ59="Sí",Sesiones!AT59,"")</f>
        <v/>
      </c>
      <c r="H59" s="8" t="str">
        <f aca="false">IF(Sesiones!AZ59="Sí",Sesiones!AU59,"")</f>
        <v/>
      </c>
      <c r="I59" s="8" t="str">
        <f aca="false">IF(Sesiones!AZ59="Sí",Sesiones!AV59,"")</f>
        <v/>
      </c>
      <c r="J59" s="8" t="str">
        <f aca="false">IF(Sesiones!AZ59="Sí",Sesiones!BK59,"")</f>
        <v/>
      </c>
    </row>
    <row r="60" customFormat="false" ht="15" hidden="false" customHeight="false" outlineLevel="0" collapsed="false">
      <c r="A60" s="8" t="str">
        <f aca="false">Sesiones!A60</f>
        <v>SA57</v>
      </c>
      <c r="B60" s="8" t="str">
        <f aca="false">IF(Sesiones!AZ60="Sí",Sesiones!AO60,"")</f>
        <v/>
      </c>
      <c r="C60" s="8" t="str">
        <f aca="false">IF(Sesiones!AZ60="Sí",Sesiones!AP60,"")</f>
        <v/>
      </c>
      <c r="D60" s="8" t="str">
        <f aca="false">IF(Sesiones!AZ60="Sí",Sesiones!AQ60,"")</f>
        <v/>
      </c>
      <c r="E60" s="8" t="str">
        <f aca="false">IF(Sesiones!AZ60="Sí",Sesiones!AR60,"")</f>
        <v/>
      </c>
      <c r="F60" s="8" t="str">
        <f aca="false">IF(Sesiones!AZ60="Sí",Sesiones!AS60,"")</f>
        <v/>
      </c>
      <c r="G60" s="8" t="str">
        <f aca="false">IF(Sesiones!AZ60="Sí",Sesiones!AT60,"")</f>
        <v/>
      </c>
      <c r="H60" s="8" t="str">
        <f aca="false">IF(Sesiones!AZ60="Sí",Sesiones!AU60,"")</f>
        <v/>
      </c>
      <c r="I60" s="8" t="str">
        <f aca="false">IF(Sesiones!AZ60="Sí",Sesiones!AV60,"")</f>
        <v/>
      </c>
      <c r="J60" s="8" t="str">
        <f aca="false">IF(Sesiones!AZ60="Sí",Sesiones!BK60,"")</f>
        <v/>
      </c>
    </row>
    <row r="61" customFormat="false" ht="15" hidden="false" customHeight="false" outlineLevel="0" collapsed="false">
      <c r="A61" s="8" t="str">
        <f aca="false">Sesiones!A61</f>
        <v>SA58</v>
      </c>
      <c r="B61" s="8" t="str">
        <f aca="false">IF(Sesiones!AZ61="Sí",Sesiones!AO61,"")</f>
        <v/>
      </c>
      <c r="C61" s="8" t="str">
        <f aca="false">IF(Sesiones!AZ61="Sí",Sesiones!AP61,"")</f>
        <v/>
      </c>
      <c r="D61" s="8" t="str">
        <f aca="false">IF(Sesiones!AZ61="Sí",Sesiones!AQ61,"")</f>
        <v/>
      </c>
      <c r="E61" s="8" t="str">
        <f aca="false">IF(Sesiones!AZ61="Sí",Sesiones!AR61,"")</f>
        <v/>
      </c>
      <c r="F61" s="8" t="str">
        <f aca="false">IF(Sesiones!AZ61="Sí",Sesiones!AS61,"")</f>
        <v/>
      </c>
      <c r="G61" s="8" t="str">
        <f aca="false">IF(Sesiones!AZ61="Sí",Sesiones!AT61,"")</f>
        <v/>
      </c>
      <c r="H61" s="8" t="str">
        <f aca="false">IF(Sesiones!AZ61="Sí",Sesiones!AU61,"")</f>
        <v/>
      </c>
      <c r="I61" s="8" t="str">
        <f aca="false">IF(Sesiones!AZ61="Sí",Sesiones!AV61,"")</f>
        <v/>
      </c>
      <c r="J61" s="8" t="str">
        <f aca="false">IF(Sesiones!AZ61="Sí",Sesiones!BK61,"")</f>
        <v/>
      </c>
    </row>
    <row r="62" customFormat="false" ht="15" hidden="false" customHeight="false" outlineLevel="0" collapsed="false">
      <c r="A62" s="8" t="str">
        <f aca="false">Sesiones!A62</f>
        <v>SA59</v>
      </c>
      <c r="B62" s="8" t="str">
        <f aca="false">IF(Sesiones!AZ62="Sí",Sesiones!AO62,"")</f>
        <v/>
      </c>
      <c r="C62" s="8" t="str">
        <f aca="false">IF(Sesiones!AZ62="Sí",Sesiones!AP62,"")</f>
        <v/>
      </c>
      <c r="D62" s="8" t="str">
        <f aca="false">IF(Sesiones!AZ62="Sí",Sesiones!AQ62,"")</f>
        <v/>
      </c>
      <c r="E62" s="8" t="str">
        <f aca="false">IF(Sesiones!AZ62="Sí",Sesiones!AR62,"")</f>
        <v/>
      </c>
      <c r="F62" s="8" t="str">
        <f aca="false">IF(Sesiones!AZ62="Sí",Sesiones!AS62,"")</f>
        <v/>
      </c>
      <c r="G62" s="8" t="str">
        <f aca="false">IF(Sesiones!AZ62="Sí",Sesiones!AT62,"")</f>
        <v/>
      </c>
      <c r="H62" s="8" t="str">
        <f aca="false">IF(Sesiones!AZ62="Sí",Sesiones!AU62,"")</f>
        <v/>
      </c>
      <c r="I62" s="8" t="str">
        <f aca="false">IF(Sesiones!AZ62="Sí",Sesiones!AV62,"")</f>
        <v/>
      </c>
      <c r="J62" s="8" t="str">
        <f aca="false">IF(Sesiones!AZ62="Sí",Sesiones!BK62,"")</f>
        <v/>
      </c>
    </row>
    <row r="63" customFormat="false" ht="15" hidden="false" customHeight="false" outlineLevel="0" collapsed="false">
      <c r="A63" s="8" t="str">
        <f aca="false">Sesiones!A63</f>
        <v>SA60</v>
      </c>
      <c r="B63" s="8" t="str">
        <f aca="false">IF(Sesiones!AZ63="Sí",Sesiones!AO63,"")</f>
        <v/>
      </c>
      <c r="C63" s="8" t="str">
        <f aca="false">IF(Sesiones!AZ63="Sí",Sesiones!AP63,"")</f>
        <v/>
      </c>
      <c r="D63" s="8" t="str">
        <f aca="false">IF(Sesiones!AZ63="Sí",Sesiones!AQ63,"")</f>
        <v/>
      </c>
      <c r="E63" s="8" t="str">
        <f aca="false">IF(Sesiones!AZ63="Sí",Sesiones!AR63,"")</f>
        <v/>
      </c>
      <c r="F63" s="8" t="str">
        <f aca="false">IF(Sesiones!AZ63="Sí",Sesiones!AS63,"")</f>
        <v/>
      </c>
      <c r="G63" s="8" t="str">
        <f aca="false">IF(Sesiones!AZ63="Sí",Sesiones!AT63,"")</f>
        <v/>
      </c>
      <c r="H63" s="8" t="str">
        <f aca="false">IF(Sesiones!AZ63="Sí",Sesiones!AU63,"")</f>
        <v/>
      </c>
      <c r="I63" s="8" t="str">
        <f aca="false">IF(Sesiones!AZ63="Sí",Sesiones!AV63,"")</f>
        <v/>
      </c>
      <c r="J63" s="8" t="str">
        <f aca="false">IF(Sesiones!AZ63="Sí",Sesiones!BK63,"")</f>
        <v/>
      </c>
    </row>
    <row r="64" customFormat="false" ht="15" hidden="false" customHeight="false" outlineLevel="0" collapsed="false">
      <c r="A64" s="8" t="str">
        <f aca="false">Sesiones!A64</f>
        <v>SA61</v>
      </c>
      <c r="B64" s="8" t="str">
        <f aca="false">IF(Sesiones!AZ64="Sí",Sesiones!AO64,"")</f>
        <v/>
      </c>
      <c r="C64" s="8" t="str">
        <f aca="false">IF(Sesiones!AZ64="Sí",Sesiones!AP64,"")</f>
        <v/>
      </c>
      <c r="D64" s="8" t="str">
        <f aca="false">IF(Sesiones!AZ64="Sí",Sesiones!AQ64,"")</f>
        <v/>
      </c>
      <c r="E64" s="8" t="str">
        <f aca="false">IF(Sesiones!AZ64="Sí",Sesiones!AR64,"")</f>
        <v/>
      </c>
      <c r="F64" s="8" t="str">
        <f aca="false">IF(Sesiones!AZ64="Sí",Sesiones!AS64,"")</f>
        <v/>
      </c>
      <c r="G64" s="8" t="str">
        <f aca="false">IF(Sesiones!AZ64="Sí",Sesiones!AT64,"")</f>
        <v/>
      </c>
      <c r="H64" s="8" t="str">
        <f aca="false">IF(Sesiones!AZ64="Sí",Sesiones!AU64,"")</f>
        <v/>
      </c>
      <c r="I64" s="8" t="str">
        <f aca="false">IF(Sesiones!AZ64="Sí",Sesiones!AV64,"")</f>
        <v/>
      </c>
      <c r="J64" s="8" t="str">
        <f aca="false">IF(Sesiones!AZ64="Sí",Sesiones!BK64,"")</f>
        <v/>
      </c>
    </row>
    <row r="65" customFormat="false" ht="15" hidden="false" customHeight="false" outlineLevel="0" collapsed="false">
      <c r="A65" s="8" t="str">
        <f aca="false">Sesiones!A65</f>
        <v>SA62</v>
      </c>
      <c r="B65" s="8" t="str">
        <f aca="false">IF(Sesiones!AZ65="Sí",Sesiones!AO65,"")</f>
        <v/>
      </c>
      <c r="C65" s="8" t="str">
        <f aca="false">IF(Sesiones!AZ65="Sí",Sesiones!AP65,"")</f>
        <v/>
      </c>
      <c r="D65" s="8" t="str">
        <f aca="false">IF(Sesiones!AZ65="Sí",Sesiones!AQ65,"")</f>
        <v/>
      </c>
      <c r="E65" s="8" t="str">
        <f aca="false">IF(Sesiones!AZ65="Sí",Sesiones!AR65,"")</f>
        <v/>
      </c>
      <c r="F65" s="8" t="str">
        <f aca="false">IF(Sesiones!AZ65="Sí",Sesiones!AS65,"")</f>
        <v/>
      </c>
      <c r="G65" s="8" t="str">
        <f aca="false">IF(Sesiones!AZ65="Sí",Sesiones!AT65,"")</f>
        <v/>
      </c>
      <c r="H65" s="8" t="str">
        <f aca="false">IF(Sesiones!AZ65="Sí",Sesiones!AU65,"")</f>
        <v/>
      </c>
      <c r="I65" s="8" t="str">
        <f aca="false">IF(Sesiones!AZ65="Sí",Sesiones!AV65,"")</f>
        <v/>
      </c>
      <c r="J65" s="8" t="str">
        <f aca="false">IF(Sesiones!AZ65="Sí",Sesiones!BK65,"")</f>
        <v/>
      </c>
    </row>
    <row r="66" customFormat="false" ht="15" hidden="false" customHeight="false" outlineLevel="0" collapsed="false">
      <c r="A66" s="8" t="str">
        <f aca="false">Sesiones!A66</f>
        <v>SA63</v>
      </c>
      <c r="B66" s="8" t="str">
        <f aca="false">IF(Sesiones!AZ66="Sí",Sesiones!AO66,"")</f>
        <v/>
      </c>
      <c r="C66" s="8" t="str">
        <f aca="false">IF(Sesiones!AZ66="Sí",Sesiones!AP66,"")</f>
        <v/>
      </c>
      <c r="D66" s="8" t="str">
        <f aca="false">IF(Sesiones!AZ66="Sí",Sesiones!AQ66,"")</f>
        <v/>
      </c>
      <c r="E66" s="8" t="str">
        <f aca="false">IF(Sesiones!AZ66="Sí",Sesiones!AR66,"")</f>
        <v/>
      </c>
      <c r="F66" s="8" t="str">
        <f aca="false">IF(Sesiones!AZ66="Sí",Sesiones!AS66,"")</f>
        <v/>
      </c>
      <c r="G66" s="8" t="str">
        <f aca="false">IF(Sesiones!AZ66="Sí",Sesiones!AT66,"")</f>
        <v/>
      </c>
      <c r="H66" s="8" t="str">
        <f aca="false">IF(Sesiones!AZ66="Sí",Sesiones!AU66,"")</f>
        <v/>
      </c>
      <c r="I66" s="8" t="str">
        <f aca="false">IF(Sesiones!AZ66="Sí",Sesiones!AV66,"")</f>
        <v/>
      </c>
      <c r="J66" s="8" t="str">
        <f aca="false">IF(Sesiones!AZ66="Sí",Sesiones!BK66,"")</f>
        <v/>
      </c>
    </row>
    <row r="67" customFormat="false" ht="15" hidden="false" customHeight="false" outlineLevel="0" collapsed="false">
      <c r="A67" s="8" t="str">
        <f aca="false">Sesiones!A67</f>
        <v>SA64</v>
      </c>
      <c r="B67" s="8" t="str">
        <f aca="false">IF(Sesiones!AZ67="Sí",Sesiones!AO67,"")</f>
        <v/>
      </c>
      <c r="C67" s="8" t="str">
        <f aca="false">IF(Sesiones!AZ67="Sí",Sesiones!AP67,"")</f>
        <v/>
      </c>
      <c r="D67" s="8" t="str">
        <f aca="false">IF(Sesiones!AZ67="Sí",Sesiones!AQ67,"")</f>
        <v/>
      </c>
      <c r="E67" s="8" t="str">
        <f aca="false">IF(Sesiones!AZ67="Sí",Sesiones!AR67,"")</f>
        <v/>
      </c>
      <c r="F67" s="8" t="str">
        <f aca="false">IF(Sesiones!AZ67="Sí",Sesiones!AS67,"")</f>
        <v/>
      </c>
      <c r="G67" s="8" t="str">
        <f aca="false">IF(Sesiones!AZ67="Sí",Sesiones!AT67,"")</f>
        <v/>
      </c>
      <c r="H67" s="8" t="str">
        <f aca="false">IF(Sesiones!AZ67="Sí",Sesiones!AU67,"")</f>
        <v/>
      </c>
      <c r="I67" s="8" t="str">
        <f aca="false">IF(Sesiones!AZ67="Sí",Sesiones!AV67,"")</f>
        <v/>
      </c>
      <c r="J67" s="8" t="str">
        <f aca="false">IF(Sesiones!AZ67="Sí",Sesiones!BK67,"")</f>
        <v/>
      </c>
    </row>
    <row r="68" customFormat="false" ht="15" hidden="false" customHeight="false" outlineLevel="0" collapsed="false">
      <c r="A68" s="8" t="str">
        <f aca="false">Sesiones!A68</f>
        <v>SA65</v>
      </c>
      <c r="B68" s="8" t="str">
        <f aca="false">IF(Sesiones!AZ68="Sí",Sesiones!AO68,"")</f>
        <v/>
      </c>
      <c r="C68" s="8" t="str">
        <f aca="false">IF(Sesiones!AZ68="Sí",Sesiones!AP68,"")</f>
        <v/>
      </c>
      <c r="D68" s="8" t="str">
        <f aca="false">IF(Sesiones!AZ68="Sí",Sesiones!AQ68,"")</f>
        <v/>
      </c>
      <c r="E68" s="8" t="str">
        <f aca="false">IF(Sesiones!AZ68="Sí",Sesiones!AR68,"")</f>
        <v/>
      </c>
      <c r="F68" s="8" t="str">
        <f aca="false">IF(Sesiones!AZ68="Sí",Sesiones!AS68,"")</f>
        <v/>
      </c>
      <c r="G68" s="8" t="str">
        <f aca="false">IF(Sesiones!AZ68="Sí",Sesiones!AT68,"")</f>
        <v/>
      </c>
      <c r="H68" s="8" t="str">
        <f aca="false">IF(Sesiones!AZ68="Sí",Sesiones!AU68,"")</f>
        <v/>
      </c>
      <c r="I68" s="8" t="str">
        <f aca="false">IF(Sesiones!AZ68="Sí",Sesiones!AV68,"")</f>
        <v/>
      </c>
      <c r="J68" s="8" t="str">
        <f aca="false">IF(Sesiones!AZ68="Sí",Sesiones!BK68,"")</f>
        <v/>
      </c>
    </row>
    <row r="69" customFormat="false" ht="15" hidden="false" customHeight="false" outlineLevel="0" collapsed="false">
      <c r="A69" s="8" t="str">
        <f aca="false">Sesiones!A69</f>
        <v>SA66</v>
      </c>
      <c r="B69" s="8" t="str">
        <f aca="false">IF(Sesiones!AZ69="Sí",Sesiones!AO69,"")</f>
        <v/>
      </c>
      <c r="C69" s="8" t="str">
        <f aca="false">IF(Sesiones!AZ69="Sí",Sesiones!AP69,"")</f>
        <v/>
      </c>
      <c r="D69" s="8" t="str">
        <f aca="false">IF(Sesiones!AZ69="Sí",Sesiones!AQ69,"")</f>
        <v/>
      </c>
      <c r="E69" s="8" t="str">
        <f aca="false">IF(Sesiones!AZ69="Sí",Sesiones!AR69,"")</f>
        <v/>
      </c>
      <c r="F69" s="8" t="str">
        <f aca="false">IF(Sesiones!AZ69="Sí",Sesiones!AS69,"")</f>
        <v/>
      </c>
      <c r="G69" s="8" t="str">
        <f aca="false">IF(Sesiones!AZ69="Sí",Sesiones!AT69,"")</f>
        <v/>
      </c>
      <c r="H69" s="8" t="str">
        <f aca="false">IF(Sesiones!AZ69="Sí",Sesiones!AU69,"")</f>
        <v/>
      </c>
      <c r="I69" s="8" t="str">
        <f aca="false">IF(Sesiones!AZ69="Sí",Sesiones!AV69,"")</f>
        <v/>
      </c>
      <c r="J69" s="8" t="str">
        <f aca="false">IF(Sesiones!AZ69="Sí",Sesiones!BK69,"")</f>
        <v/>
      </c>
    </row>
    <row r="70" customFormat="false" ht="15" hidden="false" customHeight="false" outlineLevel="0" collapsed="false">
      <c r="A70" s="8" t="str">
        <f aca="false">Sesiones!A70</f>
        <v>SA67</v>
      </c>
      <c r="B70" s="8" t="str">
        <f aca="false">IF(Sesiones!AZ70="Sí",Sesiones!AO70,"")</f>
        <v/>
      </c>
      <c r="C70" s="8" t="str">
        <f aca="false">IF(Sesiones!AZ70="Sí",Sesiones!AP70,"")</f>
        <v/>
      </c>
      <c r="D70" s="8" t="str">
        <f aca="false">IF(Sesiones!AZ70="Sí",Sesiones!AQ70,"")</f>
        <v/>
      </c>
      <c r="E70" s="8" t="str">
        <f aca="false">IF(Sesiones!AZ70="Sí",Sesiones!AR70,"")</f>
        <v/>
      </c>
      <c r="F70" s="8" t="str">
        <f aca="false">IF(Sesiones!AZ70="Sí",Sesiones!AS70,"")</f>
        <v/>
      </c>
      <c r="G70" s="8" t="str">
        <f aca="false">IF(Sesiones!AZ70="Sí",Sesiones!AT70,"")</f>
        <v/>
      </c>
      <c r="H70" s="8" t="str">
        <f aca="false">IF(Sesiones!AZ70="Sí",Sesiones!AU70,"")</f>
        <v/>
      </c>
      <c r="I70" s="8" t="str">
        <f aca="false">IF(Sesiones!AZ70="Sí",Sesiones!AV70,"")</f>
        <v/>
      </c>
      <c r="J70" s="8" t="str">
        <f aca="false">IF(Sesiones!AZ70="Sí",Sesiones!BK70,"")</f>
        <v/>
      </c>
    </row>
    <row r="71" customFormat="false" ht="15" hidden="false" customHeight="false" outlineLevel="0" collapsed="false">
      <c r="A71" s="8" t="str">
        <f aca="false">Sesiones!A71</f>
        <v>SA68</v>
      </c>
      <c r="B71" s="8" t="str">
        <f aca="false">IF(Sesiones!AZ71="Sí",Sesiones!AO71,"")</f>
        <v/>
      </c>
      <c r="C71" s="8" t="str">
        <f aca="false">IF(Sesiones!AZ71="Sí",Sesiones!AP71,"")</f>
        <v/>
      </c>
      <c r="D71" s="8" t="str">
        <f aca="false">IF(Sesiones!AZ71="Sí",Sesiones!AQ71,"")</f>
        <v/>
      </c>
      <c r="E71" s="8" t="str">
        <f aca="false">IF(Sesiones!AZ71="Sí",Sesiones!AR71,"")</f>
        <v/>
      </c>
      <c r="F71" s="8" t="str">
        <f aca="false">IF(Sesiones!AZ71="Sí",Sesiones!AS71,"")</f>
        <v/>
      </c>
      <c r="G71" s="8" t="str">
        <f aca="false">IF(Sesiones!AZ71="Sí",Sesiones!AT71,"")</f>
        <v/>
      </c>
      <c r="H71" s="8" t="str">
        <f aca="false">IF(Sesiones!AZ71="Sí",Sesiones!AU71,"")</f>
        <v/>
      </c>
      <c r="I71" s="8" t="str">
        <f aca="false">IF(Sesiones!AZ71="Sí",Sesiones!AV71,"")</f>
        <v/>
      </c>
      <c r="J71" s="8" t="str">
        <f aca="false">IF(Sesiones!AZ71="Sí",Sesiones!BK71,"")</f>
        <v/>
      </c>
    </row>
    <row r="72" customFormat="false" ht="15" hidden="false" customHeight="false" outlineLevel="0" collapsed="false">
      <c r="A72" s="8" t="str">
        <f aca="false">Sesiones!A72</f>
        <v>SA69</v>
      </c>
      <c r="B72" s="8" t="str">
        <f aca="false">IF(Sesiones!AZ72="Sí",Sesiones!AO72,"")</f>
        <v/>
      </c>
      <c r="C72" s="8" t="str">
        <f aca="false">IF(Sesiones!AZ72="Sí",Sesiones!AP72,"")</f>
        <v/>
      </c>
      <c r="D72" s="8" t="str">
        <f aca="false">IF(Sesiones!AZ72="Sí",Sesiones!AQ72,"")</f>
        <v/>
      </c>
      <c r="E72" s="8" t="str">
        <f aca="false">IF(Sesiones!AZ72="Sí",Sesiones!AR72,"")</f>
        <v/>
      </c>
      <c r="F72" s="8" t="str">
        <f aca="false">IF(Sesiones!AZ72="Sí",Sesiones!AS72,"")</f>
        <v/>
      </c>
      <c r="G72" s="8" t="str">
        <f aca="false">IF(Sesiones!AZ72="Sí",Sesiones!AT72,"")</f>
        <v/>
      </c>
      <c r="H72" s="8" t="str">
        <f aca="false">IF(Sesiones!AZ72="Sí",Sesiones!AU72,"")</f>
        <v/>
      </c>
      <c r="I72" s="8" t="str">
        <f aca="false">IF(Sesiones!AZ72="Sí",Sesiones!AV72,"")</f>
        <v/>
      </c>
      <c r="J72" s="8" t="str">
        <f aca="false">IF(Sesiones!AZ72="Sí",Sesiones!BK72,"")</f>
        <v/>
      </c>
    </row>
    <row r="73" customFormat="false" ht="15" hidden="false" customHeight="false" outlineLevel="0" collapsed="false">
      <c r="A73" s="8" t="str">
        <f aca="false">Sesiones!A73</f>
        <v>SA70</v>
      </c>
      <c r="B73" s="8" t="str">
        <f aca="false">IF(Sesiones!AZ73="Sí",Sesiones!AO73,"")</f>
        <v/>
      </c>
      <c r="C73" s="8" t="str">
        <f aca="false">IF(Sesiones!AZ73="Sí",Sesiones!AP73,"")</f>
        <v/>
      </c>
      <c r="D73" s="8" t="str">
        <f aca="false">IF(Sesiones!AZ73="Sí",Sesiones!AQ73,"")</f>
        <v/>
      </c>
      <c r="E73" s="8" t="str">
        <f aca="false">IF(Sesiones!AZ73="Sí",Sesiones!AR73,"")</f>
        <v/>
      </c>
      <c r="F73" s="8" t="str">
        <f aca="false">IF(Sesiones!AZ73="Sí",Sesiones!AS73,"")</f>
        <v/>
      </c>
      <c r="G73" s="8" t="str">
        <f aca="false">IF(Sesiones!AZ73="Sí",Sesiones!AT73,"")</f>
        <v/>
      </c>
      <c r="H73" s="8" t="str">
        <f aca="false">IF(Sesiones!AZ73="Sí",Sesiones!AU73,"")</f>
        <v/>
      </c>
      <c r="I73" s="8" t="str">
        <f aca="false">IF(Sesiones!AZ73="Sí",Sesiones!AV73,"")</f>
        <v/>
      </c>
      <c r="J73" s="8" t="str">
        <f aca="false">IF(Sesiones!AZ73="Sí",Sesiones!BK73,"")</f>
        <v/>
      </c>
    </row>
    <row r="74" customFormat="false" ht="15" hidden="false" customHeight="false" outlineLevel="0" collapsed="false">
      <c r="A74" s="8" t="str">
        <f aca="false">Sesiones!A74</f>
        <v>SA71</v>
      </c>
      <c r="B74" s="8" t="str">
        <f aca="false">IF(Sesiones!AZ74="Sí",Sesiones!AO74,"")</f>
        <v/>
      </c>
      <c r="C74" s="8" t="str">
        <f aca="false">IF(Sesiones!AZ74="Sí",Sesiones!AP74,"")</f>
        <v/>
      </c>
      <c r="D74" s="8" t="str">
        <f aca="false">IF(Sesiones!AZ74="Sí",Sesiones!AQ74,"")</f>
        <v/>
      </c>
      <c r="E74" s="8" t="str">
        <f aca="false">IF(Sesiones!AZ74="Sí",Sesiones!AR74,"")</f>
        <v/>
      </c>
      <c r="F74" s="8" t="str">
        <f aca="false">IF(Sesiones!AZ74="Sí",Sesiones!AS74,"")</f>
        <v/>
      </c>
      <c r="G74" s="8" t="str">
        <f aca="false">IF(Sesiones!AZ74="Sí",Sesiones!AT74,"")</f>
        <v/>
      </c>
      <c r="H74" s="8" t="str">
        <f aca="false">IF(Sesiones!AZ74="Sí",Sesiones!AU74,"")</f>
        <v/>
      </c>
      <c r="I74" s="8" t="str">
        <f aca="false">IF(Sesiones!AZ74="Sí",Sesiones!AV74,"")</f>
        <v/>
      </c>
      <c r="J74" s="8" t="str">
        <f aca="false">IF(Sesiones!AZ74="Sí",Sesiones!BK74,"")</f>
        <v/>
      </c>
    </row>
    <row r="75" customFormat="false" ht="15" hidden="false" customHeight="false" outlineLevel="0" collapsed="false">
      <c r="A75" s="8" t="str">
        <f aca="false">Sesiones!A75</f>
        <v>SA72</v>
      </c>
      <c r="B75" s="8" t="str">
        <f aca="false">IF(Sesiones!AZ75="Sí",Sesiones!AO75,"")</f>
        <v/>
      </c>
      <c r="C75" s="8" t="str">
        <f aca="false">IF(Sesiones!AZ75="Sí",Sesiones!AP75,"")</f>
        <v/>
      </c>
      <c r="D75" s="8" t="str">
        <f aca="false">IF(Sesiones!AZ75="Sí",Sesiones!AQ75,"")</f>
        <v/>
      </c>
      <c r="E75" s="8" t="str">
        <f aca="false">IF(Sesiones!AZ75="Sí",Sesiones!AR75,"")</f>
        <v/>
      </c>
      <c r="F75" s="8" t="str">
        <f aca="false">IF(Sesiones!AZ75="Sí",Sesiones!AS75,"")</f>
        <v/>
      </c>
      <c r="G75" s="8" t="str">
        <f aca="false">IF(Sesiones!AZ75="Sí",Sesiones!AT75,"")</f>
        <v/>
      </c>
      <c r="H75" s="8" t="str">
        <f aca="false">IF(Sesiones!AZ75="Sí",Sesiones!AU75,"")</f>
        <v/>
      </c>
      <c r="I75" s="8" t="str">
        <f aca="false">IF(Sesiones!AZ75="Sí",Sesiones!AV75,"")</f>
        <v/>
      </c>
      <c r="J75" s="8" t="str">
        <f aca="false">IF(Sesiones!AZ75="Sí",Sesiones!BK75,"")</f>
        <v/>
      </c>
    </row>
    <row r="76" customFormat="false" ht="15" hidden="false" customHeight="false" outlineLevel="0" collapsed="false">
      <c r="A76" s="8" t="str">
        <f aca="false">Sesiones!A76</f>
        <v>SA73</v>
      </c>
      <c r="B76" s="8" t="str">
        <f aca="false">IF(Sesiones!AZ76="Sí",Sesiones!AO76,"")</f>
        <v/>
      </c>
      <c r="C76" s="8" t="str">
        <f aca="false">IF(Sesiones!AZ76="Sí",Sesiones!AP76,"")</f>
        <v/>
      </c>
      <c r="D76" s="8" t="str">
        <f aca="false">IF(Sesiones!AZ76="Sí",Sesiones!AQ76,"")</f>
        <v/>
      </c>
      <c r="E76" s="8" t="str">
        <f aca="false">IF(Sesiones!AZ76="Sí",Sesiones!AR76,"")</f>
        <v/>
      </c>
      <c r="F76" s="8" t="str">
        <f aca="false">IF(Sesiones!AZ76="Sí",Sesiones!AS76,"")</f>
        <v/>
      </c>
      <c r="G76" s="8" t="str">
        <f aca="false">IF(Sesiones!AZ76="Sí",Sesiones!AT76,"")</f>
        <v/>
      </c>
      <c r="H76" s="8" t="str">
        <f aca="false">IF(Sesiones!AZ76="Sí",Sesiones!AU76,"")</f>
        <v/>
      </c>
      <c r="I76" s="8" t="str">
        <f aca="false">IF(Sesiones!AZ76="Sí",Sesiones!AV76,"")</f>
        <v/>
      </c>
      <c r="J76" s="8" t="str">
        <f aca="false">IF(Sesiones!AZ76="Sí",Sesiones!BK76,"")</f>
        <v/>
      </c>
    </row>
    <row r="77" customFormat="false" ht="15" hidden="false" customHeight="false" outlineLevel="0" collapsed="false">
      <c r="A77" s="8" t="str">
        <f aca="false">Sesiones!A77</f>
        <v>SA74</v>
      </c>
      <c r="B77" s="8" t="str">
        <f aca="false">IF(Sesiones!AZ77="Sí",Sesiones!AO77,"")</f>
        <v/>
      </c>
      <c r="C77" s="8" t="str">
        <f aca="false">IF(Sesiones!AZ77="Sí",Sesiones!AP77,"")</f>
        <v/>
      </c>
      <c r="D77" s="8" t="str">
        <f aca="false">IF(Sesiones!AZ77="Sí",Sesiones!AQ77,"")</f>
        <v/>
      </c>
      <c r="E77" s="8" t="str">
        <f aca="false">IF(Sesiones!AZ77="Sí",Sesiones!AR77,"")</f>
        <v/>
      </c>
      <c r="F77" s="8" t="str">
        <f aca="false">IF(Sesiones!AZ77="Sí",Sesiones!AS77,"")</f>
        <v/>
      </c>
      <c r="G77" s="8" t="str">
        <f aca="false">IF(Sesiones!AZ77="Sí",Sesiones!AT77,"")</f>
        <v/>
      </c>
      <c r="H77" s="8" t="str">
        <f aca="false">IF(Sesiones!AZ77="Sí",Sesiones!AU77,"")</f>
        <v/>
      </c>
      <c r="I77" s="8" t="str">
        <f aca="false">IF(Sesiones!AZ77="Sí",Sesiones!AV77,"")</f>
        <v/>
      </c>
      <c r="J77" s="8" t="str">
        <f aca="false">IF(Sesiones!AZ77="Sí",Sesiones!BK77,"")</f>
        <v/>
      </c>
    </row>
    <row r="78" customFormat="false" ht="15" hidden="false" customHeight="false" outlineLevel="0" collapsed="false">
      <c r="A78" s="8" t="str">
        <f aca="false">Sesiones!A78</f>
        <v>SA75</v>
      </c>
      <c r="B78" s="8" t="str">
        <f aca="false">IF(Sesiones!AZ78="Sí",Sesiones!AO78,"")</f>
        <v/>
      </c>
      <c r="C78" s="8" t="str">
        <f aca="false">IF(Sesiones!AZ78="Sí",Sesiones!AP78,"")</f>
        <v/>
      </c>
      <c r="D78" s="8" t="str">
        <f aca="false">IF(Sesiones!AZ78="Sí",Sesiones!AQ78,"")</f>
        <v/>
      </c>
      <c r="E78" s="8" t="str">
        <f aca="false">IF(Sesiones!AZ78="Sí",Sesiones!AR78,"")</f>
        <v/>
      </c>
      <c r="F78" s="8" t="str">
        <f aca="false">IF(Sesiones!AZ78="Sí",Sesiones!AS78,"")</f>
        <v/>
      </c>
      <c r="G78" s="8" t="str">
        <f aca="false">IF(Sesiones!AZ78="Sí",Sesiones!AT78,"")</f>
        <v/>
      </c>
      <c r="H78" s="8" t="str">
        <f aca="false">IF(Sesiones!AZ78="Sí",Sesiones!AU78,"")</f>
        <v/>
      </c>
      <c r="I78" s="8" t="str">
        <f aca="false">IF(Sesiones!AZ78="Sí",Sesiones!AV78,"")</f>
        <v/>
      </c>
      <c r="J78" s="8" t="str">
        <f aca="false">IF(Sesiones!AZ78="Sí",Sesiones!BK78,"")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29" t="s">
        <v>417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1" t="s">
        <v>418</v>
      </c>
    </row>
    <row r="4" customFormat="false" ht="23.85" hidden="false" customHeight="false" outlineLevel="0" collapsed="false">
      <c r="A4" s="30" t="s">
        <v>419</v>
      </c>
    </row>
    <row r="5" customFormat="false" ht="15" hidden="false" customHeight="false" outlineLevel="0" collapsed="false">
      <c r="A5" s="30" t="s">
        <v>420</v>
      </c>
    </row>
    <row r="6" customFormat="false" ht="23.85" hidden="false" customHeight="false" outlineLevel="0" collapsed="false">
      <c r="A6" s="30" t="s">
        <v>421</v>
      </c>
    </row>
    <row r="7" customFormat="false" ht="15" hidden="false" customHeight="false" outlineLevel="0" collapsed="false">
      <c r="A7" s="30" t="s">
        <v>422</v>
      </c>
    </row>
    <row r="8" customFormat="false" ht="15" hidden="false" customHeight="false" outlineLevel="0" collapsed="false">
      <c r="A8" s="30"/>
    </row>
    <row r="9" customFormat="false" ht="15" hidden="false" customHeight="false" outlineLevel="0" collapsed="false">
      <c r="A9" s="31" t="s">
        <v>423</v>
      </c>
    </row>
    <row r="10" customFormat="false" ht="23.85" hidden="false" customHeight="false" outlineLevel="0" collapsed="false">
      <c r="A10" s="30" t="s">
        <v>424</v>
      </c>
    </row>
    <row r="11" customFormat="false" ht="23.85" hidden="false" customHeight="false" outlineLevel="0" collapsed="false">
      <c r="A11" s="30" t="s">
        <v>425</v>
      </c>
    </row>
    <row r="12" customFormat="false" ht="23.85" hidden="false" customHeight="false" outlineLevel="0" collapsed="false">
      <c r="A12" s="30" t="s">
        <v>426</v>
      </c>
    </row>
    <row r="13" customFormat="false" ht="23.85" hidden="false" customHeight="false" outlineLevel="0" collapsed="false">
      <c r="A13" s="30" t="s">
        <v>427</v>
      </c>
    </row>
    <row r="14" customFormat="false" ht="15" hidden="false" customHeight="false" outlineLevel="0" collapsed="false">
      <c r="A14" s="30" t="s">
        <v>428</v>
      </c>
    </row>
    <row r="15" customFormat="false" ht="15" hidden="false" customHeight="false" outlineLevel="0" collapsed="false">
      <c r="A15" s="30"/>
    </row>
    <row r="16" customFormat="false" ht="15" hidden="false" customHeight="false" outlineLevel="0" collapsed="false">
      <c r="A16" s="31" t="s">
        <v>429</v>
      </c>
    </row>
    <row r="17" customFormat="false" ht="15" hidden="false" customHeight="false" outlineLevel="0" collapsed="false">
      <c r="A17" s="30" t="s">
        <v>430</v>
      </c>
    </row>
    <row r="18" customFormat="false" ht="23.85" hidden="false" customHeight="false" outlineLevel="0" collapsed="false">
      <c r="A18" s="30" t="s">
        <v>431</v>
      </c>
    </row>
    <row r="19" customFormat="false" ht="15" hidden="false" customHeight="false" outlineLevel="0" collapsed="false">
      <c r="A19" s="30" t="s">
        <v>432</v>
      </c>
    </row>
    <row r="20" customFormat="false" ht="15" hidden="false" customHeight="false" outlineLevel="0" collapsed="false">
      <c r="A20" s="30" t="s">
        <v>433</v>
      </c>
    </row>
    <row r="21" customFormat="false" ht="15" hidden="false" customHeight="false" outlineLevel="0" collapsed="false">
      <c r="A21" s="30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2026-10-03T21:45:40Z</dcterms:created>
  <dc:creator>openpyxl</dc:creator>
  <dc:description/>
  <dc:language>en-US</dc:language>
  <cp:lastModifiedBy/>
  <dcterms:modified xsi:type="dcterms:W3CDTF">2026-10-03T21:45:40Z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