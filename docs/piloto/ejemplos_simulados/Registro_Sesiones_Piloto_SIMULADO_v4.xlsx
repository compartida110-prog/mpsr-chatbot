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Mario\Downloads\"/>
    </mc:Choice>
  </mc:AlternateContent>
  <xr:revisionPtr revIDLastSave="0" documentId="13_ncr:1_{2E53503B-65C1-4F4E-B1FB-A1B146854C56}" xr6:coauthVersionLast="47" xr6:coauthVersionMax="47" xr10:uidLastSave="{00000000-0000-0000-0000-000000000000}"/>
  <bookViews>
    <workbookView xWindow="-120" yWindow="-120" windowWidth="20730" windowHeight="11760" activeTab="5" xr2:uid="{00000000-000D-0000-FFFF-FFFF00000000}"/>
  </bookViews>
  <sheets>
    <sheet name="Sesiones" sheetId="1" r:id="rId1"/>
    <sheet name="Resumen" sheetId="2" r:id="rId2"/>
    <sheet name="Tarjetas" sheetId="3" r:id="rId3"/>
    <sheet name="Parametros" sheetId="4" r:id="rId4"/>
    <sheet name="Calc" sheetId="5" r:id="rId5"/>
    <sheet name="No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8" i="5" l="1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9" i="2"/>
  <c r="B7" i="2"/>
  <c r="B5" i="2"/>
  <c r="BK77" i="1"/>
  <c r="BJ77" i="1"/>
  <c r="BI77" i="1"/>
  <c r="BH77" i="1"/>
  <c r="BF77" i="1"/>
  <c r="BE77" i="1"/>
  <c r="BG77" i="1" s="1"/>
  <c r="BB77" i="1"/>
  <c r="BA77" i="1"/>
  <c r="AZ77" i="1"/>
  <c r="V77" i="1"/>
  <c r="U77" i="1"/>
  <c r="T77" i="1"/>
  <c r="BK76" i="1"/>
  <c r="BJ76" i="1"/>
  <c r="BI76" i="1"/>
  <c r="BH76" i="1"/>
  <c r="BF76" i="1"/>
  <c r="BE76" i="1"/>
  <c r="BG76" i="1" s="1"/>
  <c r="BD76" i="1"/>
  <c r="BB76" i="1"/>
  <c r="BA76" i="1"/>
  <c r="AZ76" i="1"/>
  <c r="I77" i="5" s="1"/>
  <c r="V76" i="1"/>
  <c r="U76" i="1"/>
  <c r="T76" i="1"/>
  <c r="BK75" i="1"/>
  <c r="BJ75" i="1"/>
  <c r="BI75" i="1"/>
  <c r="BH75" i="1"/>
  <c r="BF75" i="1"/>
  <c r="BE75" i="1"/>
  <c r="BG75" i="1" s="1"/>
  <c r="BB75" i="1"/>
  <c r="BA75" i="1"/>
  <c r="BD75" i="1" s="1"/>
  <c r="AZ75" i="1"/>
  <c r="J76" i="5" s="1"/>
  <c r="V75" i="1"/>
  <c r="U75" i="1"/>
  <c r="T75" i="1"/>
  <c r="BK74" i="1"/>
  <c r="BJ74" i="1"/>
  <c r="BI74" i="1"/>
  <c r="BH74" i="1"/>
  <c r="BF74" i="1"/>
  <c r="BE74" i="1"/>
  <c r="BB74" i="1"/>
  <c r="BD74" i="1" s="1"/>
  <c r="BA74" i="1"/>
  <c r="BC74" i="1" s="1"/>
  <c r="AZ74" i="1"/>
  <c r="V74" i="1"/>
  <c r="U74" i="1"/>
  <c r="T74" i="1"/>
  <c r="BK73" i="1"/>
  <c r="BJ73" i="1"/>
  <c r="BI73" i="1"/>
  <c r="BH73" i="1"/>
  <c r="BF73" i="1"/>
  <c r="BE73" i="1"/>
  <c r="BG73" i="1" s="1"/>
  <c r="BB73" i="1"/>
  <c r="BD73" i="1" s="1"/>
  <c r="BA73" i="1"/>
  <c r="AZ73" i="1"/>
  <c r="V73" i="1"/>
  <c r="U73" i="1"/>
  <c r="T73" i="1"/>
  <c r="BK72" i="1"/>
  <c r="BJ72" i="1"/>
  <c r="BI72" i="1"/>
  <c r="BH72" i="1"/>
  <c r="BF72" i="1"/>
  <c r="BE72" i="1"/>
  <c r="BG72" i="1" s="1"/>
  <c r="BB72" i="1"/>
  <c r="BA72" i="1"/>
  <c r="AZ72" i="1"/>
  <c r="V72" i="1"/>
  <c r="U72" i="1"/>
  <c r="T72" i="1"/>
  <c r="BK71" i="1"/>
  <c r="BJ71" i="1"/>
  <c r="BI71" i="1"/>
  <c r="BH71" i="1"/>
  <c r="BF71" i="1"/>
  <c r="BE71" i="1"/>
  <c r="BG71" i="1" s="1"/>
  <c r="BB71" i="1"/>
  <c r="BC71" i="1" s="1"/>
  <c r="BA71" i="1"/>
  <c r="AZ71" i="1"/>
  <c r="B72" i="5" s="1"/>
  <c r="V71" i="1"/>
  <c r="U71" i="1"/>
  <c r="T71" i="1"/>
  <c r="BK70" i="1"/>
  <c r="BJ70" i="1"/>
  <c r="BI70" i="1"/>
  <c r="BH70" i="1"/>
  <c r="BF70" i="1"/>
  <c r="BE70" i="1"/>
  <c r="BG70" i="1" s="1"/>
  <c r="BB70" i="1"/>
  <c r="BA70" i="1"/>
  <c r="BC70" i="1" s="1"/>
  <c r="AZ70" i="1"/>
  <c r="C71" i="5" s="1"/>
  <c r="V70" i="1"/>
  <c r="U70" i="1"/>
  <c r="T70" i="1"/>
  <c r="BK69" i="1"/>
  <c r="BJ69" i="1"/>
  <c r="BI69" i="1"/>
  <c r="BH69" i="1"/>
  <c r="BF69" i="1"/>
  <c r="BE69" i="1"/>
  <c r="BB69" i="1"/>
  <c r="BA69" i="1"/>
  <c r="BD69" i="1" s="1"/>
  <c r="AZ69" i="1"/>
  <c r="C70" i="5" s="1"/>
  <c r="V69" i="1"/>
  <c r="U69" i="1"/>
  <c r="T69" i="1"/>
  <c r="BK68" i="1"/>
  <c r="BJ68" i="1"/>
  <c r="BI68" i="1"/>
  <c r="BH68" i="1"/>
  <c r="BF68" i="1"/>
  <c r="BE68" i="1"/>
  <c r="BB68" i="1"/>
  <c r="BA68" i="1"/>
  <c r="BD68" i="1" s="1"/>
  <c r="AZ68" i="1"/>
  <c r="D69" i="5" s="1"/>
  <c r="V68" i="1"/>
  <c r="U68" i="1"/>
  <c r="T68" i="1"/>
  <c r="BK67" i="1"/>
  <c r="BJ67" i="1"/>
  <c r="BI67" i="1"/>
  <c r="BH67" i="1"/>
  <c r="BF67" i="1"/>
  <c r="BE67" i="1"/>
  <c r="BC67" i="1"/>
  <c r="BB67" i="1"/>
  <c r="BD67" i="1" s="1"/>
  <c r="BA67" i="1"/>
  <c r="AZ67" i="1"/>
  <c r="E68" i="5" s="1"/>
  <c r="V67" i="1"/>
  <c r="U67" i="1"/>
  <c r="T67" i="1"/>
  <c r="BK66" i="1"/>
  <c r="BJ66" i="1"/>
  <c r="BI66" i="1"/>
  <c r="BH66" i="1"/>
  <c r="BF66" i="1"/>
  <c r="BE66" i="1"/>
  <c r="BC66" i="1"/>
  <c r="BB66" i="1"/>
  <c r="BD66" i="1" s="1"/>
  <c r="BA66" i="1"/>
  <c r="AZ66" i="1"/>
  <c r="V66" i="1"/>
  <c r="U66" i="1"/>
  <c r="T66" i="1"/>
  <c r="BK65" i="1"/>
  <c r="BJ65" i="1"/>
  <c r="BI65" i="1"/>
  <c r="BH65" i="1"/>
  <c r="BF65" i="1"/>
  <c r="BE65" i="1"/>
  <c r="BB65" i="1"/>
  <c r="BA65" i="1"/>
  <c r="BC65" i="1" s="1"/>
  <c r="AZ65" i="1"/>
  <c r="F66" i="5" s="1"/>
  <c r="V65" i="1"/>
  <c r="U65" i="1"/>
  <c r="T65" i="1"/>
  <c r="BK64" i="1"/>
  <c r="BJ64" i="1"/>
  <c r="BI64" i="1"/>
  <c r="BH64" i="1"/>
  <c r="BF64" i="1"/>
  <c r="BE64" i="1"/>
  <c r="BB64" i="1"/>
  <c r="BA64" i="1"/>
  <c r="AZ64" i="1"/>
  <c r="G65" i="5" s="1"/>
  <c r="V64" i="1"/>
  <c r="U64" i="1"/>
  <c r="T64" i="1"/>
  <c r="BK63" i="1"/>
  <c r="BJ63" i="1"/>
  <c r="BI63" i="1"/>
  <c r="BH63" i="1"/>
  <c r="BG63" i="1"/>
  <c r="BF63" i="1"/>
  <c r="BE63" i="1"/>
  <c r="BB63" i="1"/>
  <c r="BC63" i="1" s="1"/>
  <c r="BA63" i="1"/>
  <c r="AZ63" i="1"/>
  <c r="V63" i="1"/>
  <c r="U63" i="1"/>
  <c r="T63" i="1"/>
  <c r="BK62" i="1"/>
  <c r="BJ62" i="1"/>
  <c r="BI62" i="1"/>
  <c r="BH62" i="1"/>
  <c r="BG62" i="1"/>
  <c r="BF62" i="1"/>
  <c r="BE62" i="1"/>
  <c r="BB62" i="1"/>
  <c r="BA62" i="1"/>
  <c r="AZ62" i="1"/>
  <c r="H63" i="5" s="1"/>
  <c r="V62" i="1"/>
  <c r="U62" i="1"/>
  <c r="T62" i="1"/>
  <c r="BK61" i="1"/>
  <c r="BJ61" i="1"/>
  <c r="BI61" i="1"/>
  <c r="BH61" i="1"/>
  <c r="BF61" i="1"/>
  <c r="BE61" i="1"/>
  <c r="BG61" i="1" s="1"/>
  <c r="BB61" i="1"/>
  <c r="BA61" i="1"/>
  <c r="AZ61" i="1"/>
  <c r="I62" i="5" s="1"/>
  <c r="V61" i="1"/>
  <c r="U61" i="1"/>
  <c r="T61" i="1"/>
  <c r="BK60" i="1"/>
  <c r="BJ60" i="1"/>
  <c r="BI60" i="1"/>
  <c r="BH60" i="1"/>
  <c r="BF60" i="1"/>
  <c r="BE60" i="1"/>
  <c r="BB60" i="1"/>
  <c r="BA60" i="1"/>
  <c r="AZ60" i="1"/>
  <c r="I61" i="5" s="1"/>
  <c r="V60" i="1"/>
  <c r="U60" i="1"/>
  <c r="T60" i="1"/>
  <c r="BK59" i="1"/>
  <c r="BJ59" i="1"/>
  <c r="BI59" i="1"/>
  <c r="BH59" i="1"/>
  <c r="BF59" i="1"/>
  <c r="BE59" i="1"/>
  <c r="BD59" i="1"/>
  <c r="BB59" i="1"/>
  <c r="BA59" i="1"/>
  <c r="AZ59" i="1"/>
  <c r="J60" i="5" s="1"/>
  <c r="V59" i="1"/>
  <c r="U59" i="1"/>
  <c r="T59" i="1"/>
  <c r="BK58" i="1"/>
  <c r="BJ58" i="1"/>
  <c r="BI58" i="1"/>
  <c r="BH58" i="1"/>
  <c r="BF58" i="1"/>
  <c r="BE58" i="1"/>
  <c r="BG58" i="1" s="1"/>
  <c r="BB58" i="1"/>
  <c r="BA58" i="1"/>
  <c r="BD58" i="1" s="1"/>
  <c r="AZ58" i="1"/>
  <c r="V58" i="1"/>
  <c r="U58" i="1"/>
  <c r="T58" i="1"/>
  <c r="BK57" i="1"/>
  <c r="BJ57" i="1"/>
  <c r="BI57" i="1"/>
  <c r="BH57" i="1"/>
  <c r="BF57" i="1"/>
  <c r="BE57" i="1"/>
  <c r="BB57" i="1"/>
  <c r="BD57" i="1" s="1"/>
  <c r="BA57" i="1"/>
  <c r="AZ57" i="1"/>
  <c r="V57" i="1"/>
  <c r="U57" i="1"/>
  <c r="T57" i="1"/>
  <c r="BK56" i="1"/>
  <c r="BJ56" i="1"/>
  <c r="BI56" i="1"/>
  <c r="BH56" i="1"/>
  <c r="BF56" i="1"/>
  <c r="BE56" i="1"/>
  <c r="BB56" i="1"/>
  <c r="BA56" i="1"/>
  <c r="AZ56" i="1"/>
  <c r="V56" i="1"/>
  <c r="U56" i="1"/>
  <c r="T56" i="1"/>
  <c r="BK55" i="1"/>
  <c r="BJ55" i="1"/>
  <c r="BI55" i="1"/>
  <c r="BH55" i="1"/>
  <c r="BF55" i="1"/>
  <c r="BE55" i="1"/>
  <c r="BG55" i="1" s="1"/>
  <c r="BB55" i="1"/>
  <c r="BA55" i="1"/>
  <c r="AZ55" i="1"/>
  <c r="V55" i="1"/>
  <c r="U55" i="1"/>
  <c r="T55" i="1"/>
  <c r="BK54" i="1"/>
  <c r="BJ54" i="1"/>
  <c r="BI54" i="1"/>
  <c r="BH54" i="1"/>
  <c r="BG54" i="1"/>
  <c r="BF54" i="1"/>
  <c r="BE54" i="1"/>
  <c r="BB54" i="1"/>
  <c r="BA54" i="1"/>
  <c r="AZ54" i="1"/>
  <c r="C55" i="5" s="1"/>
  <c r="V54" i="1"/>
  <c r="U54" i="1"/>
  <c r="T54" i="1"/>
  <c r="BK53" i="1"/>
  <c r="BJ53" i="1"/>
  <c r="BI53" i="1"/>
  <c r="BH53" i="1"/>
  <c r="BF53" i="1"/>
  <c r="BE53" i="1"/>
  <c r="BB53" i="1"/>
  <c r="BA53" i="1"/>
  <c r="AZ53" i="1"/>
  <c r="V53" i="1"/>
  <c r="U53" i="1"/>
  <c r="T53" i="1"/>
  <c r="BK52" i="1"/>
  <c r="BJ52" i="1"/>
  <c r="BI52" i="1"/>
  <c r="BH52" i="1"/>
  <c r="BF52" i="1"/>
  <c r="BE52" i="1"/>
  <c r="BB52" i="1"/>
  <c r="BA52" i="1"/>
  <c r="AZ52" i="1"/>
  <c r="V52" i="1"/>
  <c r="U52" i="1"/>
  <c r="T52" i="1"/>
  <c r="BK51" i="1"/>
  <c r="BJ51" i="1"/>
  <c r="BI51" i="1"/>
  <c r="BH51" i="1"/>
  <c r="BF51" i="1"/>
  <c r="BG51" i="1" s="1"/>
  <c r="BE51" i="1"/>
  <c r="BB51" i="1"/>
  <c r="BA51" i="1"/>
  <c r="BC51" i="1" s="1"/>
  <c r="AZ51" i="1"/>
  <c r="V51" i="1"/>
  <c r="U51" i="1"/>
  <c r="T51" i="1"/>
  <c r="BK50" i="1"/>
  <c r="BJ50" i="1"/>
  <c r="BI50" i="1"/>
  <c r="BH50" i="1"/>
  <c r="BF50" i="1"/>
  <c r="BE50" i="1"/>
  <c r="BB50" i="1"/>
  <c r="BA50" i="1"/>
  <c r="AZ50" i="1"/>
  <c r="V50" i="1"/>
  <c r="U50" i="1"/>
  <c r="T50" i="1"/>
  <c r="BK49" i="1"/>
  <c r="BJ49" i="1"/>
  <c r="BI49" i="1"/>
  <c r="BH49" i="1"/>
  <c r="BF49" i="1"/>
  <c r="BE49" i="1"/>
  <c r="BB49" i="1"/>
  <c r="BA49" i="1"/>
  <c r="BC49" i="1" s="1"/>
  <c r="AZ49" i="1"/>
  <c r="V49" i="1"/>
  <c r="U49" i="1"/>
  <c r="T49" i="1"/>
  <c r="BK48" i="1"/>
  <c r="BJ48" i="1"/>
  <c r="BI48" i="1"/>
  <c r="BH48" i="1"/>
  <c r="BF48" i="1"/>
  <c r="BE48" i="1"/>
  <c r="BG48" i="1" s="1"/>
  <c r="BD48" i="1"/>
  <c r="BB48" i="1"/>
  <c r="BA48" i="1"/>
  <c r="BC48" i="1" s="1"/>
  <c r="AZ48" i="1"/>
  <c r="V48" i="1"/>
  <c r="U48" i="1"/>
  <c r="T48" i="1"/>
  <c r="BK47" i="1"/>
  <c r="BJ47" i="1"/>
  <c r="BI47" i="1"/>
  <c r="BH47" i="1"/>
  <c r="BF47" i="1"/>
  <c r="BE47" i="1"/>
  <c r="BG47" i="1" s="1"/>
  <c r="BB47" i="1"/>
  <c r="BA47" i="1"/>
  <c r="BD47" i="1" s="1"/>
  <c r="AZ47" i="1"/>
  <c r="V47" i="1"/>
  <c r="U47" i="1"/>
  <c r="T47" i="1"/>
  <c r="BK46" i="1"/>
  <c r="BJ46" i="1"/>
  <c r="BI46" i="1"/>
  <c r="BH46" i="1"/>
  <c r="BF46" i="1"/>
  <c r="BE46" i="1"/>
  <c r="BB46" i="1"/>
  <c r="BD46" i="1" s="1"/>
  <c r="BA46" i="1"/>
  <c r="AZ46" i="1"/>
  <c r="V46" i="1"/>
  <c r="U46" i="1"/>
  <c r="T46" i="1"/>
  <c r="BK45" i="1"/>
  <c r="BJ45" i="1"/>
  <c r="BI45" i="1"/>
  <c r="BH45" i="1"/>
  <c r="BF45" i="1"/>
  <c r="BE45" i="1"/>
  <c r="BB45" i="1"/>
  <c r="BA45" i="1"/>
  <c r="BD45" i="1" s="1"/>
  <c r="AZ45" i="1"/>
  <c r="V45" i="1"/>
  <c r="U45" i="1"/>
  <c r="T45" i="1"/>
  <c r="BK44" i="1"/>
  <c r="BJ44" i="1"/>
  <c r="BI44" i="1"/>
  <c r="BH44" i="1"/>
  <c r="BF44" i="1"/>
  <c r="BE44" i="1"/>
  <c r="BB44" i="1"/>
  <c r="BA44" i="1"/>
  <c r="BD44" i="1" s="1"/>
  <c r="AZ44" i="1"/>
  <c r="V44" i="1"/>
  <c r="U44" i="1"/>
  <c r="T44" i="1"/>
  <c r="BK43" i="1"/>
  <c r="BJ43" i="1"/>
  <c r="BI43" i="1"/>
  <c r="BH43" i="1"/>
  <c r="BF43" i="1"/>
  <c r="BE43" i="1"/>
  <c r="BG43" i="1" s="1"/>
  <c r="BB43" i="1"/>
  <c r="BA43" i="1"/>
  <c r="BD43" i="1" s="1"/>
  <c r="AZ43" i="1"/>
  <c r="V43" i="1"/>
  <c r="U43" i="1"/>
  <c r="T43" i="1"/>
  <c r="BK42" i="1"/>
  <c r="BJ42" i="1"/>
  <c r="BI42" i="1"/>
  <c r="BH42" i="1"/>
  <c r="BF42" i="1"/>
  <c r="BE42" i="1"/>
  <c r="BG42" i="1" s="1"/>
  <c r="BB42" i="1"/>
  <c r="BA42" i="1"/>
  <c r="AZ42" i="1"/>
  <c r="V42" i="1"/>
  <c r="U42" i="1"/>
  <c r="T42" i="1"/>
  <c r="BK41" i="1"/>
  <c r="BJ41" i="1"/>
  <c r="BI41" i="1"/>
  <c r="BH41" i="1"/>
  <c r="BF41" i="1"/>
  <c r="BE41" i="1"/>
  <c r="BB41" i="1"/>
  <c r="BA41" i="1"/>
  <c r="BD41" i="1" s="1"/>
  <c r="AZ41" i="1"/>
  <c r="V41" i="1"/>
  <c r="U41" i="1"/>
  <c r="T41" i="1"/>
  <c r="BK40" i="1"/>
  <c r="BJ40" i="1"/>
  <c r="BI40" i="1"/>
  <c r="BH40" i="1"/>
  <c r="BF40" i="1"/>
  <c r="BE40" i="1"/>
  <c r="BG40" i="1" s="1"/>
  <c r="BB40" i="1"/>
  <c r="BA40" i="1"/>
  <c r="BD40" i="1" s="1"/>
  <c r="AZ40" i="1"/>
  <c r="V40" i="1"/>
  <c r="U40" i="1"/>
  <c r="T40" i="1"/>
  <c r="BK39" i="1"/>
  <c r="BJ39" i="1"/>
  <c r="BI39" i="1"/>
  <c r="BH39" i="1"/>
  <c r="BF39" i="1"/>
  <c r="BE39" i="1"/>
  <c r="BB39" i="1"/>
  <c r="BA39" i="1"/>
  <c r="AZ39" i="1"/>
  <c r="V39" i="1"/>
  <c r="U39" i="1"/>
  <c r="T39" i="1"/>
  <c r="BK38" i="1"/>
  <c r="BJ38" i="1"/>
  <c r="BI38" i="1"/>
  <c r="BH38" i="1"/>
  <c r="BF38" i="1"/>
  <c r="BE38" i="1"/>
  <c r="BG38" i="1" s="1"/>
  <c r="BB38" i="1"/>
  <c r="BD38" i="1" s="1"/>
  <c r="BA38" i="1"/>
  <c r="AZ38" i="1"/>
  <c r="V38" i="1"/>
  <c r="U38" i="1"/>
  <c r="T38" i="1"/>
  <c r="BK37" i="1"/>
  <c r="BJ37" i="1"/>
  <c r="BI37" i="1"/>
  <c r="BH37" i="1"/>
  <c r="BF37" i="1"/>
  <c r="BE37" i="1"/>
  <c r="BB37" i="1"/>
  <c r="BA37" i="1"/>
  <c r="AZ37" i="1"/>
  <c r="V37" i="1"/>
  <c r="U37" i="1"/>
  <c r="T37" i="1"/>
  <c r="BK36" i="1"/>
  <c r="BJ36" i="1"/>
  <c r="BI36" i="1"/>
  <c r="BH36" i="1"/>
  <c r="BF36" i="1"/>
  <c r="BE36" i="1"/>
  <c r="BG36" i="1" s="1"/>
  <c r="BD36" i="1"/>
  <c r="BB36" i="1"/>
  <c r="BC36" i="1" s="1"/>
  <c r="BA36" i="1"/>
  <c r="AZ36" i="1"/>
  <c r="V36" i="1"/>
  <c r="U36" i="1"/>
  <c r="T36" i="1"/>
  <c r="BK35" i="1"/>
  <c r="BJ35" i="1"/>
  <c r="BI35" i="1"/>
  <c r="BH35" i="1"/>
  <c r="BG35" i="1"/>
  <c r="BF35" i="1"/>
  <c r="BE35" i="1"/>
  <c r="BB35" i="1"/>
  <c r="BC35" i="1" s="1"/>
  <c r="BA35" i="1"/>
  <c r="AZ35" i="1"/>
  <c r="V35" i="1"/>
  <c r="U35" i="1"/>
  <c r="T35" i="1"/>
  <c r="BK34" i="1"/>
  <c r="BJ34" i="1"/>
  <c r="BI34" i="1"/>
  <c r="BH34" i="1"/>
  <c r="BF34" i="1"/>
  <c r="BE34" i="1"/>
  <c r="BG34" i="1" s="1"/>
  <c r="BB34" i="1"/>
  <c r="BA34" i="1"/>
  <c r="BD34" i="1" s="1"/>
  <c r="AZ34" i="1"/>
  <c r="V34" i="1"/>
  <c r="U34" i="1"/>
  <c r="T34" i="1"/>
  <c r="BK33" i="1"/>
  <c r="BJ33" i="1"/>
  <c r="BI33" i="1"/>
  <c r="BH33" i="1"/>
  <c r="BF33" i="1"/>
  <c r="BE33" i="1"/>
  <c r="BB33" i="1"/>
  <c r="BA33" i="1"/>
  <c r="AZ33" i="1"/>
  <c r="V33" i="1"/>
  <c r="U33" i="1"/>
  <c r="T33" i="1"/>
  <c r="BK32" i="1"/>
  <c r="BJ32" i="1"/>
  <c r="BI32" i="1"/>
  <c r="BH32" i="1"/>
  <c r="BF32" i="1"/>
  <c r="BE32" i="1"/>
  <c r="BG32" i="1" s="1"/>
  <c r="BD32" i="1"/>
  <c r="BB32" i="1"/>
  <c r="BA32" i="1"/>
  <c r="AZ32" i="1"/>
  <c r="V32" i="1"/>
  <c r="U32" i="1"/>
  <c r="T32" i="1"/>
  <c r="BK31" i="1"/>
  <c r="BJ31" i="1"/>
  <c r="BI31" i="1"/>
  <c r="BH31" i="1"/>
  <c r="BF31" i="1"/>
  <c r="BG31" i="1" s="1"/>
  <c r="BE31" i="1"/>
  <c r="BB31" i="1"/>
  <c r="BA31" i="1"/>
  <c r="AZ31" i="1"/>
  <c r="V31" i="1"/>
  <c r="U31" i="1"/>
  <c r="T31" i="1"/>
  <c r="BK30" i="1"/>
  <c r="BJ30" i="1"/>
  <c r="BI30" i="1"/>
  <c r="BH30" i="1"/>
  <c r="BF30" i="1"/>
  <c r="BE30" i="1"/>
  <c r="BB30" i="1"/>
  <c r="BA30" i="1"/>
  <c r="BC30" i="1" s="1"/>
  <c r="AZ30" i="1"/>
  <c r="V30" i="1"/>
  <c r="U30" i="1"/>
  <c r="T30" i="1"/>
  <c r="BK29" i="1"/>
  <c r="BJ29" i="1"/>
  <c r="BI29" i="1"/>
  <c r="BH29" i="1"/>
  <c r="BF29" i="1"/>
  <c r="BE29" i="1"/>
  <c r="BB29" i="1"/>
  <c r="BA29" i="1"/>
  <c r="BD29" i="1" s="1"/>
  <c r="AZ29" i="1"/>
  <c r="V29" i="1"/>
  <c r="U29" i="1"/>
  <c r="T29" i="1"/>
  <c r="BK28" i="1"/>
  <c r="BJ28" i="1"/>
  <c r="BI28" i="1"/>
  <c r="BH28" i="1"/>
  <c r="BF28" i="1"/>
  <c r="BE28" i="1"/>
  <c r="BC28" i="1"/>
  <c r="BB28" i="1"/>
  <c r="BA28" i="1"/>
  <c r="BD28" i="1" s="1"/>
  <c r="AZ28" i="1"/>
  <c r="V28" i="1"/>
  <c r="U28" i="1"/>
  <c r="T28" i="1"/>
  <c r="BK27" i="1"/>
  <c r="BJ27" i="1"/>
  <c r="BI27" i="1"/>
  <c r="BH27" i="1"/>
  <c r="BF27" i="1"/>
  <c r="BE27" i="1"/>
  <c r="BG27" i="1" s="1"/>
  <c r="BB27" i="1"/>
  <c r="BC27" i="1" s="1"/>
  <c r="BA27" i="1"/>
  <c r="AZ27" i="1"/>
  <c r="V27" i="1"/>
  <c r="U27" i="1"/>
  <c r="T27" i="1"/>
  <c r="BK26" i="1"/>
  <c r="BJ26" i="1"/>
  <c r="BI26" i="1"/>
  <c r="BH26" i="1"/>
  <c r="BF26" i="1"/>
  <c r="BE26" i="1"/>
  <c r="BB26" i="1"/>
  <c r="BA26" i="1"/>
  <c r="BD26" i="1" s="1"/>
  <c r="AZ26" i="1"/>
  <c r="V26" i="1"/>
  <c r="U26" i="1"/>
  <c r="T26" i="1"/>
  <c r="BK25" i="1"/>
  <c r="BJ25" i="1"/>
  <c r="BI25" i="1"/>
  <c r="BH25" i="1"/>
  <c r="BF25" i="1"/>
  <c r="BE25" i="1"/>
  <c r="BG25" i="1" s="1"/>
  <c r="BB25" i="1"/>
  <c r="BA25" i="1"/>
  <c r="AZ25" i="1"/>
  <c r="V25" i="1"/>
  <c r="U25" i="1"/>
  <c r="T25" i="1"/>
  <c r="BK24" i="1"/>
  <c r="BJ24" i="1"/>
  <c r="BI24" i="1"/>
  <c r="BH24" i="1"/>
  <c r="BG24" i="1"/>
  <c r="BF24" i="1"/>
  <c r="BE24" i="1"/>
  <c r="BB24" i="1"/>
  <c r="BA24" i="1"/>
  <c r="BC24" i="1" s="1"/>
  <c r="AZ24" i="1"/>
  <c r="V24" i="1"/>
  <c r="U24" i="1"/>
  <c r="T24" i="1"/>
  <c r="BK23" i="1"/>
  <c r="BJ23" i="1"/>
  <c r="BI23" i="1"/>
  <c r="BH23" i="1"/>
  <c r="BF23" i="1"/>
  <c r="BG23" i="1" s="1"/>
  <c r="BE23" i="1"/>
  <c r="BC23" i="1"/>
  <c r="BB23" i="1"/>
  <c r="BA23" i="1"/>
  <c r="AZ23" i="1"/>
  <c r="V23" i="1"/>
  <c r="U23" i="1"/>
  <c r="T23" i="1"/>
  <c r="BK22" i="1"/>
  <c r="BJ22" i="1"/>
  <c r="BI22" i="1"/>
  <c r="BH22" i="1"/>
  <c r="BF22" i="1"/>
  <c r="BE22" i="1"/>
  <c r="BB22" i="1"/>
  <c r="BD22" i="1" s="1"/>
  <c r="BA22" i="1"/>
  <c r="AZ22" i="1"/>
  <c r="V22" i="1"/>
  <c r="U22" i="1"/>
  <c r="T22" i="1"/>
  <c r="BK21" i="1"/>
  <c r="BJ21" i="1"/>
  <c r="BI21" i="1"/>
  <c r="BH21" i="1"/>
  <c r="BF21" i="1"/>
  <c r="BE21" i="1"/>
  <c r="BG21" i="1" s="1"/>
  <c r="BB21" i="1"/>
  <c r="BA21" i="1"/>
  <c r="AZ21" i="1"/>
  <c r="V21" i="1"/>
  <c r="U21" i="1"/>
  <c r="T21" i="1"/>
  <c r="BK20" i="1"/>
  <c r="BJ20" i="1"/>
  <c r="BI20" i="1"/>
  <c r="BH20" i="1"/>
  <c r="BF20" i="1"/>
  <c r="BE20" i="1"/>
  <c r="BB20" i="1"/>
  <c r="BA20" i="1"/>
  <c r="BD20" i="1" s="1"/>
  <c r="AZ20" i="1"/>
  <c r="V20" i="1"/>
  <c r="U20" i="1"/>
  <c r="T20" i="1"/>
  <c r="BK19" i="1"/>
  <c r="BJ19" i="1"/>
  <c r="BI19" i="1"/>
  <c r="BH19" i="1"/>
  <c r="BG19" i="1"/>
  <c r="BF19" i="1"/>
  <c r="BE19" i="1"/>
  <c r="BB19" i="1"/>
  <c r="BA19" i="1"/>
  <c r="BD19" i="1" s="1"/>
  <c r="AZ19" i="1"/>
  <c r="V19" i="1"/>
  <c r="U19" i="1"/>
  <c r="T19" i="1"/>
  <c r="BK18" i="1"/>
  <c r="BJ18" i="1"/>
  <c r="BI18" i="1"/>
  <c r="BH18" i="1"/>
  <c r="BF18" i="1"/>
  <c r="BE18" i="1"/>
  <c r="BB18" i="1"/>
  <c r="BA18" i="1"/>
  <c r="AZ18" i="1"/>
  <c r="V18" i="1"/>
  <c r="U18" i="1"/>
  <c r="T18" i="1"/>
  <c r="BK17" i="1"/>
  <c r="BJ17" i="1"/>
  <c r="BI17" i="1"/>
  <c r="BH17" i="1"/>
  <c r="BF17" i="1"/>
  <c r="BE17" i="1"/>
  <c r="BG17" i="1" s="1"/>
  <c r="BB17" i="1"/>
  <c r="BA17" i="1"/>
  <c r="BD17" i="1" s="1"/>
  <c r="AZ17" i="1"/>
  <c r="V17" i="1"/>
  <c r="U17" i="1"/>
  <c r="T17" i="1"/>
  <c r="BK16" i="1"/>
  <c r="BJ16" i="1"/>
  <c r="BI16" i="1"/>
  <c r="BH16" i="1"/>
  <c r="BF16" i="1"/>
  <c r="BE16" i="1"/>
  <c r="BG16" i="1" s="1"/>
  <c r="BD16" i="1"/>
  <c r="BB16" i="1"/>
  <c r="BA16" i="1"/>
  <c r="BC16" i="1" s="1"/>
  <c r="AZ16" i="1"/>
  <c r="V16" i="1"/>
  <c r="U16" i="1"/>
  <c r="T16" i="1"/>
  <c r="BK15" i="1"/>
  <c r="BJ15" i="1"/>
  <c r="BI15" i="1"/>
  <c r="BH15" i="1"/>
  <c r="BF15" i="1"/>
  <c r="BE15" i="1"/>
  <c r="BB15" i="1"/>
  <c r="BA15" i="1"/>
  <c r="BD15" i="1" s="1"/>
  <c r="AZ15" i="1"/>
  <c r="V15" i="1"/>
  <c r="U15" i="1"/>
  <c r="T15" i="1"/>
  <c r="BK14" i="1"/>
  <c r="BJ14" i="1"/>
  <c r="BI14" i="1"/>
  <c r="BH14" i="1"/>
  <c r="BF14" i="1"/>
  <c r="BE14" i="1"/>
  <c r="BB14" i="1"/>
  <c r="BD14" i="1" s="1"/>
  <c r="BA14" i="1"/>
  <c r="AZ14" i="1"/>
  <c r="V14" i="1"/>
  <c r="U14" i="1"/>
  <c r="T14" i="1"/>
  <c r="BK13" i="1"/>
  <c r="BJ13" i="1"/>
  <c r="BI13" i="1"/>
  <c r="BH13" i="1"/>
  <c r="BF13" i="1"/>
  <c r="BE13" i="1"/>
  <c r="BB13" i="1"/>
  <c r="BA13" i="1"/>
  <c r="BD13" i="1" s="1"/>
  <c r="AZ13" i="1"/>
  <c r="V13" i="1"/>
  <c r="U13" i="1"/>
  <c r="T13" i="1"/>
  <c r="BK12" i="1"/>
  <c r="BJ12" i="1"/>
  <c r="BI12" i="1"/>
  <c r="BH12" i="1"/>
  <c r="BF12" i="1"/>
  <c r="BE12" i="1"/>
  <c r="BB12" i="1"/>
  <c r="BA12" i="1"/>
  <c r="BD12" i="1" s="1"/>
  <c r="AZ12" i="1"/>
  <c r="V12" i="1"/>
  <c r="U12" i="1"/>
  <c r="T12" i="1"/>
  <c r="BK11" i="1"/>
  <c r="BJ11" i="1"/>
  <c r="BI11" i="1"/>
  <c r="BH11" i="1"/>
  <c r="BF11" i="1"/>
  <c r="BE11" i="1"/>
  <c r="BG11" i="1" s="1"/>
  <c r="BB11" i="1"/>
  <c r="BA11" i="1"/>
  <c r="BD11" i="1" s="1"/>
  <c r="AZ11" i="1"/>
  <c r="V11" i="1"/>
  <c r="U11" i="1"/>
  <c r="T11" i="1"/>
  <c r="BK10" i="1"/>
  <c r="BJ10" i="1"/>
  <c r="BI10" i="1"/>
  <c r="BH10" i="1"/>
  <c r="BF10" i="1"/>
  <c r="BE10" i="1"/>
  <c r="BG10" i="1" s="1"/>
  <c r="BB10" i="1"/>
  <c r="BA10" i="1"/>
  <c r="AZ10" i="1"/>
  <c r="V10" i="1"/>
  <c r="U10" i="1"/>
  <c r="T10" i="1"/>
  <c r="BK9" i="1"/>
  <c r="BJ9" i="1"/>
  <c r="BI9" i="1"/>
  <c r="BH9" i="1"/>
  <c r="BF9" i="1"/>
  <c r="BE9" i="1"/>
  <c r="BB9" i="1"/>
  <c r="BA9" i="1"/>
  <c r="BD9" i="1" s="1"/>
  <c r="AZ9" i="1"/>
  <c r="V9" i="1"/>
  <c r="U9" i="1"/>
  <c r="T9" i="1"/>
  <c r="BK8" i="1"/>
  <c r="BJ8" i="1"/>
  <c r="BI8" i="1"/>
  <c r="BH8" i="1"/>
  <c r="BF8" i="1"/>
  <c r="BE8" i="1"/>
  <c r="BG8" i="1" s="1"/>
  <c r="BB8" i="1"/>
  <c r="BA8" i="1"/>
  <c r="BD8" i="1" s="1"/>
  <c r="AZ8" i="1"/>
  <c r="V8" i="1"/>
  <c r="U8" i="1"/>
  <c r="T8" i="1"/>
  <c r="BK7" i="1"/>
  <c r="BJ7" i="1"/>
  <c r="BI7" i="1"/>
  <c r="BH7" i="1"/>
  <c r="BF7" i="1"/>
  <c r="BE7" i="1"/>
  <c r="BB7" i="1"/>
  <c r="BA7" i="1"/>
  <c r="AZ7" i="1"/>
  <c r="V7" i="1"/>
  <c r="U7" i="1"/>
  <c r="T7" i="1"/>
  <c r="BK6" i="1"/>
  <c r="BJ6" i="1"/>
  <c r="BI6" i="1"/>
  <c r="BH6" i="1"/>
  <c r="BF6" i="1"/>
  <c r="BE6" i="1"/>
  <c r="BG6" i="1" s="1"/>
  <c r="BB6" i="1"/>
  <c r="BD6" i="1" s="1"/>
  <c r="BA6" i="1"/>
  <c r="AZ6" i="1"/>
  <c r="V6" i="1"/>
  <c r="U6" i="1"/>
  <c r="T6" i="1"/>
  <c r="BK5" i="1"/>
  <c r="BJ5" i="1"/>
  <c r="BI5" i="1"/>
  <c r="BH5" i="1"/>
  <c r="BF5" i="1"/>
  <c r="BE5" i="1"/>
  <c r="BB5" i="1"/>
  <c r="BA5" i="1"/>
  <c r="AZ5" i="1"/>
  <c r="V5" i="1"/>
  <c r="U5" i="1"/>
  <c r="T5" i="1"/>
  <c r="BK4" i="1"/>
  <c r="BJ4" i="1"/>
  <c r="BI4" i="1"/>
  <c r="BH4" i="1"/>
  <c r="BF4" i="1"/>
  <c r="BE4" i="1"/>
  <c r="BG4" i="1" s="1"/>
  <c r="BD4" i="1"/>
  <c r="BB4" i="1"/>
  <c r="BA4" i="1"/>
  <c r="BC4" i="1" s="1"/>
  <c r="AZ4" i="1"/>
  <c r="V4" i="1"/>
  <c r="U4" i="1"/>
  <c r="T4" i="1"/>
  <c r="BK3" i="1"/>
  <c r="BJ3" i="1"/>
  <c r="BI3" i="1"/>
  <c r="BH3" i="1"/>
  <c r="BF3" i="1"/>
  <c r="BG3" i="1" s="1"/>
  <c r="BE3" i="1"/>
  <c r="BB3" i="1"/>
  <c r="BA3" i="1"/>
  <c r="BC3" i="1" s="1"/>
  <c r="AZ3" i="1"/>
  <c r="V3" i="1"/>
  <c r="U3" i="1"/>
  <c r="T3" i="1"/>
  <c r="BD10" i="1" l="1"/>
  <c r="BG18" i="1"/>
  <c r="BD25" i="1"/>
  <c r="BD27" i="1"/>
  <c r="BD30" i="1"/>
  <c r="BC32" i="1"/>
  <c r="BG33" i="1"/>
  <c r="BD42" i="1"/>
  <c r="BG50" i="1"/>
  <c r="BG52" i="1"/>
  <c r="BG59" i="1"/>
  <c r="BD65" i="1"/>
  <c r="BC75" i="1"/>
  <c r="BD5" i="1"/>
  <c r="BD7" i="1"/>
  <c r="BG13" i="1"/>
  <c r="BC15" i="1"/>
  <c r="BC20" i="1"/>
  <c r="BC22" i="1"/>
  <c r="BG28" i="1"/>
  <c r="BG30" i="1"/>
  <c r="BD37" i="1"/>
  <c r="BD39" i="1"/>
  <c r="BG45" i="1"/>
  <c r="BC47" i="1"/>
  <c r="BG56" i="1"/>
  <c r="BC58" i="1"/>
  <c r="BD60" i="1"/>
  <c r="BC62" i="1"/>
  <c r="BG65" i="1"/>
  <c r="BG68" i="1"/>
  <c r="BD72" i="1"/>
  <c r="BD77" i="1"/>
  <c r="BG5" i="1"/>
  <c r="BC7" i="1"/>
  <c r="BC12" i="1"/>
  <c r="BC14" i="1"/>
  <c r="BG15" i="1"/>
  <c r="BC19" i="1"/>
  <c r="BG20" i="1"/>
  <c r="BG22" i="1"/>
  <c r="BD31" i="1"/>
  <c r="BG37" i="1"/>
  <c r="BC39" i="1"/>
  <c r="BC44" i="1"/>
  <c r="BC46" i="1"/>
  <c r="BC57" i="1"/>
  <c r="BG60" i="1"/>
  <c r="BD24" i="1"/>
  <c r="BG49" i="1"/>
  <c r="BC59" i="1"/>
  <c r="BG67" i="1"/>
  <c r="BD71" i="1"/>
  <c r="BG74" i="1"/>
  <c r="BC76" i="1"/>
  <c r="BC6" i="1"/>
  <c r="BG7" i="1"/>
  <c r="BC11" i="1"/>
  <c r="BG12" i="1"/>
  <c r="BG14" i="1"/>
  <c r="BD21" i="1"/>
  <c r="BD23" i="1"/>
  <c r="BG29" i="1"/>
  <c r="BC31" i="1"/>
  <c r="BC38" i="1"/>
  <c r="BG39" i="1"/>
  <c r="BG44" i="1"/>
  <c r="BG46" i="1"/>
  <c r="BG57" i="1"/>
  <c r="BD61" i="1"/>
  <c r="BG64" i="1"/>
  <c r="BG69" i="1"/>
  <c r="BC73" i="1"/>
  <c r="BC8" i="1"/>
  <c r="BG9" i="1"/>
  <c r="BD18" i="1"/>
  <c r="BG26" i="1"/>
  <c r="BD33" i="1"/>
  <c r="BD35" i="1"/>
  <c r="BC40" i="1"/>
  <c r="BG41" i="1"/>
  <c r="BD63" i="1"/>
  <c r="BG66" i="1"/>
  <c r="BC68" i="1"/>
  <c r="F4" i="5"/>
  <c r="E4" i="5"/>
  <c r="B21" i="2"/>
  <c r="D4" i="5"/>
  <c r="B20" i="2"/>
  <c r="C4" i="5"/>
  <c r="B8" i="2"/>
  <c r="J4" i="5"/>
  <c r="B4" i="5"/>
  <c r="I4" i="5"/>
  <c r="B6" i="2"/>
  <c r="H4" i="5"/>
  <c r="B15" i="2"/>
  <c r="G4" i="5"/>
  <c r="B23" i="2"/>
  <c r="C23" i="2" s="1"/>
  <c r="B14" i="2"/>
  <c r="D12" i="5"/>
  <c r="H12" i="5"/>
  <c r="J12" i="5"/>
  <c r="I12" i="5"/>
  <c r="G12" i="5"/>
  <c r="F12" i="5"/>
  <c r="E12" i="5"/>
  <c r="C12" i="5"/>
  <c r="B12" i="5"/>
  <c r="D20" i="5"/>
  <c r="H20" i="5"/>
  <c r="F20" i="5"/>
  <c r="E20" i="5"/>
  <c r="C20" i="5"/>
  <c r="B20" i="5"/>
  <c r="J20" i="5"/>
  <c r="I20" i="5"/>
  <c r="G20" i="5"/>
  <c r="D28" i="5"/>
  <c r="H28" i="5"/>
  <c r="J28" i="5"/>
  <c r="I28" i="5"/>
  <c r="G28" i="5"/>
  <c r="F28" i="5"/>
  <c r="E28" i="5"/>
  <c r="C28" i="5"/>
  <c r="B28" i="5"/>
  <c r="D36" i="5"/>
  <c r="H36" i="5"/>
  <c r="F36" i="5"/>
  <c r="E36" i="5"/>
  <c r="C36" i="5"/>
  <c r="B36" i="5"/>
  <c r="J36" i="5"/>
  <c r="I36" i="5"/>
  <c r="G36" i="5"/>
  <c r="D44" i="5"/>
  <c r="H44" i="5"/>
  <c r="J44" i="5"/>
  <c r="I44" i="5"/>
  <c r="G44" i="5"/>
  <c r="F44" i="5"/>
  <c r="E44" i="5"/>
  <c r="C44" i="5"/>
  <c r="B44" i="5"/>
  <c r="F51" i="5"/>
  <c r="J51" i="5"/>
  <c r="B51" i="5"/>
  <c r="E51" i="5"/>
  <c r="D51" i="5"/>
  <c r="C51" i="5"/>
  <c r="I51" i="5"/>
  <c r="H51" i="5"/>
  <c r="G51" i="5"/>
  <c r="D5" i="5"/>
  <c r="C5" i="5"/>
  <c r="J5" i="5"/>
  <c r="B5" i="5"/>
  <c r="I5" i="5"/>
  <c r="H5" i="5"/>
  <c r="G5" i="5"/>
  <c r="F5" i="5"/>
  <c r="E5" i="5"/>
  <c r="BC5" i="1"/>
  <c r="F11" i="5"/>
  <c r="J11" i="5"/>
  <c r="B11" i="5"/>
  <c r="I11" i="5"/>
  <c r="H11" i="5"/>
  <c r="G11" i="5"/>
  <c r="E11" i="5"/>
  <c r="D11" i="5"/>
  <c r="C11" i="5"/>
  <c r="BC13" i="1"/>
  <c r="F19" i="5"/>
  <c r="J19" i="5"/>
  <c r="B19" i="5"/>
  <c r="E19" i="5"/>
  <c r="D19" i="5"/>
  <c r="C19" i="5"/>
  <c r="I19" i="5"/>
  <c r="H19" i="5"/>
  <c r="G19" i="5"/>
  <c r="BC21" i="1"/>
  <c r="F27" i="5"/>
  <c r="J27" i="5"/>
  <c r="B27" i="5"/>
  <c r="I27" i="5"/>
  <c r="H27" i="5"/>
  <c r="G27" i="5"/>
  <c r="E27" i="5"/>
  <c r="D27" i="5"/>
  <c r="C27" i="5"/>
  <c r="BC29" i="1"/>
  <c r="F35" i="5"/>
  <c r="J35" i="5"/>
  <c r="B35" i="5"/>
  <c r="E35" i="5"/>
  <c r="D35" i="5"/>
  <c r="C35" i="5"/>
  <c r="I35" i="5"/>
  <c r="H35" i="5"/>
  <c r="G35" i="5"/>
  <c r="BC37" i="1"/>
  <c r="F43" i="5"/>
  <c r="J43" i="5"/>
  <c r="B43" i="5"/>
  <c r="I43" i="5"/>
  <c r="H43" i="5"/>
  <c r="G43" i="5"/>
  <c r="E43" i="5"/>
  <c r="D43" i="5"/>
  <c r="C43" i="5"/>
  <c r="BC45" i="1"/>
  <c r="BD50" i="1"/>
  <c r="BD51" i="1"/>
  <c r="H54" i="5"/>
  <c r="D54" i="5"/>
  <c r="G54" i="5"/>
  <c r="F54" i="5"/>
  <c r="E54" i="5"/>
  <c r="C54" i="5"/>
  <c r="B54" i="5"/>
  <c r="J54" i="5"/>
  <c r="I54" i="5"/>
  <c r="J45" i="5"/>
  <c r="B45" i="5"/>
  <c r="F45" i="5"/>
  <c r="I45" i="5"/>
  <c r="H45" i="5"/>
  <c r="G45" i="5"/>
  <c r="E45" i="5"/>
  <c r="D45" i="5"/>
  <c r="C45" i="5"/>
  <c r="J10" i="5"/>
  <c r="B10" i="5"/>
  <c r="I10" i="5"/>
  <c r="H10" i="5"/>
  <c r="G10" i="5"/>
  <c r="F10" i="5"/>
  <c r="E10" i="5"/>
  <c r="D10" i="5"/>
  <c r="C10" i="5"/>
  <c r="H18" i="5"/>
  <c r="D18" i="5"/>
  <c r="E18" i="5"/>
  <c r="C18" i="5"/>
  <c r="B18" i="5"/>
  <c r="J18" i="5"/>
  <c r="I18" i="5"/>
  <c r="G18" i="5"/>
  <c r="F18" i="5"/>
  <c r="H26" i="5"/>
  <c r="D26" i="5"/>
  <c r="J26" i="5"/>
  <c r="I26" i="5"/>
  <c r="G26" i="5"/>
  <c r="F26" i="5"/>
  <c r="E26" i="5"/>
  <c r="C26" i="5"/>
  <c r="B26" i="5"/>
  <c r="H34" i="5"/>
  <c r="D34" i="5"/>
  <c r="E34" i="5"/>
  <c r="C34" i="5"/>
  <c r="B34" i="5"/>
  <c r="J34" i="5"/>
  <c r="I34" i="5"/>
  <c r="G34" i="5"/>
  <c r="F34" i="5"/>
  <c r="H42" i="5"/>
  <c r="D42" i="5"/>
  <c r="J42" i="5"/>
  <c r="I42" i="5"/>
  <c r="G42" i="5"/>
  <c r="F42" i="5"/>
  <c r="E42" i="5"/>
  <c r="C42" i="5"/>
  <c r="B42" i="5"/>
  <c r="H50" i="5"/>
  <c r="D50" i="5"/>
  <c r="E50" i="5"/>
  <c r="C50" i="5"/>
  <c r="B50" i="5"/>
  <c r="J50" i="5"/>
  <c r="I50" i="5"/>
  <c r="G50" i="5"/>
  <c r="F50" i="5"/>
  <c r="BD53" i="1"/>
  <c r="BC53" i="1"/>
  <c r="D56" i="5"/>
  <c r="H56" i="5"/>
  <c r="I56" i="5"/>
  <c r="G56" i="5"/>
  <c r="F56" i="5"/>
  <c r="E56" i="5"/>
  <c r="C56" i="5"/>
  <c r="B56" i="5"/>
  <c r="J56" i="5"/>
  <c r="J13" i="5"/>
  <c r="B13" i="5"/>
  <c r="F13" i="5"/>
  <c r="I13" i="5"/>
  <c r="H13" i="5"/>
  <c r="G13" i="5"/>
  <c r="E13" i="5"/>
  <c r="D13" i="5"/>
  <c r="C13" i="5"/>
  <c r="J29" i="5"/>
  <c r="B29" i="5"/>
  <c r="F29" i="5"/>
  <c r="I29" i="5"/>
  <c r="H29" i="5"/>
  <c r="G29" i="5"/>
  <c r="E29" i="5"/>
  <c r="D29" i="5"/>
  <c r="C29" i="5"/>
  <c r="D9" i="5"/>
  <c r="C9" i="5"/>
  <c r="J9" i="5"/>
  <c r="B9" i="5"/>
  <c r="I9" i="5"/>
  <c r="H9" i="5"/>
  <c r="G9" i="5"/>
  <c r="F9" i="5"/>
  <c r="E9" i="5"/>
  <c r="J17" i="5"/>
  <c r="B17" i="5"/>
  <c r="F17" i="5"/>
  <c r="D17" i="5"/>
  <c r="C17" i="5"/>
  <c r="I17" i="5"/>
  <c r="H17" i="5"/>
  <c r="G17" i="5"/>
  <c r="E17" i="5"/>
  <c r="J25" i="5"/>
  <c r="B25" i="5"/>
  <c r="F25" i="5"/>
  <c r="I25" i="5"/>
  <c r="H25" i="5"/>
  <c r="G25" i="5"/>
  <c r="E25" i="5"/>
  <c r="D25" i="5"/>
  <c r="C25" i="5"/>
  <c r="J33" i="5"/>
  <c r="B33" i="5"/>
  <c r="F33" i="5"/>
  <c r="D33" i="5"/>
  <c r="C33" i="5"/>
  <c r="I33" i="5"/>
  <c r="H33" i="5"/>
  <c r="G33" i="5"/>
  <c r="E33" i="5"/>
  <c r="J41" i="5"/>
  <c r="B41" i="5"/>
  <c r="F41" i="5"/>
  <c r="I41" i="5"/>
  <c r="H41" i="5"/>
  <c r="G41" i="5"/>
  <c r="E41" i="5"/>
  <c r="D41" i="5"/>
  <c r="C41" i="5"/>
  <c r="BC43" i="1"/>
  <c r="J49" i="5"/>
  <c r="B49" i="5"/>
  <c r="F49" i="5"/>
  <c r="D49" i="5"/>
  <c r="C49" i="5"/>
  <c r="I49" i="5"/>
  <c r="H49" i="5"/>
  <c r="G49" i="5"/>
  <c r="E49" i="5"/>
  <c r="BC50" i="1"/>
  <c r="BD64" i="1"/>
  <c r="BC64" i="1"/>
  <c r="B10" i="2"/>
  <c r="BD56" i="1"/>
  <c r="BC56" i="1"/>
  <c r="BD3" i="1"/>
  <c r="F8" i="5"/>
  <c r="E8" i="5"/>
  <c r="D8" i="5"/>
  <c r="C8" i="5"/>
  <c r="J8" i="5"/>
  <c r="B8" i="5"/>
  <c r="I8" i="5"/>
  <c r="H8" i="5"/>
  <c r="G8" i="5"/>
  <c r="BC10" i="1"/>
  <c r="D16" i="5"/>
  <c r="H16" i="5"/>
  <c r="C16" i="5"/>
  <c r="B16" i="5"/>
  <c r="J16" i="5"/>
  <c r="I16" i="5"/>
  <c r="G16" i="5"/>
  <c r="F16" i="5"/>
  <c r="E16" i="5"/>
  <c r="BC18" i="1"/>
  <c r="D24" i="5"/>
  <c r="H24" i="5"/>
  <c r="I24" i="5"/>
  <c r="G24" i="5"/>
  <c r="F24" i="5"/>
  <c r="E24" i="5"/>
  <c r="C24" i="5"/>
  <c r="B24" i="5"/>
  <c r="J24" i="5"/>
  <c r="BC26" i="1"/>
  <c r="D32" i="5"/>
  <c r="H32" i="5"/>
  <c r="C32" i="5"/>
  <c r="B32" i="5"/>
  <c r="J32" i="5"/>
  <c r="I32" i="5"/>
  <c r="G32" i="5"/>
  <c r="F32" i="5"/>
  <c r="E32" i="5"/>
  <c r="BC34" i="1"/>
  <c r="D40" i="5"/>
  <c r="H40" i="5"/>
  <c r="I40" i="5"/>
  <c r="G40" i="5"/>
  <c r="F40" i="5"/>
  <c r="E40" i="5"/>
  <c r="C40" i="5"/>
  <c r="B40" i="5"/>
  <c r="J40" i="5"/>
  <c r="BC42" i="1"/>
  <c r="D48" i="5"/>
  <c r="H48" i="5"/>
  <c r="C48" i="5"/>
  <c r="B48" i="5"/>
  <c r="J48" i="5"/>
  <c r="I48" i="5"/>
  <c r="G48" i="5"/>
  <c r="F48" i="5"/>
  <c r="E48" i="5"/>
  <c r="J53" i="5"/>
  <c r="B53" i="5"/>
  <c r="F53" i="5"/>
  <c r="G53" i="5"/>
  <c r="E53" i="5"/>
  <c r="D53" i="5"/>
  <c r="C53" i="5"/>
  <c r="I53" i="5"/>
  <c r="H53" i="5"/>
  <c r="BG53" i="1"/>
  <c r="BD55" i="1"/>
  <c r="BC55" i="1"/>
  <c r="J37" i="5"/>
  <c r="B37" i="5"/>
  <c r="F37" i="5"/>
  <c r="G37" i="5"/>
  <c r="E37" i="5"/>
  <c r="D37" i="5"/>
  <c r="C37" i="5"/>
  <c r="I37" i="5"/>
  <c r="H37" i="5"/>
  <c r="D57" i="3"/>
  <c r="D49" i="3"/>
  <c r="D41" i="3"/>
  <c r="D33" i="3"/>
  <c r="D25" i="3"/>
  <c r="D17" i="3"/>
  <c r="D9" i="3"/>
  <c r="D56" i="3"/>
  <c r="D48" i="3"/>
  <c r="D40" i="3"/>
  <c r="D32" i="3"/>
  <c r="D24" i="3"/>
  <c r="D16" i="3"/>
  <c r="D8" i="3"/>
  <c r="D55" i="3"/>
  <c r="D47" i="3"/>
  <c r="D39" i="3"/>
  <c r="D31" i="3"/>
  <c r="D23" i="3"/>
  <c r="D15" i="3"/>
  <c r="D7" i="3"/>
  <c r="D54" i="3"/>
  <c r="D46" i="3"/>
  <c r="D38" i="3"/>
  <c r="D30" i="3"/>
  <c r="D22" i="3"/>
  <c r="D14" i="3"/>
  <c r="D6" i="3"/>
  <c r="D53" i="3"/>
  <c r="D45" i="3"/>
  <c r="D37" i="3"/>
  <c r="D29" i="3"/>
  <c r="D21" i="3"/>
  <c r="D13" i="3"/>
  <c r="D5" i="3"/>
  <c r="D52" i="3"/>
  <c r="D44" i="3"/>
  <c r="D36" i="3"/>
  <c r="D28" i="3"/>
  <c r="D20" i="3"/>
  <c r="D12" i="3"/>
  <c r="D4" i="3"/>
  <c r="D59" i="3"/>
  <c r="D51" i="3"/>
  <c r="D43" i="3"/>
  <c r="D35" i="3"/>
  <c r="D27" i="3"/>
  <c r="D19" i="3"/>
  <c r="D11" i="3"/>
  <c r="D58" i="3"/>
  <c r="D50" i="3"/>
  <c r="D42" i="3"/>
  <c r="D34" i="3"/>
  <c r="D26" i="3"/>
  <c r="D18" i="3"/>
  <c r="D10" i="3"/>
  <c r="H7" i="5"/>
  <c r="G7" i="5"/>
  <c r="F7" i="5"/>
  <c r="E7" i="5"/>
  <c r="D7" i="5"/>
  <c r="C7" i="5"/>
  <c r="J7" i="5"/>
  <c r="B7" i="5"/>
  <c r="I7" i="5"/>
  <c r="BC9" i="1"/>
  <c r="F15" i="5"/>
  <c r="J15" i="5"/>
  <c r="B15" i="5"/>
  <c r="C15" i="5"/>
  <c r="I15" i="5"/>
  <c r="H15" i="5"/>
  <c r="G15" i="5"/>
  <c r="E15" i="5"/>
  <c r="D15" i="5"/>
  <c r="BC17" i="1"/>
  <c r="F23" i="5"/>
  <c r="J23" i="5"/>
  <c r="B23" i="5"/>
  <c r="H23" i="5"/>
  <c r="G23" i="5"/>
  <c r="E23" i="5"/>
  <c r="D23" i="5"/>
  <c r="C23" i="5"/>
  <c r="I23" i="5"/>
  <c r="BC25" i="1"/>
  <c r="F31" i="5"/>
  <c r="J31" i="5"/>
  <c r="B31" i="5"/>
  <c r="C31" i="5"/>
  <c r="I31" i="5"/>
  <c r="H31" i="5"/>
  <c r="G31" i="5"/>
  <c r="E31" i="5"/>
  <c r="D31" i="5"/>
  <c r="BC33" i="1"/>
  <c r="F39" i="5"/>
  <c r="J39" i="5"/>
  <c r="B39" i="5"/>
  <c r="H39" i="5"/>
  <c r="G39" i="5"/>
  <c r="E39" i="5"/>
  <c r="D39" i="5"/>
  <c r="C39" i="5"/>
  <c r="I39" i="5"/>
  <c r="BC41" i="1"/>
  <c r="F47" i="5"/>
  <c r="J47" i="5"/>
  <c r="B47" i="5"/>
  <c r="C47" i="5"/>
  <c r="I47" i="5"/>
  <c r="H47" i="5"/>
  <c r="G47" i="5"/>
  <c r="E47" i="5"/>
  <c r="D47" i="5"/>
  <c r="BD49" i="1"/>
  <c r="BD52" i="1"/>
  <c r="BC52" i="1"/>
  <c r="D64" i="5"/>
  <c r="H64" i="5"/>
  <c r="C64" i="5"/>
  <c r="B64" i="5"/>
  <c r="J64" i="5"/>
  <c r="I64" i="5"/>
  <c r="G64" i="5"/>
  <c r="F64" i="5"/>
  <c r="E64" i="5"/>
  <c r="J21" i="5"/>
  <c r="B21" i="5"/>
  <c r="F21" i="5"/>
  <c r="G21" i="5"/>
  <c r="E21" i="5"/>
  <c r="D21" i="5"/>
  <c r="C21" i="5"/>
  <c r="I21" i="5"/>
  <c r="H21" i="5"/>
  <c r="J6" i="5"/>
  <c r="B6" i="5"/>
  <c r="I6" i="5"/>
  <c r="H6" i="5"/>
  <c r="G6" i="5"/>
  <c r="F6" i="5"/>
  <c r="E6" i="5"/>
  <c r="D6" i="5"/>
  <c r="C6" i="5"/>
  <c r="H14" i="5"/>
  <c r="D14" i="5"/>
  <c r="B14" i="5"/>
  <c r="J14" i="5"/>
  <c r="I14" i="5"/>
  <c r="G14" i="5"/>
  <c r="F14" i="5"/>
  <c r="E14" i="5"/>
  <c r="C14" i="5"/>
  <c r="H22" i="5"/>
  <c r="D22" i="5"/>
  <c r="G22" i="5"/>
  <c r="F22" i="5"/>
  <c r="E22" i="5"/>
  <c r="C22" i="5"/>
  <c r="B22" i="5"/>
  <c r="J22" i="5"/>
  <c r="I22" i="5"/>
  <c r="H30" i="5"/>
  <c r="D30" i="5"/>
  <c r="B30" i="5"/>
  <c r="J30" i="5"/>
  <c r="I30" i="5"/>
  <c r="G30" i="5"/>
  <c r="F30" i="5"/>
  <c r="E30" i="5"/>
  <c r="C30" i="5"/>
  <c r="H38" i="5"/>
  <c r="D38" i="5"/>
  <c r="G38" i="5"/>
  <c r="F38" i="5"/>
  <c r="E38" i="5"/>
  <c r="C38" i="5"/>
  <c r="B38" i="5"/>
  <c r="J38" i="5"/>
  <c r="I38" i="5"/>
  <c r="H46" i="5"/>
  <c r="D46" i="5"/>
  <c r="B46" i="5"/>
  <c r="J46" i="5"/>
  <c r="I46" i="5"/>
  <c r="G46" i="5"/>
  <c r="F46" i="5"/>
  <c r="E46" i="5"/>
  <c r="C46" i="5"/>
  <c r="D52" i="5"/>
  <c r="H52" i="5"/>
  <c r="F52" i="5"/>
  <c r="E52" i="5"/>
  <c r="C52" i="5"/>
  <c r="B52" i="5"/>
  <c r="J52" i="5"/>
  <c r="I52" i="5"/>
  <c r="G52" i="5"/>
  <c r="BC54" i="1"/>
  <c r="BD54" i="1"/>
  <c r="F59" i="5"/>
  <c r="J59" i="5"/>
  <c r="B59" i="5"/>
  <c r="BC61" i="1"/>
  <c r="BD62" i="1"/>
  <c r="F67" i="5"/>
  <c r="J67" i="5"/>
  <c r="B67" i="5"/>
  <c r="BC69" i="1"/>
  <c r="BD70" i="1"/>
  <c r="F75" i="5"/>
  <c r="J75" i="5"/>
  <c r="B75" i="5"/>
  <c r="BC77" i="1"/>
  <c r="I55" i="5"/>
  <c r="B60" i="5"/>
  <c r="C61" i="5"/>
  <c r="C62" i="5"/>
  <c r="D63" i="5"/>
  <c r="E65" i="5"/>
  <c r="G67" i="5"/>
  <c r="G68" i="5"/>
  <c r="H69" i="5"/>
  <c r="I70" i="5"/>
  <c r="I71" i="5"/>
  <c r="J72" i="5"/>
  <c r="B76" i="5"/>
  <c r="D77" i="5"/>
  <c r="H58" i="5"/>
  <c r="D58" i="5"/>
  <c r="BC60" i="1"/>
  <c r="H66" i="5"/>
  <c r="D66" i="5"/>
  <c r="H74" i="5"/>
  <c r="D74" i="5"/>
  <c r="B58" i="5"/>
  <c r="C59" i="5"/>
  <c r="C60" i="5"/>
  <c r="D61" i="5"/>
  <c r="E62" i="5"/>
  <c r="E63" i="5"/>
  <c r="G66" i="5"/>
  <c r="H67" i="5"/>
  <c r="I68" i="5"/>
  <c r="I69" i="5"/>
  <c r="J70" i="5"/>
  <c r="B74" i="5"/>
  <c r="C75" i="5"/>
  <c r="C76" i="5"/>
  <c r="E77" i="5"/>
  <c r="J57" i="5"/>
  <c r="B57" i="5"/>
  <c r="F57" i="5"/>
  <c r="J65" i="5"/>
  <c r="B65" i="5"/>
  <c r="F65" i="5"/>
  <c r="J73" i="5"/>
  <c r="B73" i="5"/>
  <c r="F73" i="5"/>
  <c r="C57" i="5"/>
  <c r="C58" i="5"/>
  <c r="D59" i="5"/>
  <c r="E60" i="5"/>
  <c r="E61" i="5"/>
  <c r="F62" i="5"/>
  <c r="G63" i="5"/>
  <c r="H65" i="5"/>
  <c r="I66" i="5"/>
  <c r="I67" i="5"/>
  <c r="J68" i="5"/>
  <c r="C73" i="5"/>
  <c r="C74" i="5"/>
  <c r="D75" i="5"/>
  <c r="E76" i="5"/>
  <c r="H77" i="5"/>
  <c r="D72" i="5"/>
  <c r="H72" i="5"/>
  <c r="D57" i="5"/>
  <c r="E58" i="5"/>
  <c r="E59" i="5"/>
  <c r="F60" i="5"/>
  <c r="G61" i="5"/>
  <c r="G62" i="5"/>
  <c r="I65" i="5"/>
  <c r="J66" i="5"/>
  <c r="B70" i="5"/>
  <c r="C72" i="5"/>
  <c r="D73" i="5"/>
  <c r="E74" i="5"/>
  <c r="E75" i="5"/>
  <c r="F76" i="5"/>
  <c r="F55" i="5"/>
  <c r="J55" i="5"/>
  <c r="B55" i="5"/>
  <c r="F63" i="5"/>
  <c r="J63" i="5"/>
  <c r="B63" i="5"/>
  <c r="F71" i="5"/>
  <c r="J71" i="5"/>
  <c r="B71" i="5"/>
  <c r="D55" i="5"/>
  <c r="E57" i="5"/>
  <c r="F58" i="5"/>
  <c r="G59" i="5"/>
  <c r="G60" i="5"/>
  <c r="H61" i="5"/>
  <c r="I63" i="5"/>
  <c r="B68" i="5"/>
  <c r="C69" i="5"/>
  <c r="D71" i="5"/>
  <c r="E72" i="5"/>
  <c r="E73" i="5"/>
  <c r="F74" i="5"/>
  <c r="G75" i="5"/>
  <c r="G76" i="5"/>
  <c r="H62" i="5"/>
  <c r="D62" i="5"/>
  <c r="H70" i="5"/>
  <c r="D70" i="5"/>
  <c r="BC72" i="1"/>
  <c r="J78" i="5"/>
  <c r="I78" i="5"/>
  <c r="H78" i="5"/>
  <c r="E78" i="5"/>
  <c r="D78" i="5"/>
  <c r="C78" i="5"/>
  <c r="E55" i="5"/>
  <c r="G57" i="5"/>
  <c r="G58" i="5"/>
  <c r="H59" i="5"/>
  <c r="I60" i="5"/>
  <c r="J62" i="5"/>
  <c r="B66" i="5"/>
  <c r="C67" i="5"/>
  <c r="C68" i="5"/>
  <c r="E70" i="5"/>
  <c r="E71" i="5"/>
  <c r="F72" i="5"/>
  <c r="G73" i="5"/>
  <c r="G74" i="5"/>
  <c r="H75" i="5"/>
  <c r="B78" i="5"/>
  <c r="J61" i="5"/>
  <c r="B61" i="5"/>
  <c r="F61" i="5"/>
  <c r="J69" i="5"/>
  <c r="B69" i="5"/>
  <c r="F69" i="5"/>
  <c r="J77" i="5"/>
  <c r="B77" i="5"/>
  <c r="G77" i="5"/>
  <c r="F77" i="5"/>
  <c r="G55" i="5"/>
  <c r="H57" i="5"/>
  <c r="I58" i="5"/>
  <c r="I59" i="5"/>
  <c r="C65" i="5"/>
  <c r="C66" i="5"/>
  <c r="D67" i="5"/>
  <c r="E69" i="5"/>
  <c r="F70" i="5"/>
  <c r="G71" i="5"/>
  <c r="G72" i="5"/>
  <c r="H73" i="5"/>
  <c r="I74" i="5"/>
  <c r="I75" i="5"/>
  <c r="F78" i="5"/>
  <c r="D60" i="5"/>
  <c r="H60" i="5"/>
  <c r="D68" i="5"/>
  <c r="H68" i="5"/>
  <c r="D76" i="5"/>
  <c r="I76" i="5"/>
  <c r="H76" i="5"/>
  <c r="H55" i="5"/>
  <c r="I57" i="5"/>
  <c r="J58" i="5"/>
  <c r="B62" i="5"/>
  <c r="C63" i="5"/>
  <c r="D65" i="5"/>
  <c r="E66" i="5"/>
  <c r="E67" i="5"/>
  <c r="F68" i="5"/>
  <c r="G69" i="5"/>
  <c r="G70" i="5"/>
  <c r="H71" i="5"/>
  <c r="I72" i="5"/>
  <c r="I73" i="5"/>
  <c r="J74" i="5"/>
  <c r="C77" i="5"/>
  <c r="G78" i="5"/>
  <c r="B17" i="2" l="1"/>
  <c r="B11" i="2"/>
  <c r="B27" i="2"/>
  <c r="B22" i="2"/>
  <c r="B32" i="2"/>
  <c r="B24" i="2"/>
  <c r="C24" i="2" s="1"/>
  <c r="B16" i="2"/>
  <c r="C16" i="2" s="1"/>
  <c r="B30" i="2" l="1"/>
  <c r="B29" i="2"/>
  <c r="B28" i="2"/>
  <c r="B31" i="2"/>
</calcChain>
</file>

<file path=xl/sharedStrings.xml><?xml version="1.0" encoding="utf-8"?>
<sst xmlns="http://schemas.openxmlformats.org/spreadsheetml/2006/main" count="1721" uniqueCount="496">
  <si>
    <t>Código de sesión</t>
  </si>
  <si>
    <t>Fecha</t>
  </si>
  <si>
    <t>Aplicador</t>
  </si>
  <si>
    <t>Rango de edad</t>
  </si>
  <si>
    <t>¿Vive en Juliaca?</t>
  </si>
  <si>
    <t>¿Trámite presencial en la MPSR (12 meses)?</t>
  </si>
  <si>
    <t>Categoría del trámite</t>
  </si>
  <si>
    <t>Tiempo presencial (rango)</t>
  </si>
  <si>
    <t>Veces que volvió o hizo seguimiento</t>
  </si>
  <si>
    <t>Dif.: información no clara (1 = sí)</t>
  </si>
  <si>
    <t>Dif.: demora excesiva (1 = sí)</t>
  </si>
  <si>
    <t>Dif.: colas largas (1 = sí)</t>
  </si>
  <si>
    <t>Dif.: falta de orientación (1 = sí)</t>
  </si>
  <si>
    <t>Dif.: ninguna (1 = sí)</t>
  </si>
  <si>
    <t>Dif.: otra (1 = sí)</t>
  </si>
  <si>
    <t>Pre P7 atención presencial rápida</t>
  </si>
  <si>
    <t>Pre P8 resolver dudas sin ir presencialmente</t>
  </si>
  <si>
    <t>Pre P9 requisitos claros</t>
  </si>
  <si>
    <t>Pre P10 satisfacción general</t>
  </si>
  <si>
    <t>Tarjeta 1</t>
  </si>
  <si>
    <t>Tarjeta 2</t>
  </si>
  <si>
    <t>Tarjeta 3</t>
  </si>
  <si>
    <t>Consulta 1: texto escrito</t>
  </si>
  <si>
    <t>Consulta 1: tiempo hasta respuesta útil (s)</t>
  </si>
  <si>
    <t>Consulta 1: mensajes enviados</t>
  </si>
  <si>
    <t>Consulta 1: ¿la persona obtuvo lo que necesitaba?</t>
  </si>
  <si>
    <t>Consulta 1: ¿respuesta correcta? (aplicador)</t>
  </si>
  <si>
    <t>Consulta 1: ¿dijo «no entendí»?</t>
  </si>
  <si>
    <t>Consulta 2: texto escrito</t>
  </si>
  <si>
    <t>Consulta 2: tiempo hasta respuesta útil (s)</t>
  </si>
  <si>
    <t>Consulta 2: mensajes enviados</t>
  </si>
  <si>
    <t>Consulta 2: ¿la persona obtuvo lo que necesitaba?</t>
  </si>
  <si>
    <t>Consulta 2: ¿respuesta correcta? (aplicador)</t>
  </si>
  <si>
    <t>Consulta 2: ¿dijo «no entendí»?</t>
  </si>
  <si>
    <t>Consulta 3: texto escrito</t>
  </si>
  <si>
    <t>Consulta 3: tiempo hasta respuesta útil (s)</t>
  </si>
  <si>
    <t>Consulta 3: mensajes enviados</t>
  </si>
  <si>
    <t>Consulta 3: ¿la persona obtuvo lo que necesitaba?</t>
  </si>
  <si>
    <t>Consulta 3: ¿respuesta correcta? (aplicador)</t>
  </si>
  <si>
    <t>Consulta 3: ¿dijo «no entendí»?</t>
  </si>
  <si>
    <t>Post ítem 1: fácil de usar</t>
  </si>
  <si>
    <t>Post ítem 2: tiempo adecuado</t>
  </si>
  <si>
    <t>Post ítem 3: respuestas claras</t>
  </si>
  <si>
    <t>Post ítem 4: resolvió mi consulta</t>
  </si>
  <si>
    <t>Post ítem 5: confío en la información</t>
  </si>
  <si>
    <t>Post ítem 6: prefiero usarlo antes que ir presencialmente</t>
  </si>
  <si>
    <t>Post ítem 7: lo usaría de nuevo</t>
  </si>
  <si>
    <t>Post ítem 8: lo recomendaría</t>
  </si>
  <si>
    <t>Post ítem 9: satisfacción general (pareada con P10)</t>
  </si>
  <si>
    <t>Complementaria: tiempo presencial estimado para la consulta 1</t>
  </si>
  <si>
    <t>Incidencias técnicas</t>
  </si>
  <si>
    <t>Elegible y completa</t>
  </si>
  <si>
    <t>Minutos pre (línea base)</t>
  </si>
  <si>
    <t>Minutos post (promedio de 3 consultas)</t>
  </si>
  <si>
    <t>Diferencia post − pre (min)</t>
  </si>
  <si>
    <t>% de reducción</t>
  </si>
  <si>
    <t>Satisfacción pre (P10)</t>
  </si>
  <si>
    <t>Satisfacción post (ítem 9)</t>
  </si>
  <si>
    <t>Diferencia de satisfacción</t>
  </si>
  <si>
    <t>Consultas con respuesta útil (de 3)</t>
  </si>
  <si>
    <t>Consultas correctas (de 3)</t>
  </si>
  <si>
    <t>Consultas con «no entendí» (de 3)</t>
  </si>
  <si>
    <t>Total Likert ítems 1–8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</si>
  <si>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</si>
  <si>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</si>
  <si>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</si>
  <si>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</si>
  <si>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</si>
  <si>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</si>
  <si>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</si>
  <si>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</si>
  <si>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</si>
  <si>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SA70</t>
  </si>
  <si>
    <t>SA71</t>
  </si>
  <si>
    <t>SA72</t>
  </si>
  <si>
    <t>SA73</t>
  </si>
  <si>
    <t>SA74</t>
  </si>
  <si>
    <t>SA75</t>
  </si>
  <si>
    <t>Ejemplo de fila completada (solo muestra el formato; no cuenta en ningún cálculo):</t>
  </si>
  <si>
    <t>EJ01</t>
  </si>
  <si>
    <t>Tesista</t>
  </si>
  <si>
    <t>30–44</t>
  </si>
  <si>
    <t>Sí</t>
  </si>
  <si>
    <t>Licencias y autorizaciones</t>
  </si>
  <si>
    <t>1–2 horas</t>
  </si>
  <si>
    <t>1 vez</t>
  </si>
  <si>
    <t>S01</t>
  </si>
  <si>
    <t>S02</t>
  </si>
  <si>
    <t>S03</t>
  </si>
  <si>
    <t>Qué papeles piden para abrir una tienda</t>
  </si>
  <si>
    <t>No</t>
  </si>
  <si>
    <t>Cuánto cuesta el permiso</t>
  </si>
  <si>
    <t>Parcial</t>
  </si>
  <si>
    <t>En cuánto tiempo me lo dan</t>
  </si>
  <si>
    <t>Ninguna</t>
  </si>
  <si>
    <t>Resumen del piloto exploratorio (sesión asistida)</t>
  </si>
  <si>
    <t>Todo son fórmulas sobre la hoja Sesiones, solo con sesiones elegibles y completas. La prueba de hipótesis (Shapiro-Wilk, luego t pareada o Wilcoxon) se corre con el script de análisis; esta hoja solo resume.</t>
  </si>
  <si>
    <t>Avance</t>
  </si>
  <si>
    <t>Sesiones registradas</t>
  </si>
  <si>
    <t>Sesiones elegibles y completas</t>
  </si>
  <si>
    <t>No elegibles (sin trámite presencial en 12 meses)</t>
  </si>
  <si>
    <t>Incompletas (elegibles con datos faltantes)</t>
  </si>
  <si>
    <t>Completa los datos faltantes o reemplaza la sesión.</t>
  </si>
  <si>
    <t>Meta de sesiones</t>
  </si>
  <si>
    <t>Faltan</t>
  </si>
  <si>
    <t>Estado</t>
  </si>
  <si>
    <t>Si no se llega a la meta, el piloto se presenta con el n real y se declara.</t>
  </si>
  <si>
    <t>Tiempo (OE3) — línea base recordada frente a prueba con el asistente</t>
  </si>
  <si>
    <t>Tiempo medio presencial (línea base recordada), minutos</t>
  </si>
  <si>
    <t>Punto medio de cada rango (hoja Parametros).</t>
  </si>
  <si>
    <t>Tiempo medio con el asistente, minutos</t>
  </si>
  <si>
    <t>Promedio de las 3 consultas por persona, en minutos.</t>
  </si>
  <si>
    <t>Reducción del tiempo medio</t>
  </si>
  <si>
    <t>Reducción media individual</t>
  </si>
  <si>
    <t>Promedio de los porcentajes de cada persona.</t>
  </si>
  <si>
    <t>Satisfacción (OE4)</t>
  </si>
  <si>
    <t>Satisfacción previa con la atención presencial (P10), media</t>
  </si>
  <si>
    <t>Satisfacción con el asistente (ítem 9), media</t>
  </si>
  <si>
    <t>Diferencia media (post − pre)</t>
  </si>
  <si>
    <t>Media de los ítems 1–8 del asistente</t>
  </si>
  <si>
    <t>Alfa de Cronbach (ítems 1–8)</t>
  </si>
  <si>
    <t>Desempeño del asistente en las consultas</t>
  </si>
  <si>
    <t>Consultas registradas (sesiones elegibles)</t>
  </si>
  <si>
    <t>Respuesta útil según la persona</t>
  </si>
  <si>
    <t>Respuesta correcta según el aplicador</t>
  </si>
  <si>
    <t>«Sí» solamente; las «Parcial» no se cuentan.</t>
  </si>
  <si>
    <t>Consultas con «no entendí»</t>
  </si>
  <si>
    <t>Mensajes promedio por consulta</t>
  </si>
  <si>
    <t>Mínimo de consultas por tarjeta</t>
  </si>
  <si>
    <t>Con 60 sesiones elegibles cada tarjeta debería tener 3 o más.</t>
  </si>
  <si>
    <t>Tarjetas de situación (catálogo)</t>
  </si>
  <si>
    <t>Las 56 situaciones del catálogo situaciones_lote1_v1.csv y la intención esperada de cada una. Cada código de sesión recibe 3 tarjetas fijas (hoja Sesiones, columnas Tarjeta 1–3). La columna D cuenta las consultas ya registradas de sesiones elegibles.</t>
  </si>
  <si>
    <t>Tarjeta</t>
  </si>
  <si>
    <t>Intención esperada</t>
  </si>
  <si>
    <t>Texto de la situación</t>
  </si>
  <si>
    <t>licencia_funcionamiento_requisitos</t>
  </si>
  <si>
    <t>Vas a abrir una tiendita en tu barrio y no sabes qué papeles te van a pedir en la municipalidad para poder atender legalmente.</t>
  </si>
  <si>
    <t>licencia_funcionamiento_costo</t>
  </si>
  <si>
    <t>Ya sabes que necesitas un permiso de la municipalidad para tu negocio y quieres saber cuánto tendrías que pagar por él.</t>
  </si>
  <si>
    <t>licencia_funcionamiento_plazo</t>
  </si>
  <si>
    <t>Entregaste tus papeles para el permiso de tu negocio y quieres saber cuántos días demoran en dártelo.</t>
  </si>
  <si>
    <t>S04</t>
  </si>
  <si>
    <t>licencia_edificacion_requisitos</t>
  </si>
  <si>
    <t>Quieres construir un segundo piso en tu casa y quieres saber qué documentos tendrías que presentar antes de empezar la obra.</t>
  </si>
  <si>
    <t>S05</t>
  </si>
  <si>
    <t>licencia_edificacion_costo</t>
  </si>
  <si>
    <t>Vas a construir en tu terreno y quieres saber cuánto cobra la municipalidad por autorizar la obra.</t>
  </si>
  <si>
    <t>S06</t>
  </si>
  <si>
    <t>renovacion_licencia</t>
  </si>
  <si>
    <t>El permiso de funcionamiento de tu negocio ya se venció y quieres saber qué tienes que hacer para dejarlo vigente otra vez.</t>
  </si>
  <si>
    <t>S07</t>
  </si>
  <si>
    <t>consulta_deuda_predial</t>
  </si>
  <si>
    <t>Quieres saber si debes impuestos por tu casa o terreno, y cuánto sería.</t>
  </si>
  <si>
    <t>S08</t>
  </si>
  <si>
    <t>pago_predial_como</t>
  </si>
  <si>
    <t>Ya sabes que debes pagar el impuesto de tu casa y quieres saber dónde o de qué forma puedes hacerlo.</t>
  </si>
  <si>
    <t>S09</t>
  </si>
  <si>
    <t>pago_arbitrios</t>
  </si>
  <si>
    <t>Te llegó un cobro por el recojo de basura, la limpieza de calles y el serenazgo, y quieres saber cómo pagarlo.</t>
  </si>
  <si>
    <t>S10</t>
  </si>
  <si>
    <t>impuesto_alcabala</t>
  </si>
  <si>
    <t>Acabas de comprar un terreno y te dijeron que hay un impuesto por esa compra; quieres saber de qué trata y cómo se paga.</t>
  </si>
  <si>
    <t>S11</t>
  </si>
  <si>
    <t>fraccionamiento_deuda</t>
  </si>
  <si>
    <t>Debes varios años de impuestos municipales y no puedes pagar todo de golpe; quieres saber si puedes pagarlo poco a poco.</t>
  </si>
  <si>
    <t>S12</t>
  </si>
  <si>
    <t>constancia_no_adeudo</t>
  </si>
  <si>
    <t>Te piden un papel que demuestre que no tienes deudas con la municipalidad y quieres saber cómo conseguirlo.</t>
  </si>
  <si>
    <t>S13</t>
  </si>
  <si>
    <t>requisitos_mesa_partes</t>
  </si>
  <si>
    <t>Quieres entregar una solicitud por escrito en la municipalidad y no sabes qué tienes que llevar.</t>
  </si>
  <si>
    <t>S14</t>
  </si>
  <si>
    <t>estado_tramite</t>
  </si>
  <si>
    <t>Dejaste unos papeles en la municipalidad hace semanas y quieres saber cómo va tu trámite.</t>
  </si>
  <si>
    <t>S15</t>
  </si>
  <si>
    <t>horario_mesa_partes</t>
  </si>
  <si>
    <t>Quieres ir a dejar un documento a la municipalidad y necesitas saber a qué hora y qué días puedes hacerlo.</t>
  </si>
  <si>
    <t>S16</t>
  </si>
  <si>
    <t>copia_documento</t>
  </si>
  <si>
    <t>Necesitas una copia sellada de un documento que presentaste antes y ya no la tienes.</t>
  </si>
  <si>
    <t>S17</t>
  </si>
  <si>
    <t>certificado_posesion</t>
  </si>
  <si>
    <t>Vives en un terreno que no tiene título y te piden un papel de la municipalidad que diga que tú lo ocupas; quieres saber cómo se consigue.</t>
  </si>
  <si>
    <t>S18</t>
  </si>
  <si>
    <t>constancia_domiciliaria</t>
  </si>
  <si>
    <t>Te piden un documento que pruebe en qué dirección vives y quieres saber cómo sacarlo en la municipalidad.</t>
  </si>
  <si>
    <t>S19</t>
  </si>
  <si>
    <t>certificado_defensa_civil</t>
  </si>
  <si>
    <t>Tu local necesita un certificado de seguridad para poder funcionar y quieres saber cómo se obtiene.</t>
  </si>
  <si>
    <t>S20</t>
  </si>
  <si>
    <t>inspeccion_tecnica</t>
  </si>
  <si>
    <t>Quieres que un inspector vaya a revisar si tu local cumple las medidas de seguridad y quieres saber cómo se pide esa visita.</t>
  </si>
  <si>
    <t>S21</t>
  </si>
  <si>
    <t>requisitos_defensa_civil</t>
  </si>
  <si>
    <t>Vas a pedir la revisión de seguridad de tu local y quieres saber qué cosas debes tener listas (equipos, planos, etc.).</t>
  </si>
  <si>
    <t>S22</t>
  </si>
  <si>
    <t>denuncia_seguridad_ciudadana</t>
  </si>
  <si>
    <t>En tu cuadra hay gente sospechosa y quieres avisar a alguien de la municipalidad para que intervenga.</t>
  </si>
  <si>
    <t>S23</t>
  </si>
  <si>
    <t>serenazgo_contacto</t>
  </si>
  <si>
    <t>Necesitas comunicarte con el personal que patrulla el distrito y quieres saber cómo contactarlos.</t>
  </si>
  <si>
    <t>S24</t>
  </si>
  <si>
    <t>partida_nacimiento</t>
  </si>
  <si>
    <t>Te piden el documento que prueba tu fecha y lugar de nacimiento y no sabes cómo conseguirlo.</t>
  </si>
  <si>
    <t>S25</t>
  </si>
  <si>
    <t>partida_matrimonio</t>
  </si>
  <si>
    <t>Te piden un documento que pruebe que estás casado(a) y no encuentras el original.</t>
  </si>
  <si>
    <t>S26</t>
  </si>
  <si>
    <t>partida_defuncion</t>
  </si>
  <si>
    <t>Falleció un familiar y necesitas el documento oficial que lo acredite para hacer trámites; quieres saber cómo se consigue.</t>
  </si>
  <si>
    <t>S27</t>
  </si>
  <si>
    <t>rectificacion_partida</t>
  </si>
  <si>
    <t>Tu documento de nacimiento tiene tu apellido mal escrito y quieres saber cómo se corrige.</t>
  </si>
  <si>
    <t>S28</t>
  </si>
  <si>
    <t>requisitos_matrimonio_civil</t>
  </si>
  <si>
    <t>Tu pareja y tú quieren casarse por lo civil en la municipalidad y quieren saber qué papeles necesitan.</t>
  </si>
  <si>
    <t>S29</t>
  </si>
  <si>
    <t>horario_recojo_basura</t>
  </si>
  <si>
    <t>El camión de la basura no pasó hoy por tu calle y quieres saber a qué hora suele pasar.</t>
  </si>
  <si>
    <t>S30</t>
  </si>
  <si>
    <t>reporte_alumbrado_publico</t>
  </si>
  <si>
    <t>En tu calle un poste no prende de noche y quieres avisar a la municipalidad.</t>
  </si>
  <si>
    <t>S31</t>
  </si>
  <si>
    <t>mantenimiento_parques</t>
  </si>
  <si>
    <t>El parque cerca de tu casa está descuidado y con los juegos malogrados; quieres pedir que lo arreglen.</t>
  </si>
  <si>
    <t>S32</t>
  </si>
  <si>
    <t>poda_arboles</t>
  </si>
  <si>
    <t>Un árbol de la vereda está tapando el paso y quieres que lo corten o lo recorten.</t>
  </si>
  <si>
    <t>S33</t>
  </si>
  <si>
    <t>limpieza_via_publica</t>
  </si>
  <si>
    <t>Tu cuadra tiene basura acumulada en la pista y quieres que la limpien.</t>
  </si>
  <si>
    <t>S34</t>
  </si>
  <si>
    <t>presentar_reclamo</t>
  </si>
  <si>
    <t>No estás conforme con cómo te resolvieron un trámite y quieres hacer un reclamo formal.</t>
  </si>
  <si>
    <t>S35</t>
  </si>
  <si>
    <t>estado_reclamo</t>
  </si>
  <si>
    <t>Hiciste un reclamo hace unos días y quieres saber si ya lo respondieron.</t>
  </si>
  <si>
    <t>S36</t>
  </si>
  <si>
    <t>libro_reclamaciones</t>
  </si>
  <si>
    <t>Quieres dejar tu queja en el libro oficial de reclamos y no sabes dónde está ni cómo se usa.</t>
  </si>
  <si>
    <t>S37</t>
  </si>
  <si>
    <t>queja_atencion</t>
  </si>
  <si>
    <t>Un trabajador te atendió de mala manera y quieres reportarlo.</t>
  </si>
  <si>
    <t>S38</t>
  </si>
  <si>
    <t>sugerencia</t>
  </si>
  <si>
    <t>Se te ocurrió una idea para mejorar la atención de la municipalidad y quieres comunicarla.</t>
  </si>
  <si>
    <t>S39</t>
  </si>
  <si>
    <t>horario_atencion_general</t>
  </si>
  <si>
    <t>Quieres ir a la municipalidad para cualquier gestión y quieres saber desde qué hora hasta qué hora está abierta y si abre los sábados.</t>
  </si>
  <si>
    <t>S40</t>
  </si>
  <si>
    <t>ubicacion_oficinas</t>
  </si>
  <si>
    <t>No conoces el local de la municipalidad y quieres saber dónde queda o cómo llegar.</t>
  </si>
  <si>
    <t>S41</t>
  </si>
  <si>
    <t>requisitos_generales</t>
  </si>
  <si>
    <t>Quieres hacer un trámite y quieres saber si basta con llevar tu DNI o necesitas algo más.</t>
  </si>
  <si>
    <t>S42</t>
  </si>
  <si>
    <t>costos_generales</t>
  </si>
  <si>
    <t>Quieres saber cuánto cuestan en general los trámites de la municipalidad y dónde puedes ver la lista de precios.</t>
  </si>
  <si>
    <t>S43</t>
  </si>
  <si>
    <t>contacto_telefonico</t>
  </si>
  <si>
    <t>Prefieres llamar en vez de ir y quieres saber a qué número o por qué medio comunicarte con la municipalidad.</t>
  </si>
  <si>
    <t>S44</t>
  </si>
  <si>
    <t>redes_sociales_mpsr</t>
  </si>
  <si>
    <t>Quieres enterarte de los avisos oficiales de la municipalidad y quieres saber dónde seguirla por internet.</t>
  </si>
  <si>
    <t>S45</t>
  </si>
  <si>
    <t>saludo</t>
  </si>
  <si>
    <t>Acabas de abrir el chat del asistente de la municipalidad. ¿Cómo lo saludarías?</t>
  </si>
  <si>
    <t>S46</t>
  </si>
  <si>
    <t>despedida</t>
  </si>
  <si>
    <t>Ya conseguiste la información que necesitabas y quieres terminar la conversación. ¿Cómo te despedirías?</t>
  </si>
  <si>
    <t>S47</t>
  </si>
  <si>
    <t>agradecimiento</t>
  </si>
  <si>
    <t>El asistente te dio justo la información que necesitabas. ¿Cómo se lo agradecerías?</t>
  </si>
  <si>
    <t>S48</t>
  </si>
  <si>
    <t>afirmar</t>
  </si>
  <si>
    <t>El asistente te pregunta si entendió bien tu consulta y la respuesta es sí. ¿Cómo responderías?</t>
  </si>
  <si>
    <t>S49</t>
  </si>
  <si>
    <t>negar</t>
  </si>
  <si>
    <t>El asistente te ofrece algo que no es lo que estabas buscando. ¿Cómo le dirías que no?</t>
  </si>
  <si>
    <t>S50</t>
  </si>
  <si>
    <t>fuera_de_alcance</t>
  </si>
  <si>
    <t>Quieres preguntarle al asistente algo que no tiene nada que ver con la municipalidad (por ejemplo, del clima, deportes, cultura general o una curiosidad).</t>
  </si>
  <si>
    <t>S51</t>
  </si>
  <si>
    <t>Quieres preguntarle algo sobre otra entidad o servicio (por ejemplo, la luz, el agua, la SUNAT, RENIEC o la policía) y no sobre la municipalidad.</t>
  </si>
  <si>
    <t>S52</t>
  </si>
  <si>
    <t>Quieres pedirle al asistente algo personal o fuera de lo normal (que cuente un chiste, que dé su opinión o que te haga la tarea).</t>
  </si>
  <si>
    <t>S53</t>
  </si>
  <si>
    <t>hablar_con_persona</t>
  </si>
  <si>
    <t>Prefieres que te atienda una persona y no un programa. ¿Qué le dirías al asistente?</t>
  </si>
  <si>
    <t>S54</t>
  </si>
  <si>
    <t>ayuda_chatbot</t>
  </si>
  <si>
    <t>No sabes para qué sirve este asistente ni qué cosas le puedes preguntar. ¿Qué le escribirías?</t>
  </si>
  <si>
    <t>S55</t>
  </si>
  <si>
    <t>consulta_no_entendida</t>
  </si>
  <si>
    <t>El asistente te respondió algo que no entendiste. ¿Qué le dirías?</t>
  </si>
  <si>
    <t>S56</t>
  </si>
  <si>
    <t>repetir_informacion</t>
  </si>
  <si>
    <t>El asistente te dio una información pero no alcanzaste a leerla ni a anotarla. ¿Cómo le pedirías que te la repita?</t>
  </si>
  <si>
    <t>Parámetros y listas</t>
  </si>
  <si>
    <t>Celdas amarillas = valores editables. Las listas alimentan los menús desplegables de Sesiones.</t>
  </si>
  <si>
    <t>Rango de tiempo (línea base)</t>
  </si>
  <si>
    <t>Minutos (punto medio)</t>
  </si>
  <si>
    <t>Sí / No</t>
  </si>
  <si>
    <t>Veces que volvió</t>
  </si>
  <si>
    <t>¿Correcta?</t>
  </si>
  <si>
    <t>Menos de 15 min</t>
  </si>
  <si>
    <t>18–29</t>
  </si>
  <si>
    <t>Ninguna, se resolvió a la primera</t>
  </si>
  <si>
    <t>15–30 min</t>
  </si>
  <si>
    <t>Tributos y pagos municipales</t>
  </si>
  <si>
    <t>30–60 min</t>
  </si>
  <si>
    <t>45–59</t>
  </si>
  <si>
    <t>Trámites documentarios</t>
  </si>
  <si>
    <t>2 a 3 veces</t>
  </si>
  <si>
    <t>60 a más</t>
  </si>
  <si>
    <t>Defensa civil y seguridad ciudadana</t>
  </si>
  <si>
    <t>Más de 3 veces</t>
  </si>
  <si>
    <t>2–4 horas</t>
  </si>
  <si>
    <t>Registro civil</t>
  </si>
  <si>
    <t>Más de 4 horas / varios días</t>
  </si>
  <si>
    <t>Servicios públicos</t>
  </si>
  <si>
    <t>Supuesto: se usa el punto medio de cada rango; para «Más de 4 horas / varios días» se asume 300 min (5 h). Es un supuesto editable.</t>
  </si>
  <si>
    <t>Reclamos y quejas</t>
  </si>
  <si>
    <t>Información general / otro</t>
  </si>
  <si>
    <t>Parámetro</t>
  </si>
  <si>
    <t>Valor</t>
  </si>
  <si>
    <t>Fuente / criterio</t>
  </si>
  <si>
    <t>Meta de sesiones elegibles y completas</t>
  </si>
  <si>
    <t>Decisión del tesista: piloto exploratorio de n = 60 (reduce los 120 del protocolo V1.2).</t>
  </si>
  <si>
    <t>Meta de reducción del tiempo</t>
  </si>
  <si>
    <t>Hipótesis de la tesis: reducción ≥ 60 %.</t>
  </si>
  <si>
    <t>Meta de satisfacción (Likert 1–5)</t>
  </si>
  <si>
    <t>Hipótesis de la tesis: Likert ≥ 4.0 sobre 5.</t>
  </si>
  <si>
    <t>Alfa de Cronbach mínimo</t>
  </si>
  <si>
    <t>Criterio del pre-piloto formal del protocolo V1.2.</t>
  </si>
  <si>
    <t>Tope de tiempo por consulta (segundos)</t>
  </si>
  <si>
    <t>Regla de la guía de aplicación: se corta a los 180 s sin respuesta útil. Solo informativo.</t>
  </si>
  <si>
    <t>Máximo de mensajes por consulta</t>
  </si>
  <si>
    <t>Regla de la guía de aplicación. Solo informativo.</t>
  </si>
  <si>
    <t>Modelo congelado (nombre / versión)</t>
  </si>
  <si>
    <t>Anótalo antes de la primera sesión; no se cambia durante las sesiones.</t>
  </si>
  <si>
    <t>Fecha de congelamiento del modelo</t>
  </si>
  <si>
    <t>Anótala junto con la versión.</t>
  </si>
  <si>
    <t>Cálculo auxiliar del alfa de Cronbach</t>
  </si>
  <si>
    <t>Solo fórmulas. Copia los ítems 1–8 de las sesiones elegibles y completas; las demás filas quedan vacías para no distorsionar la varianza.</t>
  </si>
  <si>
    <t>Código</t>
  </si>
  <si>
    <t>Ítem 1</t>
  </si>
  <si>
    <t>Ítem 2</t>
  </si>
  <si>
    <t>Ítem 3</t>
  </si>
  <si>
    <t>Ítem 4</t>
  </si>
  <si>
    <t>Ítem 5</t>
  </si>
  <si>
    <t>Ítem 6</t>
  </si>
  <si>
    <t>Ítem 7</t>
  </si>
  <si>
    <t>Ítem 8</t>
  </si>
  <si>
    <t>Total</t>
  </si>
  <si>
    <t>Notas de uso, criterios y fuentes</t>
  </si>
  <si>
    <t>Cómo usar</t>
  </si>
  <si>
    <t>1. Cada persona de la sesión asistida recibe un código SA01, SA02… (sin relación con su nombre). Las tres tarjetas de situación salen solas en las columnas Tarjeta 1–3 de Sesiones.</t>
  </si>
  <si>
    <t>2. Después de cada sesión, transcribe el formulario en la fila de la persona (celdas amarillas). No corrijas respuestas. Los tiempos van en segundos.</t>
  </si>
  <si>
    <t>3. «Elegible y completa» marca con Sí las sesiones que entran al análisis: trámite presencial en los últimos 12 meses, línea base, 3 tiempos y los 9 ítems post respondidos.</t>
  </si>
  <si>
    <t>4. Resumen calcula solo con las elegibles y completas. Las no elegibles se registran para llevar la cuenta y se reemplazan por otra persona.</t>
  </si>
  <si>
    <t>Criterios</t>
  </si>
  <si>
    <t>• Piloto exploratorio de n = 60 sesiones elegibles (decisión del tesista; reduce los 120 del protocolo V1.2). Sirve para mostrar viabilidad, no para confirmar hipótesis.</t>
  </si>
  <si>
    <t>• Diseño de una sola sesión: la línea base es recordada (Parte 1 del formulario) y el tiempo con el asistente se mide en la misma visita (Parte 2). Se declara como limitación (sesgo de recuerdo y de novedad).</t>
  </si>
  <si>
    <t>• Modelo congelado antes de la primera sesión (Parametros). Las consultas escritas quedan registradas como conjunto de prueba final: no se usan para ajustar el modelo durante las sesiones.</t>
  </si>
  <si>
    <t>• El ítem 9 de satisfacción empareja con P10 (misma redacción, referida al asistente). La pregunta complementaria de tiempo estimado para la consulta 1 no reemplaza la línea base de la Parte 1.</t>
  </si>
  <si>
    <t>• Tiempo sin respuesta útil: se registra el tiempo de corte (180 s o 3 mensajes) y la consulta se marca «No» en «obtuvo lo que necesitaba».</t>
  </si>
  <si>
    <t>Fuentes y supuestos</t>
  </si>
  <si>
    <t>• Reglas de cronometraje, tarjetas y elegibilidad: guía de aplicación del formulario Sesion_Asistida_Formulario_v2.</t>
  </si>
  <si>
    <t>• Catálogo de tarjetas: situaciones_lote1_v1.csv (56 situaciones, 54 intenciones). Reparto: 3 tarjetas por sesión en rotación; con 60 sesiones cada tarjeta sale 3 o 4 veces.</t>
  </si>
  <si>
    <t>• Conversión de rangos a minutos: punto medio de cada rango (supuesto editable en Parametros).</t>
  </si>
  <si>
    <t>• Metas de reducción (60 %), Likert (4.0) y Alfa (0.70): hipótesis de la tesis y protocolo V1.2.</t>
  </si>
  <si>
    <t>• Colores: azul = valor escrito a mano o dato fijo; negro = fórmula; verde = vínculo a otra hoja.</t>
  </si>
  <si>
    <t>DATOS SIMULADOS — registro de sesiones piloto (ejemplo de prueba; no son sesiones reales)</t>
  </si>
  <si>
    <t>SA01</t>
  </si>
  <si>
    <t>Aplicador DEMO</t>
  </si>
  <si>
    <t>[SIMULACIÓN — NO ES TRANSCRIPCIÓN] Vas a abrir una tiendita en tu barrio y no sabes qué papeles te van a pedir en la municipalidad para poder atender legalmente.</t>
  </si>
  <si>
    <t>[SIMULACIÓN — NO ES TRANSCRIPCIÓN] Ya sabes que necesitas un permiso de la municipalidad para tu negocio y quieres saber cuánto tendrías que pagar por él.</t>
  </si>
  <si>
    <t>[SIMULACIÓN — NO ES TRANSCRIPCIÓN] Entregaste tus papeles para el permiso de tu negocio y quieres saber cuántos días demoran en dártelo.</t>
  </si>
  <si>
    <t>SA02</t>
  </si>
  <si>
    <t>[SIMULACIÓN — NO ES TRANSCRIPCIÓN] Quieres construir un segundo piso en tu casa y quieres saber qué documentos tendrías que presentar antes de empezar la obra.</t>
  </si>
  <si>
    <t>[SIMULACIÓN — NO ES TRANSCRIPCIÓN] Vas a construir en tu terreno y quieres saber cuánto cobra la municipalidad por autorizar la obra.</t>
  </si>
  <si>
    <t>[SIMULACIÓN — NO ES TRANSCRIPCIÓN] El permiso de funcionamiento de tu negocio ya se venció y quieres saber qué tienes que hacer para dejarlo vigente otra vez.</t>
  </si>
  <si>
    <t>SA03</t>
  </si>
  <si>
    <t>Tributos y pagos municipales (predial, arbitrios, alcabala)</t>
  </si>
  <si>
    <t>[SIMULACIÓN — NO ES TRANSCRIPCIÓN] Quieres saber si debes impuestos por tu casa o terreno, y cuánto sería.</t>
  </si>
  <si>
    <t>[SIMULACIÓN — NO ES TRANSCRIPCIÓN] Ya sabes que debes pagar el impuesto de tu casa y quieres saber dónde o de qué forma puedes hacerlo.</t>
  </si>
  <si>
    <t>[SIMULACIÓN — NO ES TRANSCRIPCIÓN] Te llegó un cobro por el recojo de basura, la limpieza de calles y el serenazgo, y quieres saber cómo pagarlo.</t>
  </si>
  <si>
    <t>SA04</t>
  </si>
  <si>
    <t>Trámites documentarios (mesa de partes)</t>
  </si>
  <si>
    <t>[SIMULACIÓN — NO ES TRANSCRIPCIÓN] Acabas de comprar un terreno y te dijeron que hay un impuesto por esa compra; quieres saber de qué trata y cómo se paga.</t>
  </si>
  <si>
    <t>[SIMULACIÓN — NO ES TRANSCRIPCIÓN] Debes varios años de impuestos municipales y no puedes pagar todo de golpe; quieres saber si puedes pagarlo poco a poco.</t>
  </si>
  <si>
    <t>[SIMULACIÓN — NO ES TRANSCRIPCIÓN] Te piden un papel que demuestre que no tienes deudas con la municipalidad y quieres saber cómo conseguirlo.</t>
  </si>
  <si>
    <t>SA05</t>
  </si>
  <si>
    <t>[SIMULACIÓN — NO ES TRANSCRIPCIÓN] Quieres entregar una solicitud por escrito en la municipalidad y no sabes qué tienes que llevar.</t>
  </si>
  <si>
    <t>[SIMULACIÓN — NO ES TRANSCRIPCIÓN] Dejaste unos papeles en la municipalidad hace semanas y quieres saber cómo va tu trámite.</t>
  </si>
  <si>
    <t>[SIMULACIÓN — NO ES TRANSCRIPCIÓN] Quieres ir a dejar un documento a la municipalidad y necesitas saber a qué hora y qué días puedes hacerlo.</t>
  </si>
  <si>
    <t>SA06</t>
  </si>
  <si>
    <t>[SIMULACIÓN — NO ES TRANSCRIPCIÓN] Necesitas una copia sellada de un documento que presentaste antes y ya no la tienes.</t>
  </si>
  <si>
    <t>[SIMULACIÓN — NO ES TRANSCRIPCIÓN] Vives en un terreno que no tiene título y te piden un papel de la municipalidad que diga que tú lo ocupas; quieres saber cómo se consigue.</t>
  </si>
  <si>
    <t>[SIMULACIÓN — NO ES TRANSCRIPCIÓN] Te piden un documento que pruebe en qué dirección vives y quieres saber cómo sacarlo en la municipalidad.</t>
  </si>
  <si>
    <t>SA07</t>
  </si>
  <si>
    <t>[SIMULACIÓN — NO ES TRANSCRIPCIÓN] Tu local necesita un certificado de seguridad para poder funcionar y quieres saber cómo se obtiene.</t>
  </si>
  <si>
    <t>[SIMULACIÓN — NO ES TRANSCRIPCIÓN] Quieres que un inspector vaya a revisar si tu local cumple las medidas de seguridad y quieres saber cómo se pide esa visita.</t>
  </si>
  <si>
    <t>[SIMULACIÓN — NO ES TRANSCRIPCIÓN] Vas a pedir la revisión de seguridad de tu local y quieres saber qué cosas debes tener listas (equipos, planos, etc.).</t>
  </si>
  <si>
    <t>Respuesta lenta (simulada)</t>
  </si>
  <si>
    <t>SA08</t>
  </si>
  <si>
    <t>[SIMULACIÓN — NO ES TRANSCRIPCIÓN] En tu cuadra hay gente sospechosa y quieres avisar a alguien de la municipalidad para que intervenga.</t>
  </si>
  <si>
    <t>[SIMULACIÓN — NO ES TRANSCRIPCIÓN] Necesitas comunicarte con el personal que patrulla el distrito y quieres saber cómo contactarlos.</t>
  </si>
  <si>
    <t>[SIMULACIÓN — NO ES TRANSCRIPCIÓN] Te piden el documento que prueba tu fecha y lugar de nacimiento y no sabes cómo conseguirlo.</t>
  </si>
  <si>
    <t>SA09</t>
  </si>
  <si>
    <t>[SIMULACIÓN — NO ES TRANSCRIPCIÓN] Te piden un documento que pruebe que estás casado(a) y no encuentras el original.</t>
  </si>
  <si>
    <t>[SIMULACIÓN — NO ES TRANSCRIPCIÓN] Falleció un familiar y necesitas el documento oficial que lo acredite para hacer trámites; quieres saber cómo se consigue.</t>
  </si>
  <si>
    <t>[SIMULACIÓN — NO ES TRANSCRIPCIÓN] Tu documento de nacimiento tiene tu apellido mal escrito y quieres saber cómo se corrige.</t>
  </si>
  <si>
    <t>Error de conexión (simulado)</t>
  </si>
  <si>
    <t>SA10</t>
  </si>
  <si>
    <t>Servicios públicos (limpieza, parques, alumbrado)</t>
  </si>
  <si>
    <t>[SIMULACIÓN — NO ES TRANSCRIPCIÓN] Tu pareja y tú quieren casarse por lo civil en la municipalidad y quieren saber qué papeles necesitan.</t>
  </si>
  <si>
    <t>[SIMULACIÓN — NO ES TRANSCRIPCIÓN] El camión de la basura no pasó hoy por tu calle y quieres saber a qué hora suele pasar.</t>
  </si>
  <si>
    <t>[SIMULACIÓN — NO ES TRANSCRIPCIÓN] En tu calle un poste no prende de noche y quieres avisar a la municipalidad.</t>
  </si>
  <si>
    <t>SA11</t>
  </si>
  <si>
    <t>[SIMULACIÓN — NO ES TRANSCRIPCIÓN] El parque cerca de tu casa está descuidado y con los juegos malogrados; quieres pedir que lo arreglen.</t>
  </si>
  <si>
    <t>[SIMULACIÓN — NO ES TRANSCRIPCIÓN] Un árbol de la vereda está tapando el paso y quieres que lo corten o lo recorten.</t>
  </si>
  <si>
    <t>[SIMULACIÓN — NO ES TRANSCRIPCIÓN] Tu cuadra tiene basura acumulada en la pista y quieres que la limpien.</t>
  </si>
  <si>
    <t>SA12</t>
  </si>
  <si>
    <t>[SIMULACIÓN — NO ES TRANSCRIPCIÓN] No estás conforme con cómo te resolvieron un trámite y quieres hacer un reclamo formal.</t>
  </si>
  <si>
    <t>[SIMULACIÓN — NO ES TRANSCRIPCIÓN] Hiciste un reclamo hace unos días y quieres saber si ya lo respondieron.</t>
  </si>
  <si>
    <t>[SIMULACIÓN — NO ES TRANSCRIPCIÓN] Quieres dejar tu queja en el libro oficial de reclamos y no sabes dónde está ni cómo se usa.</t>
  </si>
  <si>
    <t>SA13</t>
  </si>
  <si>
    <t>[SIMULACIÓN — NO ES TRANSCRIPCIÓN] Un trabajador te atendió de mala manera y quieres reportarlo.</t>
  </si>
  <si>
    <t>[SIMULACIÓN — NO ES TRANSCRIPCIÓN] Se te ocurrió una idea para mejorar la atención de la municipalidad y quieres comunicarla.</t>
  </si>
  <si>
    <t>[SIMULACIÓN — NO ES TRANSCRIPCIÓN] Quieres ir a la municipalidad para cualquier gestión y quieres saber desde qué hora hasta qué hora está abierta y si abre los sábados.</t>
  </si>
  <si>
    <t>SA14</t>
  </si>
  <si>
    <t>[SIMULACIÓN — NO ES TRANSCRIPCIÓN] No conoces el local de la municipalidad y quieres saber dónde queda o cómo llegar.</t>
  </si>
  <si>
    <t>[SIMULACIÓN — NO ES TRANSCRIPCIÓN] Quieres hacer un trámite y quieres saber si basta con llevar tu DNI o necesitas algo más.</t>
  </si>
  <si>
    <t>[SIMULACIÓN — NO ES TRANSCRIPCIÓN] Quieres saber cuánto cuestan en general los trámites de la municipalidad y dónde puedes ver la lista de precios.</t>
  </si>
  <si>
    <t>SA15</t>
  </si>
  <si>
    <t>[SIMULACIÓN — NO ES TRANSCRIPCIÓN] Prefieres llamar en vez de ir y quieres saber a qué número o por qué medio comunicarte con la municipalidad.</t>
  </si>
  <si>
    <t>[SIMULACIÓN — NO ES TRANSCRIPCIÓN] Quieres enterarte de los avisos oficiales de la municipalidad y quieres saber dónde seguirla por internet.</t>
  </si>
  <si>
    <t>[SIMULACIÓN — NO ES TRANSCRIPCIÓN] Acabas de abrir el chat del asistente de la municipalidad. ¿Cómo lo saludarías?</t>
  </si>
  <si>
    <t>SA16</t>
  </si>
  <si>
    <t>[SIMULACIÓN — NO ES TRANSCRIPCIÓN] Ya conseguiste la información que necesitabas y quieres terminar la conversación. ¿Cómo te despedirías?</t>
  </si>
  <si>
    <t>[SIMULACIÓN — NO ES TRANSCRIPCIÓN] El asistente te dio justo la información que necesitabas. ¿Cómo se lo agradecerías?</t>
  </si>
  <si>
    <t>[SIMULACIÓN — NO ES TRANSCRIPCIÓN] El asistente te pregunta si entendió bien tu consulta y la respuesta es sí. ¿Cómo responderías?</t>
  </si>
  <si>
    <t>SA17</t>
  </si>
  <si>
    <t>[SIMULACIÓN — NO ES TRANSCRIPCIÓN] El asistente te ofrece algo que no es lo que estabas buscando. ¿Cómo le dirías que no?</t>
  </si>
  <si>
    <t>[SIMULACIÓN — NO ES TRANSCRIPCIÓN] Quieres preguntarle al asistente algo que no tiene nada que ver con la municipalidad (por ejemplo, del clima, deportes, cultura general o una curiosidad).</t>
  </si>
  <si>
    <t>[SIMULACIÓN — NO ES TRANSCRIPCIÓN] Quieres preguntarle algo sobre otra entidad o servicio (por ejemplo, la luz, el agua, la SUNAT, RENIEC o la policía) y no sobre la municipalidad.</t>
  </si>
  <si>
    <t>SA18</t>
  </si>
  <si>
    <t>[SIMULACIÓN — NO ES TRANSCRIPCIÓN] Quieres pedirle al asistente algo personal o fuera de lo normal (que cuente un chiste, que dé su opinión o que te haga la tarea).</t>
  </si>
  <si>
    <t>[SIMULACIÓN — NO ES TRANSCRIPCIÓN] Prefieres que te atienda una persona y no un programa. ¿Qué le dirías al asistente?</t>
  </si>
  <si>
    <t>[SIMULACIÓN — NO ES TRANSCRIPCIÓN] No sabes para qué sirve este asistente ni qué cosas le puedes preguntar. ¿Qué le escribirías?</t>
  </si>
  <si>
    <t>SA19</t>
  </si>
  <si>
    <t>[SIMULACIÓN — NO ES TRANSCRIPCIÓN] El asistente te respondió algo que no entendiste. ¿Qué le dirías?</t>
  </si>
  <si>
    <t>[SIMULACIÓN — NO ES TRANSCRIPCIÓN] El asistente te dio una información pero no alcanzaste a leerla ni a anotarla. ¿Cómo le pedirías que te la repita?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</si>
  <si>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</si>
  <si>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</si>
  <si>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</si>
  <si>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</si>
  <si>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</si>
  <si>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</si>
  <si>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</si>
  <si>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</si>
  <si>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</si>
  <si>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</si>
  <si>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</si>
  <si>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</si>
  <si>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</si>
  <si>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</si>
  <si>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</si>
  <si>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</si>
  <si>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</si>
  <si>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</si>
  <si>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</si>
  <si>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</si>
  <si>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</si>
  <si>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</si>
  <si>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</si>
  <si>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</si>
  <si>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</si>
  <si>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</si>
  <si>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</si>
  <si>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</si>
  <si>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</si>
  <si>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SA49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</si>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</sst>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yyyy\-mm\-dd"/>
  </numFmts>
  <fonts count="11" x14ac:knownFonts="1">
    <font>
      <sz val="10"/>
      <name val="Arial"/>
    </font>
    <font>
      <sz val="10"/>
      <name val="Arial"/>
    </font>
    <font>
      <b/>
      <sz val="1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7F7F7F"/>
      <name val="Arial"/>
    </font>
    <font>
      <sz val="11"/>
      <color theme="1"/>
      <name val="Calibri"/>
      <family val="2"/>
    </font>
    <font>
      <b/>
      <sz val="14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9C000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34">
    <xf numFmtId="0" fontId="0" fillId="0" borderId="0" xfId="0"/>
    <xf numFmtId="0" fontId="3" fillId="0" borderId="0" xfId="0" applyFont="1" applyBorder="1" applyAlignment="1">
      <alignment vertical="top" wrapText="1"/>
    </xf>
    <xf numFmtId="0" fontId="10" fillId="5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/>
    </xf>
    <xf numFmtId="0" fontId="5" fillId="4" borderId="0" xfId="0" applyFont="1" applyFill="1"/>
    <xf numFmtId="0" fontId="9" fillId="4" borderId="0" xfId="0" applyFont="1" applyFill="1"/>
    <xf numFmtId="0" fontId="0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9" fontId="6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5" fontId="6" fillId="3" borderId="1" xfId="0" applyNumberFormat="1" applyFont="1" applyFill="1" applyBorder="1" applyAlignment="1">
      <alignment horizontal="center" vertical="center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0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:XFD2"/>
    </sheetView>
  </sheetViews>
  <sheetFormatPr baseColWidth="10" defaultColWidth="8.7109375" defaultRowHeight="12.75" x14ac:dyDescent="0.2"/>
  <cols>
    <col min="1" max="1" width="10" customWidth="1"/>
    <col min="2" max="2" width="11" customWidth="1"/>
    <col min="3" max="3" width="12" customWidth="1"/>
    <col min="4" max="4" width="11" customWidth="1"/>
    <col min="5" max="5" width="9" customWidth="1"/>
    <col min="6" max="6" width="12" customWidth="1"/>
    <col min="7" max="7" width="22" customWidth="1"/>
    <col min="8" max="9" width="17" customWidth="1"/>
    <col min="10" max="16" width="9" customWidth="1"/>
    <col min="17" max="17" width="10" customWidth="1"/>
    <col min="18" max="18" width="9" customWidth="1"/>
    <col min="19" max="19" width="10" customWidth="1"/>
    <col min="20" max="22" width="9" customWidth="1"/>
    <col min="23" max="23" width="30" customWidth="1"/>
    <col min="24" max="24" width="12" customWidth="1"/>
    <col min="25" max="25" width="10" customWidth="1"/>
    <col min="26" max="26" width="12" customWidth="1"/>
    <col min="27" max="27" width="11" customWidth="1"/>
    <col min="28" max="28" width="10" customWidth="1"/>
    <col min="29" max="29" width="30" customWidth="1"/>
    <col min="30" max="30" width="12" customWidth="1"/>
    <col min="31" max="31" width="10" customWidth="1"/>
    <col min="32" max="32" width="12" customWidth="1"/>
    <col min="33" max="33" width="11" customWidth="1"/>
    <col min="34" max="34" width="10" customWidth="1"/>
    <col min="35" max="35" width="30" customWidth="1"/>
    <col min="36" max="36" width="12" customWidth="1"/>
    <col min="37" max="37" width="10" customWidth="1"/>
    <col min="38" max="38" width="12" customWidth="1"/>
    <col min="39" max="39" width="11" customWidth="1"/>
    <col min="40" max="40" width="10" customWidth="1"/>
    <col min="41" max="49" width="12" customWidth="1"/>
    <col min="50" max="50" width="17" customWidth="1"/>
    <col min="51" max="51" width="24" customWidth="1"/>
    <col min="52" max="52" width="11" customWidth="1"/>
    <col min="53" max="53" width="10" customWidth="1"/>
    <col min="54" max="54" width="12" customWidth="1"/>
    <col min="55" max="55" width="11" customWidth="1"/>
    <col min="56" max="58" width="10" customWidth="1"/>
    <col min="59" max="62" width="11" customWidth="1"/>
    <col min="63" max="63" width="10" customWidth="1"/>
  </cols>
  <sheetData>
    <row r="1" spans="1:63" ht="30" customHeight="1" x14ac:dyDescent="0.2">
      <c r="A1" s="2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78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</row>
    <row r="3" spans="1:63" ht="76.5" x14ac:dyDescent="0.2">
      <c r="A3" s="5" t="s">
        <v>374</v>
      </c>
      <c r="B3" s="33">
        <v>46307.5</v>
      </c>
      <c r="C3" s="7" t="s">
        <v>375</v>
      </c>
      <c r="D3" s="8" t="s">
        <v>81</v>
      </c>
      <c r="E3" s="8" t="s">
        <v>82</v>
      </c>
      <c r="F3" s="8" t="s">
        <v>82</v>
      </c>
      <c r="G3" s="7" t="s">
        <v>83</v>
      </c>
      <c r="H3" s="8" t="s">
        <v>84</v>
      </c>
      <c r="I3" s="7" t="s">
        <v>85</v>
      </c>
      <c r="J3" s="8">
        <v>0</v>
      </c>
      <c r="K3" s="8">
        <v>0</v>
      </c>
      <c r="L3" s="8">
        <v>1</v>
      </c>
      <c r="M3" s="8">
        <v>1</v>
      </c>
      <c r="N3" s="8">
        <v>0</v>
      </c>
      <c r="O3" s="8">
        <v>0</v>
      </c>
      <c r="P3" s="8">
        <v>3</v>
      </c>
      <c r="Q3" s="8">
        <v>2</v>
      </c>
      <c r="R3" s="8">
        <v>3</v>
      </c>
      <c r="S3" s="8">
        <v>3</v>
      </c>
      <c r="T3" s="9" t="str">
        <f>INDEX(Tarjetas!$A$4:$A$59,MOD(3*(VALUE(MID(A3,3,2))-1)+0,ROWS(Tarjetas!$A$4:$A$59))+1)</f>
        <v>S01</v>
      </c>
      <c r="U3" s="9" t="str">
        <f>INDEX(Tarjetas!$A$4:$A$59,MOD(3*(VALUE(MID(A3,3,2))-1)+1,ROWS(Tarjetas!$A$4:$A$59))+1)</f>
        <v>S02</v>
      </c>
      <c r="V3" s="9" t="str">
        <f>INDEX(Tarjetas!$A$4:$A$59,MOD(3*(VALUE(MID(A3,3,2))-1)+2,ROWS(Tarjetas!$A$4:$A$59))+1)</f>
        <v>S03</v>
      </c>
      <c r="W3" s="7" t="s">
        <v>376</v>
      </c>
      <c r="X3" s="8">
        <v>180</v>
      </c>
      <c r="Y3" s="8">
        <v>3</v>
      </c>
      <c r="Z3" s="8" t="s">
        <v>90</v>
      </c>
      <c r="AA3" s="8" t="s">
        <v>90</v>
      </c>
      <c r="AB3" s="8" t="s">
        <v>90</v>
      </c>
      <c r="AC3" s="7" t="s">
        <v>377</v>
      </c>
      <c r="AD3" s="8">
        <v>44</v>
      </c>
      <c r="AE3" s="8">
        <v>2</v>
      </c>
      <c r="AF3" s="8" t="s">
        <v>82</v>
      </c>
      <c r="AG3" s="8" t="s">
        <v>82</v>
      </c>
      <c r="AH3" s="8" t="s">
        <v>90</v>
      </c>
      <c r="AI3" s="7" t="s">
        <v>378</v>
      </c>
      <c r="AJ3" s="8">
        <v>65</v>
      </c>
      <c r="AK3" s="8">
        <v>1</v>
      </c>
      <c r="AL3" s="8" t="s">
        <v>82</v>
      </c>
      <c r="AM3" s="8" t="s">
        <v>92</v>
      </c>
      <c r="AN3" s="8" t="s">
        <v>90</v>
      </c>
      <c r="AO3" s="8">
        <v>3</v>
      </c>
      <c r="AP3" s="8">
        <v>4</v>
      </c>
      <c r="AQ3" s="8">
        <v>3</v>
      </c>
      <c r="AR3" s="8">
        <v>3</v>
      </c>
      <c r="AS3" s="8">
        <v>4</v>
      </c>
      <c r="AT3" s="8">
        <v>4</v>
      </c>
      <c r="AU3" s="8">
        <v>4</v>
      </c>
      <c r="AV3" s="8">
        <v>4</v>
      </c>
      <c r="AW3" s="8">
        <v>4</v>
      </c>
      <c r="AX3" s="8" t="s">
        <v>84</v>
      </c>
      <c r="AY3" s="7" t="s">
        <v>94</v>
      </c>
      <c r="AZ3" s="10" t="str">
        <f t="shared" ref="AZ3:AZ34" si="0">IF(COUNTA(B3,F3)=0,"",IF(AND(F3="Sí",H3&lt;&gt;"",S3&lt;&gt;"",COUNT(X3,AD3,AJ3)=3,COUNT(AO3:AV3)=8,AW3&lt;&gt;""),"Sí","No"))</f>
        <v>Sí</v>
      </c>
      <c r="BA3" s="11">
        <f>IF(H3="","",IFERROR(INDEX(Parametros!$B$4:$B$9,MATCH(H3,Parametros!$A$4:$A$9,0)),""))</f>
        <v>90</v>
      </c>
      <c r="BB3" s="12">
        <f t="shared" ref="BB3:BB34" si="1">IF(COUNT(X3,AD3,AJ3)=3,AVERAGE(X3,AD3,AJ3)/60,"")</f>
        <v>1.6055555555555554</v>
      </c>
      <c r="BC3" s="12">
        <f t="shared" ref="BC3:BC34" si="2">IF(AND(ISNUMBER(BA3),ISNUMBER(BB3)),BB3-BA3,"")</f>
        <v>-88.394444444444446</v>
      </c>
      <c r="BD3" s="13">
        <f t="shared" ref="BD3:BD34" si="3">IF(AND(ISNUMBER(BA3),ISNUMBER(BB3)),IF(BA3&gt;0,(BA3-BB3)/BA3,""),"")</f>
        <v>0.98216049382716053</v>
      </c>
      <c r="BE3" s="10">
        <f t="shared" ref="BE3:BE34" si="4">IF(S3="","",S3)</f>
        <v>3</v>
      </c>
      <c r="BF3" s="10">
        <f t="shared" ref="BF3:BF34" si="5">IF(AW3="","",AW3)</f>
        <v>4</v>
      </c>
      <c r="BG3" s="10">
        <f t="shared" ref="BG3:BG34" si="6">IF(AND(ISNUMBER(BE3),ISNUMBER(BF3)),BF3-BE3,"")</f>
        <v>1</v>
      </c>
      <c r="BH3" s="10">
        <f t="shared" ref="BH3:BH34" si="7">IF(COUNTA(Z3,AF3,AL3)=0,"",(Z3="Sí")+(AF3="Sí")+(AL3="Sí"))</f>
        <v>2</v>
      </c>
      <c r="BI3" s="10">
        <f t="shared" ref="BI3:BI34" si="8">IF(COUNTA(AA3,AG3,AM3)=0,"",(AA3="Sí")+(AG3="Sí")+(AM3="Sí"))</f>
        <v>1</v>
      </c>
      <c r="BJ3" s="10">
        <f t="shared" ref="BJ3:BJ34" si="9">IF(COUNTA(AB3,AH3,AN3)=0,"",(AB3="Sí")+(AH3="Sí")+(AN3="Sí"))</f>
        <v>0</v>
      </c>
      <c r="BK3" s="10">
        <f t="shared" ref="BK3:BK34" si="10">IF(COUNT(AO3:AV3)=8,SUM(AO3:AV3),"")</f>
        <v>29</v>
      </c>
    </row>
    <row r="4" spans="1:63" x14ac:dyDescent="0.2">
      <c r="A4" s="5" t="s">
        <v>379</v>
      </c>
      <c r="B4" s="33">
        <v>46307.5</v>
      </c>
      <c r="C4" s="7" t="s">
        <v>375</v>
      </c>
      <c r="D4" s="8" t="s">
        <v>314</v>
      </c>
      <c r="E4" s="8" t="s">
        <v>82</v>
      </c>
      <c r="F4" s="8" t="s">
        <v>82</v>
      </c>
      <c r="G4" s="7" t="s">
        <v>83</v>
      </c>
      <c r="H4" s="8" t="s">
        <v>310</v>
      </c>
      <c r="I4" s="7" t="s">
        <v>316</v>
      </c>
      <c r="J4" s="8">
        <v>1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3</v>
      </c>
      <c r="Q4" s="8">
        <v>1</v>
      </c>
      <c r="R4" s="8">
        <v>2</v>
      </c>
      <c r="S4" s="8">
        <v>2</v>
      </c>
      <c r="T4" s="9" t="str">
        <f>INDEX(Tarjetas!$A$4:$A$59,MOD(3*(VALUE(MID(A4,3,2))-1)+0,ROWS(Tarjetas!$A$4:$A$59))+1)</f>
        <v>S04</v>
      </c>
      <c r="U4" s="9" t="str">
        <f>INDEX(Tarjetas!$A$4:$A$59,MOD(3*(VALUE(MID(A4,3,2))-1)+1,ROWS(Tarjetas!$A$4:$A$59))+1)</f>
        <v>S05</v>
      </c>
      <c r="V4" s="9" t="str">
        <f>INDEX(Tarjetas!$A$4:$A$59,MOD(3*(VALUE(MID(A4,3,2))-1)+2,ROWS(Tarjetas!$A$4:$A$59))+1)</f>
        <v>S06</v>
      </c>
      <c r="W4" s="7" t="s">
        <v>380</v>
      </c>
      <c r="X4" s="8">
        <v>26</v>
      </c>
      <c r="Y4" s="8">
        <v>1</v>
      </c>
      <c r="Z4" s="8" t="s">
        <v>82</v>
      </c>
      <c r="AA4" s="8" t="s">
        <v>82</v>
      </c>
      <c r="AB4" s="8" t="s">
        <v>90</v>
      </c>
      <c r="AC4" s="7" t="s">
        <v>381</v>
      </c>
      <c r="AD4" s="8">
        <v>33</v>
      </c>
      <c r="AE4" s="8">
        <v>2</v>
      </c>
      <c r="AF4" s="8" t="s">
        <v>82</v>
      </c>
      <c r="AG4" s="8" t="s">
        <v>92</v>
      </c>
      <c r="AH4" s="8" t="s">
        <v>90</v>
      </c>
      <c r="AI4" s="7" t="s">
        <v>382</v>
      </c>
      <c r="AJ4" s="8">
        <v>69</v>
      </c>
      <c r="AK4" s="8">
        <v>2</v>
      </c>
      <c r="AL4" s="8" t="s">
        <v>82</v>
      </c>
      <c r="AM4" s="8" t="s">
        <v>92</v>
      </c>
      <c r="AN4" s="8" t="s">
        <v>90</v>
      </c>
      <c r="AO4" s="8">
        <v>3</v>
      </c>
      <c r="AP4" s="8">
        <v>3</v>
      </c>
      <c r="AQ4" s="8">
        <v>5</v>
      </c>
      <c r="AR4" s="8">
        <v>4</v>
      </c>
      <c r="AS4" s="8">
        <v>4</v>
      </c>
      <c r="AT4" s="8">
        <v>3</v>
      </c>
      <c r="AU4" s="8">
        <v>4</v>
      </c>
      <c r="AV4" s="8">
        <v>3</v>
      </c>
      <c r="AW4" s="8">
        <v>4</v>
      </c>
      <c r="AX4" s="8" t="s">
        <v>310</v>
      </c>
      <c r="AY4" s="7" t="s">
        <v>94</v>
      </c>
      <c r="AZ4" s="10" t="str">
        <f t="shared" si="0"/>
        <v>Sí</v>
      </c>
      <c r="BA4" s="11">
        <f>IF(H4="","",IFERROR(INDEX(Parametros!$B$4:$B$9,MATCH(H4,Parametros!$A$4:$A$9,0)),""))</f>
        <v>45</v>
      </c>
      <c r="BB4" s="12">
        <f t="shared" si="1"/>
        <v>0.71111111111111103</v>
      </c>
      <c r="BC4" s="12">
        <f t="shared" si="2"/>
        <v>-44.288888888888891</v>
      </c>
      <c r="BD4" s="13">
        <f t="shared" si="3"/>
        <v>0.98419753086419759</v>
      </c>
      <c r="BE4" s="10">
        <f t="shared" si="4"/>
        <v>2</v>
      </c>
      <c r="BF4" s="10">
        <f t="shared" si="5"/>
        <v>4</v>
      </c>
      <c r="BG4" s="10">
        <f t="shared" si="6"/>
        <v>2</v>
      </c>
      <c r="BH4" s="10">
        <f t="shared" si="7"/>
        <v>3</v>
      </c>
      <c r="BI4" s="10">
        <f t="shared" si="8"/>
        <v>1</v>
      </c>
      <c r="BJ4" s="10">
        <f t="shared" si="9"/>
        <v>0</v>
      </c>
      <c r="BK4" s="10">
        <f t="shared" si="10"/>
        <v>29</v>
      </c>
    </row>
    <row r="5" spans="1:63" ht="63.75" x14ac:dyDescent="0.2">
      <c r="A5" s="5" t="s">
        <v>383</v>
      </c>
      <c r="B5" s="33">
        <v>46307.5</v>
      </c>
      <c r="C5" s="7" t="s">
        <v>375</v>
      </c>
      <c r="D5" s="8" t="s">
        <v>311</v>
      </c>
      <c r="E5" s="8" t="s">
        <v>82</v>
      </c>
      <c r="F5" s="8" t="s">
        <v>82</v>
      </c>
      <c r="G5" s="7" t="s">
        <v>309</v>
      </c>
      <c r="H5" s="8" t="s">
        <v>84</v>
      </c>
      <c r="I5" s="7" t="s">
        <v>313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2</v>
      </c>
      <c r="Q5" s="8">
        <v>1</v>
      </c>
      <c r="R5" s="8">
        <v>2</v>
      </c>
      <c r="S5" s="8">
        <v>1</v>
      </c>
      <c r="T5" s="9" t="str">
        <f>INDEX(Tarjetas!$A$4:$A$59,MOD(3*(VALUE(MID(A5,3,2))-1)+0,ROWS(Tarjetas!$A$4:$A$59))+1)</f>
        <v>S07</v>
      </c>
      <c r="U5" s="9" t="str">
        <f>INDEX(Tarjetas!$A$4:$A$59,MOD(3*(VALUE(MID(A5,3,2))-1)+1,ROWS(Tarjetas!$A$4:$A$59))+1)</f>
        <v>S08</v>
      </c>
      <c r="V5" s="9" t="str">
        <f>INDEX(Tarjetas!$A$4:$A$59,MOD(3*(VALUE(MID(A5,3,2))-1)+2,ROWS(Tarjetas!$A$4:$A$59))+1)</f>
        <v>S09</v>
      </c>
      <c r="W5" s="7" t="s">
        <v>385</v>
      </c>
      <c r="X5" s="8">
        <v>180</v>
      </c>
      <c r="Y5" s="8">
        <v>3</v>
      </c>
      <c r="Z5" s="8" t="s">
        <v>90</v>
      </c>
      <c r="AA5" s="8" t="s">
        <v>92</v>
      </c>
      <c r="AB5" s="8" t="s">
        <v>90</v>
      </c>
      <c r="AC5" s="7" t="s">
        <v>386</v>
      </c>
      <c r="AD5" s="8">
        <v>69</v>
      </c>
      <c r="AE5" s="8">
        <v>1</v>
      </c>
      <c r="AF5" s="8" t="s">
        <v>82</v>
      </c>
      <c r="AG5" s="8" t="s">
        <v>82</v>
      </c>
      <c r="AH5" s="8" t="s">
        <v>90</v>
      </c>
      <c r="AI5" s="7" t="s">
        <v>387</v>
      </c>
      <c r="AJ5" s="8">
        <v>180</v>
      </c>
      <c r="AK5" s="8">
        <v>3</v>
      </c>
      <c r="AL5" s="8" t="s">
        <v>90</v>
      </c>
      <c r="AM5" s="8" t="s">
        <v>92</v>
      </c>
      <c r="AN5" s="8" t="s">
        <v>90</v>
      </c>
      <c r="AO5" s="8">
        <v>1</v>
      </c>
      <c r="AP5" s="8">
        <v>4</v>
      </c>
      <c r="AQ5" s="8">
        <v>3</v>
      </c>
      <c r="AR5" s="8">
        <v>1</v>
      </c>
      <c r="AS5" s="8">
        <v>2</v>
      </c>
      <c r="AT5" s="8">
        <v>3</v>
      </c>
      <c r="AU5" s="8">
        <v>2</v>
      </c>
      <c r="AV5" s="8">
        <v>2</v>
      </c>
      <c r="AW5" s="8">
        <v>3</v>
      </c>
      <c r="AX5" s="8" t="s">
        <v>84</v>
      </c>
      <c r="AY5" s="7" t="s">
        <v>94</v>
      </c>
      <c r="AZ5" s="10" t="str">
        <f t="shared" si="0"/>
        <v>Sí</v>
      </c>
      <c r="BA5" s="11">
        <f>IF(H5="","",IFERROR(INDEX(Parametros!$B$4:$B$9,MATCH(H5,Parametros!$A$4:$A$9,0)),""))</f>
        <v>90</v>
      </c>
      <c r="BB5" s="12">
        <f t="shared" si="1"/>
        <v>2.3833333333333333</v>
      </c>
      <c r="BC5" s="12">
        <f t="shared" si="2"/>
        <v>-87.61666666666666</v>
      </c>
      <c r="BD5" s="13">
        <f t="shared" si="3"/>
        <v>0.97351851851851845</v>
      </c>
      <c r="BE5" s="10">
        <f t="shared" si="4"/>
        <v>1</v>
      </c>
      <c r="BF5" s="10">
        <f t="shared" si="5"/>
        <v>3</v>
      </c>
      <c r="BG5" s="10">
        <f t="shared" si="6"/>
        <v>2</v>
      </c>
      <c r="BH5" s="10">
        <f t="shared" si="7"/>
        <v>1</v>
      </c>
      <c r="BI5" s="10">
        <f t="shared" si="8"/>
        <v>1</v>
      </c>
      <c r="BJ5" s="10">
        <f t="shared" si="9"/>
        <v>0</v>
      </c>
      <c r="BK5" s="10">
        <f t="shared" si="10"/>
        <v>18</v>
      </c>
    </row>
    <row r="6" spans="1:63" ht="76.5" x14ac:dyDescent="0.2">
      <c r="A6" s="5" t="s">
        <v>388</v>
      </c>
      <c r="B6" s="33">
        <v>46307.5</v>
      </c>
      <c r="C6" s="7" t="s">
        <v>375</v>
      </c>
      <c r="D6" s="8" t="s">
        <v>314</v>
      </c>
      <c r="E6" s="8" t="s">
        <v>82</v>
      </c>
      <c r="F6" s="8" t="s">
        <v>82</v>
      </c>
      <c r="G6" s="7" t="s">
        <v>312</v>
      </c>
      <c r="H6" s="8" t="s">
        <v>84</v>
      </c>
      <c r="I6" s="7" t="s">
        <v>85</v>
      </c>
      <c r="J6" s="8">
        <v>1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1</v>
      </c>
      <c r="Q6" s="8">
        <v>1</v>
      </c>
      <c r="R6" s="8">
        <v>2</v>
      </c>
      <c r="S6" s="8">
        <v>1</v>
      </c>
      <c r="T6" s="9" t="str">
        <f>INDEX(Tarjetas!$A$4:$A$59,MOD(3*(VALUE(MID(A6,3,2))-1)+0,ROWS(Tarjetas!$A$4:$A$59))+1)</f>
        <v>S10</v>
      </c>
      <c r="U6" s="9" t="str">
        <f>INDEX(Tarjetas!$A$4:$A$59,MOD(3*(VALUE(MID(A6,3,2))-1)+1,ROWS(Tarjetas!$A$4:$A$59))+1)</f>
        <v>S11</v>
      </c>
      <c r="V6" s="9" t="str">
        <f>INDEX(Tarjetas!$A$4:$A$59,MOD(3*(VALUE(MID(A6,3,2))-1)+2,ROWS(Tarjetas!$A$4:$A$59))+1)</f>
        <v>S12</v>
      </c>
      <c r="W6" s="7" t="s">
        <v>390</v>
      </c>
      <c r="X6" s="8">
        <v>180</v>
      </c>
      <c r="Y6" s="8">
        <v>3</v>
      </c>
      <c r="Z6" s="8" t="s">
        <v>90</v>
      </c>
      <c r="AA6" s="8" t="s">
        <v>92</v>
      </c>
      <c r="AB6" s="8" t="s">
        <v>90</v>
      </c>
      <c r="AC6" s="7" t="s">
        <v>391</v>
      </c>
      <c r="AD6" s="8">
        <v>180</v>
      </c>
      <c r="AE6" s="8">
        <v>3</v>
      </c>
      <c r="AF6" s="8" t="s">
        <v>90</v>
      </c>
      <c r="AG6" s="8" t="s">
        <v>92</v>
      </c>
      <c r="AH6" s="8" t="s">
        <v>90</v>
      </c>
      <c r="AI6" s="7" t="s">
        <v>392</v>
      </c>
      <c r="AJ6" s="8">
        <v>43</v>
      </c>
      <c r="AK6" s="8">
        <v>3</v>
      </c>
      <c r="AL6" s="8" t="s">
        <v>82</v>
      </c>
      <c r="AM6" s="8" t="s">
        <v>92</v>
      </c>
      <c r="AN6" s="8" t="s">
        <v>90</v>
      </c>
      <c r="AO6" s="8">
        <v>3</v>
      </c>
      <c r="AP6" s="8">
        <v>2</v>
      </c>
      <c r="AQ6" s="8">
        <v>3</v>
      </c>
      <c r="AR6" s="8">
        <v>3</v>
      </c>
      <c r="AS6" s="8">
        <v>4</v>
      </c>
      <c r="AT6" s="8">
        <v>4</v>
      </c>
      <c r="AU6" s="8">
        <v>4</v>
      </c>
      <c r="AV6" s="8">
        <v>2</v>
      </c>
      <c r="AW6" s="8">
        <v>4</v>
      </c>
      <c r="AX6" s="8" t="s">
        <v>84</v>
      </c>
      <c r="AY6" s="7" t="s">
        <v>94</v>
      </c>
      <c r="AZ6" s="10" t="str">
        <f t="shared" si="0"/>
        <v>Sí</v>
      </c>
      <c r="BA6" s="11">
        <f>IF(H6="","",IFERROR(INDEX(Parametros!$B$4:$B$9,MATCH(H6,Parametros!$A$4:$A$9,0)),""))</f>
        <v>90</v>
      </c>
      <c r="BB6" s="12">
        <f t="shared" si="1"/>
        <v>2.2388888888888889</v>
      </c>
      <c r="BC6" s="12">
        <f t="shared" si="2"/>
        <v>-87.761111111111106</v>
      </c>
      <c r="BD6" s="13">
        <f t="shared" si="3"/>
        <v>0.97512345679012336</v>
      </c>
      <c r="BE6" s="10">
        <f t="shared" si="4"/>
        <v>1</v>
      </c>
      <c r="BF6" s="10">
        <f t="shared" si="5"/>
        <v>4</v>
      </c>
      <c r="BG6" s="10">
        <f t="shared" si="6"/>
        <v>3</v>
      </c>
      <c r="BH6" s="10">
        <f t="shared" si="7"/>
        <v>1</v>
      </c>
      <c r="BI6" s="10">
        <f t="shared" si="8"/>
        <v>0</v>
      </c>
      <c r="BJ6" s="10">
        <f t="shared" si="9"/>
        <v>0</v>
      </c>
      <c r="BK6" s="10">
        <f t="shared" si="10"/>
        <v>25</v>
      </c>
    </row>
    <row r="7" spans="1:63" ht="76.5" x14ac:dyDescent="0.2">
      <c r="A7" s="5" t="s">
        <v>393</v>
      </c>
      <c r="B7" s="33">
        <v>46307.5</v>
      </c>
      <c r="C7" s="7" t="s">
        <v>375</v>
      </c>
      <c r="D7" s="8" t="s">
        <v>311</v>
      </c>
      <c r="E7" s="8" t="s">
        <v>82</v>
      </c>
      <c r="F7" s="8" t="s">
        <v>82</v>
      </c>
      <c r="G7" s="7" t="s">
        <v>309</v>
      </c>
      <c r="H7" s="8" t="s">
        <v>310</v>
      </c>
      <c r="I7" s="7" t="s">
        <v>313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3</v>
      </c>
      <c r="Q7" s="8">
        <v>2</v>
      </c>
      <c r="R7" s="8">
        <v>4</v>
      </c>
      <c r="S7" s="8">
        <v>3</v>
      </c>
      <c r="T7" s="9" t="str">
        <f>INDEX(Tarjetas!$A$4:$A$59,MOD(3*(VALUE(MID(A7,3,2))-1)+0,ROWS(Tarjetas!$A$4:$A$59))+1)</f>
        <v>S13</v>
      </c>
      <c r="U7" s="9" t="str">
        <f>INDEX(Tarjetas!$A$4:$A$59,MOD(3*(VALUE(MID(A7,3,2))-1)+1,ROWS(Tarjetas!$A$4:$A$59))+1)</f>
        <v>S14</v>
      </c>
      <c r="V7" s="9" t="str">
        <f>INDEX(Tarjetas!$A$4:$A$59,MOD(3*(VALUE(MID(A7,3,2))-1)+2,ROWS(Tarjetas!$A$4:$A$59))+1)</f>
        <v>S15</v>
      </c>
      <c r="W7" s="7" t="s">
        <v>394</v>
      </c>
      <c r="X7" s="8">
        <v>180</v>
      </c>
      <c r="Y7" s="8">
        <v>3</v>
      </c>
      <c r="Z7" s="8" t="s">
        <v>90</v>
      </c>
      <c r="AA7" s="8" t="s">
        <v>92</v>
      </c>
      <c r="AB7" s="8" t="s">
        <v>90</v>
      </c>
      <c r="AC7" s="7" t="s">
        <v>395</v>
      </c>
      <c r="AD7" s="8">
        <v>103</v>
      </c>
      <c r="AE7" s="8">
        <v>2</v>
      </c>
      <c r="AF7" s="8" t="s">
        <v>82</v>
      </c>
      <c r="AG7" s="8" t="s">
        <v>82</v>
      </c>
      <c r="AH7" s="8" t="s">
        <v>90</v>
      </c>
      <c r="AI7" s="7" t="s">
        <v>396</v>
      </c>
      <c r="AJ7" s="8">
        <v>117</v>
      </c>
      <c r="AK7" s="8">
        <v>1</v>
      </c>
      <c r="AL7" s="8" t="s">
        <v>82</v>
      </c>
      <c r="AM7" s="8" t="s">
        <v>92</v>
      </c>
      <c r="AN7" s="8" t="s">
        <v>90</v>
      </c>
      <c r="AO7" s="8">
        <v>3</v>
      </c>
      <c r="AP7" s="8">
        <v>3</v>
      </c>
      <c r="AQ7" s="8">
        <v>2</v>
      </c>
      <c r="AR7" s="8">
        <v>4</v>
      </c>
      <c r="AS7" s="8">
        <v>4</v>
      </c>
      <c r="AT7" s="8">
        <v>3</v>
      </c>
      <c r="AU7" s="8">
        <v>4</v>
      </c>
      <c r="AV7" s="8">
        <v>4</v>
      </c>
      <c r="AW7" s="8">
        <v>3</v>
      </c>
      <c r="AX7" s="8" t="s">
        <v>310</v>
      </c>
      <c r="AY7" s="7" t="s">
        <v>94</v>
      </c>
      <c r="AZ7" s="10" t="str">
        <f t="shared" si="0"/>
        <v>Sí</v>
      </c>
      <c r="BA7" s="11">
        <f>IF(H7="","",IFERROR(INDEX(Parametros!$B$4:$B$9,MATCH(H7,Parametros!$A$4:$A$9,0)),""))</f>
        <v>45</v>
      </c>
      <c r="BB7" s="12">
        <f t="shared" si="1"/>
        <v>2.2222222222222223</v>
      </c>
      <c r="BC7" s="12">
        <f t="shared" si="2"/>
        <v>-42.777777777777779</v>
      </c>
      <c r="BD7" s="13">
        <f t="shared" si="3"/>
        <v>0.95061728395061729</v>
      </c>
      <c r="BE7" s="10">
        <f t="shared" si="4"/>
        <v>3</v>
      </c>
      <c r="BF7" s="10">
        <f t="shared" si="5"/>
        <v>3</v>
      </c>
      <c r="BG7" s="10">
        <f t="shared" si="6"/>
        <v>0</v>
      </c>
      <c r="BH7" s="10">
        <f t="shared" si="7"/>
        <v>2</v>
      </c>
      <c r="BI7" s="10">
        <f t="shared" si="8"/>
        <v>1</v>
      </c>
      <c r="BJ7" s="10">
        <f t="shared" si="9"/>
        <v>0</v>
      </c>
      <c r="BK7" s="10">
        <f t="shared" si="10"/>
        <v>27</v>
      </c>
    </row>
    <row r="8" spans="1:63" ht="76.5" x14ac:dyDescent="0.2">
      <c r="A8" s="5" t="s">
        <v>397</v>
      </c>
      <c r="B8" s="33">
        <v>46307.5</v>
      </c>
      <c r="C8" s="7" t="s">
        <v>375</v>
      </c>
      <c r="D8" s="8" t="s">
        <v>306</v>
      </c>
      <c r="E8" s="8" t="s">
        <v>82</v>
      </c>
      <c r="F8" s="8" t="s">
        <v>82</v>
      </c>
      <c r="G8" s="7" t="s">
        <v>318</v>
      </c>
      <c r="H8" s="8" t="s">
        <v>308</v>
      </c>
      <c r="I8" s="7" t="s">
        <v>85</v>
      </c>
      <c r="J8" s="8">
        <v>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3</v>
      </c>
      <c r="Q8" s="8">
        <v>2</v>
      </c>
      <c r="R8" s="8">
        <v>2</v>
      </c>
      <c r="S8" s="8">
        <v>2</v>
      </c>
      <c r="T8" s="9" t="str">
        <f>INDEX(Tarjetas!$A$4:$A$59,MOD(3*(VALUE(MID(A8,3,2))-1)+0,ROWS(Tarjetas!$A$4:$A$59))+1)</f>
        <v>S16</v>
      </c>
      <c r="U8" s="9" t="str">
        <f>INDEX(Tarjetas!$A$4:$A$59,MOD(3*(VALUE(MID(A8,3,2))-1)+1,ROWS(Tarjetas!$A$4:$A$59))+1)</f>
        <v>S17</v>
      </c>
      <c r="V8" s="9" t="str">
        <f>INDEX(Tarjetas!$A$4:$A$59,MOD(3*(VALUE(MID(A8,3,2))-1)+2,ROWS(Tarjetas!$A$4:$A$59))+1)</f>
        <v>S18</v>
      </c>
      <c r="W8" s="7" t="s">
        <v>398</v>
      </c>
      <c r="X8" s="8">
        <v>68</v>
      </c>
      <c r="Y8" s="8">
        <v>3</v>
      </c>
      <c r="Z8" s="8" t="s">
        <v>82</v>
      </c>
      <c r="AA8" s="8" t="s">
        <v>82</v>
      </c>
      <c r="AB8" s="8" t="s">
        <v>90</v>
      </c>
      <c r="AC8" s="7" t="s">
        <v>399</v>
      </c>
      <c r="AD8" s="8">
        <v>77</v>
      </c>
      <c r="AE8" s="8">
        <v>2</v>
      </c>
      <c r="AF8" s="8" t="s">
        <v>82</v>
      </c>
      <c r="AG8" s="8" t="s">
        <v>82</v>
      </c>
      <c r="AH8" s="8" t="s">
        <v>90</v>
      </c>
      <c r="AI8" s="7" t="s">
        <v>400</v>
      </c>
      <c r="AJ8" s="8">
        <v>180</v>
      </c>
      <c r="AK8" s="8">
        <v>3</v>
      </c>
      <c r="AL8" s="8" t="s">
        <v>82</v>
      </c>
      <c r="AM8" s="8" t="s">
        <v>92</v>
      </c>
      <c r="AN8" s="8" t="s">
        <v>82</v>
      </c>
      <c r="AO8" s="8">
        <v>3</v>
      </c>
      <c r="AP8" s="8">
        <v>2</v>
      </c>
      <c r="AQ8" s="8">
        <v>4</v>
      </c>
      <c r="AR8" s="8">
        <v>3</v>
      </c>
      <c r="AS8" s="8">
        <v>2</v>
      </c>
      <c r="AT8" s="8">
        <v>4</v>
      </c>
      <c r="AU8" s="8">
        <v>3</v>
      </c>
      <c r="AV8" s="8">
        <v>2</v>
      </c>
      <c r="AW8" s="8">
        <v>3</v>
      </c>
      <c r="AX8" s="8" t="s">
        <v>308</v>
      </c>
      <c r="AY8" s="7" t="s">
        <v>94</v>
      </c>
      <c r="AZ8" s="10" t="str">
        <f t="shared" si="0"/>
        <v>Sí</v>
      </c>
      <c r="BA8" s="11">
        <f>IF(H8="","",IFERROR(INDEX(Parametros!$B$4:$B$9,MATCH(H8,Parametros!$A$4:$A$9,0)),""))</f>
        <v>22.5</v>
      </c>
      <c r="BB8" s="12">
        <f t="shared" si="1"/>
        <v>1.8055555555555556</v>
      </c>
      <c r="BC8" s="12">
        <f t="shared" si="2"/>
        <v>-20.694444444444443</v>
      </c>
      <c r="BD8" s="13">
        <f t="shared" si="3"/>
        <v>0.91975308641975306</v>
      </c>
      <c r="BE8" s="10">
        <f t="shared" si="4"/>
        <v>2</v>
      </c>
      <c r="BF8" s="10">
        <f t="shared" si="5"/>
        <v>3</v>
      </c>
      <c r="BG8" s="10">
        <f t="shared" si="6"/>
        <v>1</v>
      </c>
      <c r="BH8" s="10">
        <f t="shared" si="7"/>
        <v>3</v>
      </c>
      <c r="BI8" s="10">
        <f t="shared" si="8"/>
        <v>2</v>
      </c>
      <c r="BJ8" s="10">
        <f t="shared" si="9"/>
        <v>1</v>
      </c>
      <c r="BK8" s="10">
        <f t="shared" si="10"/>
        <v>23</v>
      </c>
    </row>
    <row r="9" spans="1:63" ht="76.5" x14ac:dyDescent="0.2">
      <c r="A9" s="5" t="s">
        <v>401</v>
      </c>
      <c r="B9" s="33">
        <v>46307.5</v>
      </c>
      <c r="C9" s="7" t="s">
        <v>375</v>
      </c>
      <c r="D9" s="8" t="s">
        <v>314</v>
      </c>
      <c r="E9" s="8" t="s">
        <v>82</v>
      </c>
      <c r="F9" s="8" t="s">
        <v>82</v>
      </c>
      <c r="G9" s="7" t="s">
        <v>83</v>
      </c>
      <c r="H9" s="8" t="s">
        <v>319</v>
      </c>
      <c r="I9" s="7" t="s">
        <v>316</v>
      </c>
      <c r="J9" s="8">
        <v>0</v>
      </c>
      <c r="K9" s="8">
        <v>0</v>
      </c>
      <c r="L9" s="8">
        <v>1</v>
      </c>
      <c r="M9" s="8">
        <v>0</v>
      </c>
      <c r="N9" s="8">
        <v>0</v>
      </c>
      <c r="O9" s="8">
        <v>0</v>
      </c>
      <c r="P9" s="8">
        <v>2</v>
      </c>
      <c r="Q9" s="8">
        <v>2</v>
      </c>
      <c r="R9" s="8">
        <v>4</v>
      </c>
      <c r="S9" s="8">
        <v>3</v>
      </c>
      <c r="T9" s="9" t="str">
        <f>INDEX(Tarjetas!$A$4:$A$59,MOD(3*(VALUE(MID(A9,3,2))-1)+0,ROWS(Tarjetas!$A$4:$A$59))+1)</f>
        <v>S19</v>
      </c>
      <c r="U9" s="9" t="str">
        <f>INDEX(Tarjetas!$A$4:$A$59,MOD(3*(VALUE(MID(A9,3,2))-1)+1,ROWS(Tarjetas!$A$4:$A$59))+1)</f>
        <v>S20</v>
      </c>
      <c r="V9" s="9" t="str">
        <f>INDEX(Tarjetas!$A$4:$A$59,MOD(3*(VALUE(MID(A9,3,2))-1)+2,ROWS(Tarjetas!$A$4:$A$59))+1)</f>
        <v>S21</v>
      </c>
      <c r="W9" s="7" t="s">
        <v>402</v>
      </c>
      <c r="X9" s="8">
        <v>62</v>
      </c>
      <c r="Y9" s="8">
        <v>2</v>
      </c>
      <c r="Z9" s="8" t="s">
        <v>82</v>
      </c>
      <c r="AA9" s="8" t="s">
        <v>82</v>
      </c>
      <c r="AB9" s="8" t="s">
        <v>90</v>
      </c>
      <c r="AC9" s="7" t="s">
        <v>403</v>
      </c>
      <c r="AD9" s="8">
        <v>121</v>
      </c>
      <c r="AE9" s="8">
        <v>1</v>
      </c>
      <c r="AF9" s="8" t="s">
        <v>82</v>
      </c>
      <c r="AG9" s="8" t="s">
        <v>92</v>
      </c>
      <c r="AH9" s="8" t="s">
        <v>90</v>
      </c>
      <c r="AI9" s="7" t="s">
        <v>404</v>
      </c>
      <c r="AJ9" s="8">
        <v>180</v>
      </c>
      <c r="AK9" s="8">
        <v>3</v>
      </c>
      <c r="AL9" s="8" t="s">
        <v>90</v>
      </c>
      <c r="AM9" s="8" t="s">
        <v>92</v>
      </c>
      <c r="AN9" s="8" t="s">
        <v>90</v>
      </c>
      <c r="AO9" s="8">
        <v>4</v>
      </c>
      <c r="AP9" s="8">
        <v>2</v>
      </c>
      <c r="AQ9" s="8">
        <v>3</v>
      </c>
      <c r="AR9" s="8">
        <v>2</v>
      </c>
      <c r="AS9" s="8">
        <v>3</v>
      </c>
      <c r="AT9" s="8">
        <v>5</v>
      </c>
      <c r="AU9" s="8">
        <v>3</v>
      </c>
      <c r="AV9" s="8">
        <v>2</v>
      </c>
      <c r="AW9" s="8">
        <v>4</v>
      </c>
      <c r="AX9" s="8" t="s">
        <v>319</v>
      </c>
      <c r="AY9" s="7" t="s">
        <v>405</v>
      </c>
      <c r="AZ9" s="10" t="str">
        <f t="shared" si="0"/>
        <v>Sí</v>
      </c>
      <c r="BA9" s="11">
        <f>IF(H9="","",IFERROR(INDEX(Parametros!$B$4:$B$9,MATCH(H9,Parametros!$A$4:$A$9,0)),""))</f>
        <v>300</v>
      </c>
      <c r="BB9" s="12">
        <f t="shared" si="1"/>
        <v>2.0166666666666666</v>
      </c>
      <c r="BC9" s="12">
        <f t="shared" si="2"/>
        <v>-297.98333333333335</v>
      </c>
      <c r="BD9" s="13">
        <f t="shared" si="3"/>
        <v>0.99327777777777781</v>
      </c>
      <c r="BE9" s="10">
        <f t="shared" si="4"/>
        <v>3</v>
      </c>
      <c r="BF9" s="10">
        <f t="shared" si="5"/>
        <v>4</v>
      </c>
      <c r="BG9" s="10">
        <f t="shared" si="6"/>
        <v>1</v>
      </c>
      <c r="BH9" s="10">
        <f t="shared" si="7"/>
        <v>2</v>
      </c>
      <c r="BI9" s="10">
        <f t="shared" si="8"/>
        <v>1</v>
      </c>
      <c r="BJ9" s="10">
        <f t="shared" si="9"/>
        <v>0</v>
      </c>
      <c r="BK9" s="10">
        <f t="shared" si="10"/>
        <v>24</v>
      </c>
    </row>
    <row r="10" spans="1:63" ht="63.75" x14ac:dyDescent="0.2">
      <c r="A10" s="5" t="s">
        <v>406</v>
      </c>
      <c r="B10" s="33">
        <v>46307.5</v>
      </c>
      <c r="C10" s="7" t="s">
        <v>375</v>
      </c>
      <c r="D10" s="8" t="s">
        <v>81</v>
      </c>
      <c r="E10" s="8" t="s">
        <v>82</v>
      </c>
      <c r="F10" s="8" t="s">
        <v>82</v>
      </c>
      <c r="G10" s="7" t="s">
        <v>318</v>
      </c>
      <c r="H10" s="8" t="s">
        <v>84</v>
      </c>
      <c r="I10" s="7" t="s">
        <v>85</v>
      </c>
      <c r="J10" s="8">
        <v>1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2</v>
      </c>
      <c r="Q10" s="8">
        <v>3</v>
      </c>
      <c r="R10" s="8">
        <v>2</v>
      </c>
      <c r="S10" s="8">
        <v>3</v>
      </c>
      <c r="T10" s="9" t="str">
        <f>INDEX(Tarjetas!$A$4:$A$59,MOD(3*(VALUE(MID(A10,3,2))-1)+0,ROWS(Tarjetas!$A$4:$A$59))+1)</f>
        <v>S22</v>
      </c>
      <c r="U10" s="9" t="str">
        <f>INDEX(Tarjetas!$A$4:$A$59,MOD(3*(VALUE(MID(A10,3,2))-1)+1,ROWS(Tarjetas!$A$4:$A$59))+1)</f>
        <v>S23</v>
      </c>
      <c r="V10" s="9" t="str">
        <f>INDEX(Tarjetas!$A$4:$A$59,MOD(3*(VALUE(MID(A10,3,2))-1)+2,ROWS(Tarjetas!$A$4:$A$59))+1)</f>
        <v>S24</v>
      </c>
      <c r="W10" s="7" t="s">
        <v>407</v>
      </c>
      <c r="X10" s="8">
        <v>135</v>
      </c>
      <c r="Y10" s="8">
        <v>1</v>
      </c>
      <c r="Z10" s="8" t="s">
        <v>82</v>
      </c>
      <c r="AA10" s="8" t="s">
        <v>82</v>
      </c>
      <c r="AB10" s="8" t="s">
        <v>90</v>
      </c>
      <c r="AC10" s="7" t="s">
        <v>408</v>
      </c>
      <c r="AD10" s="8">
        <v>180</v>
      </c>
      <c r="AE10" s="8">
        <v>3</v>
      </c>
      <c r="AF10" s="8" t="s">
        <v>90</v>
      </c>
      <c r="AG10" s="8" t="s">
        <v>92</v>
      </c>
      <c r="AH10" s="8" t="s">
        <v>90</v>
      </c>
      <c r="AI10" s="7" t="s">
        <v>409</v>
      </c>
      <c r="AJ10" s="8">
        <v>103</v>
      </c>
      <c r="AK10" s="8">
        <v>1</v>
      </c>
      <c r="AL10" s="8" t="s">
        <v>82</v>
      </c>
      <c r="AM10" s="8" t="s">
        <v>92</v>
      </c>
      <c r="AN10" s="8" t="s">
        <v>90</v>
      </c>
      <c r="AO10" s="8">
        <v>5</v>
      </c>
      <c r="AP10" s="8">
        <v>5</v>
      </c>
      <c r="AQ10" s="8">
        <v>5</v>
      </c>
      <c r="AR10" s="8">
        <v>3</v>
      </c>
      <c r="AS10" s="8">
        <v>4</v>
      </c>
      <c r="AT10" s="8">
        <v>3</v>
      </c>
      <c r="AU10" s="8">
        <v>3</v>
      </c>
      <c r="AV10" s="8">
        <v>4</v>
      </c>
      <c r="AW10" s="8">
        <v>4</v>
      </c>
      <c r="AX10" s="8" t="s">
        <v>84</v>
      </c>
      <c r="AY10" s="7" t="s">
        <v>94</v>
      </c>
      <c r="AZ10" s="10" t="str">
        <f t="shared" si="0"/>
        <v>Sí</v>
      </c>
      <c r="BA10" s="11">
        <f>IF(H10="","",IFERROR(INDEX(Parametros!$B$4:$B$9,MATCH(H10,Parametros!$A$4:$A$9,0)),""))</f>
        <v>90</v>
      </c>
      <c r="BB10" s="12">
        <f t="shared" si="1"/>
        <v>2.3222222222222224</v>
      </c>
      <c r="BC10" s="12">
        <f t="shared" si="2"/>
        <v>-87.677777777777777</v>
      </c>
      <c r="BD10" s="13">
        <f t="shared" si="3"/>
        <v>0.97419753086419747</v>
      </c>
      <c r="BE10" s="10">
        <f t="shared" si="4"/>
        <v>3</v>
      </c>
      <c r="BF10" s="10">
        <f t="shared" si="5"/>
        <v>4</v>
      </c>
      <c r="BG10" s="10">
        <f t="shared" si="6"/>
        <v>1</v>
      </c>
      <c r="BH10" s="10">
        <f t="shared" si="7"/>
        <v>2</v>
      </c>
      <c r="BI10" s="10">
        <f t="shared" si="8"/>
        <v>1</v>
      </c>
      <c r="BJ10" s="10">
        <f t="shared" si="9"/>
        <v>0</v>
      </c>
      <c r="BK10" s="10">
        <f t="shared" si="10"/>
        <v>32</v>
      </c>
    </row>
    <row r="11" spans="1:63" ht="76.5" x14ac:dyDescent="0.2">
      <c r="A11" s="5" t="s">
        <v>410</v>
      </c>
      <c r="B11" s="33">
        <v>46307.5</v>
      </c>
      <c r="C11" s="7" t="s">
        <v>375</v>
      </c>
      <c r="D11" s="8" t="s">
        <v>306</v>
      </c>
      <c r="E11" s="8" t="s">
        <v>82</v>
      </c>
      <c r="F11" s="8" t="s">
        <v>82</v>
      </c>
      <c r="G11" s="7" t="s">
        <v>315</v>
      </c>
      <c r="H11" s="8" t="s">
        <v>310</v>
      </c>
      <c r="I11" s="7" t="s">
        <v>313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4</v>
      </c>
      <c r="Q11" s="8">
        <v>5</v>
      </c>
      <c r="R11" s="8">
        <v>4</v>
      </c>
      <c r="S11" s="8">
        <v>4</v>
      </c>
      <c r="T11" s="9" t="str">
        <f>INDEX(Tarjetas!$A$4:$A$59,MOD(3*(VALUE(MID(A11,3,2))-1)+0,ROWS(Tarjetas!$A$4:$A$59))+1)</f>
        <v>S25</v>
      </c>
      <c r="U11" s="9" t="str">
        <f>INDEX(Tarjetas!$A$4:$A$59,MOD(3*(VALUE(MID(A11,3,2))-1)+1,ROWS(Tarjetas!$A$4:$A$59))+1)</f>
        <v>S26</v>
      </c>
      <c r="V11" s="9" t="str">
        <f>INDEX(Tarjetas!$A$4:$A$59,MOD(3*(VALUE(MID(A11,3,2))-1)+2,ROWS(Tarjetas!$A$4:$A$59))+1)</f>
        <v>S27</v>
      </c>
      <c r="W11" s="7" t="s">
        <v>411</v>
      </c>
      <c r="X11" s="8">
        <v>180</v>
      </c>
      <c r="Y11" s="8">
        <v>3</v>
      </c>
      <c r="Z11" s="8" t="s">
        <v>90</v>
      </c>
      <c r="AA11" s="8" t="s">
        <v>92</v>
      </c>
      <c r="AB11" s="8" t="s">
        <v>90</v>
      </c>
      <c r="AC11" s="7" t="s">
        <v>412</v>
      </c>
      <c r="AD11" s="8">
        <v>115</v>
      </c>
      <c r="AE11" s="8">
        <v>2</v>
      </c>
      <c r="AF11" s="8" t="s">
        <v>82</v>
      </c>
      <c r="AG11" s="8" t="s">
        <v>82</v>
      </c>
      <c r="AH11" s="8" t="s">
        <v>90</v>
      </c>
      <c r="AI11" s="7" t="s">
        <v>413</v>
      </c>
      <c r="AJ11" s="8">
        <v>25</v>
      </c>
      <c r="AK11" s="8">
        <v>1</v>
      </c>
      <c r="AL11" s="8" t="s">
        <v>82</v>
      </c>
      <c r="AM11" s="8" t="s">
        <v>82</v>
      </c>
      <c r="AN11" s="8" t="s">
        <v>90</v>
      </c>
      <c r="AO11" s="8">
        <v>4</v>
      </c>
      <c r="AP11" s="8">
        <v>4</v>
      </c>
      <c r="AQ11" s="8">
        <v>4</v>
      </c>
      <c r="AR11" s="8">
        <v>2</v>
      </c>
      <c r="AS11" s="8">
        <v>3</v>
      </c>
      <c r="AT11" s="8">
        <v>4</v>
      </c>
      <c r="AU11" s="8">
        <v>2</v>
      </c>
      <c r="AV11" s="8">
        <v>3</v>
      </c>
      <c r="AW11" s="8">
        <v>4</v>
      </c>
      <c r="AX11" s="8" t="s">
        <v>310</v>
      </c>
      <c r="AY11" s="7" t="s">
        <v>414</v>
      </c>
      <c r="AZ11" s="10" t="str">
        <f t="shared" si="0"/>
        <v>Sí</v>
      </c>
      <c r="BA11" s="11">
        <f>IF(H11="","",IFERROR(INDEX(Parametros!$B$4:$B$9,MATCH(H11,Parametros!$A$4:$A$9,0)),""))</f>
        <v>45</v>
      </c>
      <c r="BB11" s="12">
        <f t="shared" si="1"/>
        <v>1.7777777777777779</v>
      </c>
      <c r="BC11" s="12">
        <f t="shared" si="2"/>
        <v>-43.222222222222221</v>
      </c>
      <c r="BD11" s="13">
        <f t="shared" si="3"/>
        <v>0.96049382716049381</v>
      </c>
      <c r="BE11" s="10">
        <f t="shared" si="4"/>
        <v>4</v>
      </c>
      <c r="BF11" s="10">
        <f t="shared" si="5"/>
        <v>4</v>
      </c>
      <c r="BG11" s="10">
        <f t="shared" si="6"/>
        <v>0</v>
      </c>
      <c r="BH11" s="10">
        <f t="shared" si="7"/>
        <v>2</v>
      </c>
      <c r="BI11" s="10">
        <f t="shared" si="8"/>
        <v>2</v>
      </c>
      <c r="BJ11" s="10">
        <f t="shared" si="9"/>
        <v>0</v>
      </c>
      <c r="BK11" s="10">
        <f t="shared" si="10"/>
        <v>26</v>
      </c>
    </row>
    <row r="12" spans="1:63" ht="63.75" x14ac:dyDescent="0.2">
      <c r="A12" s="5" t="s">
        <v>415</v>
      </c>
      <c r="B12" s="33">
        <v>46307.5</v>
      </c>
      <c r="C12" s="7" t="s">
        <v>375</v>
      </c>
      <c r="D12" s="8" t="s">
        <v>81</v>
      </c>
      <c r="E12" s="8" t="s">
        <v>82</v>
      </c>
      <c r="F12" s="8" t="s">
        <v>82</v>
      </c>
      <c r="G12" s="7" t="s">
        <v>320</v>
      </c>
      <c r="H12" s="8" t="s">
        <v>84</v>
      </c>
      <c r="I12" s="7" t="s">
        <v>85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3</v>
      </c>
      <c r="Q12" s="8">
        <v>5</v>
      </c>
      <c r="R12" s="8">
        <v>4</v>
      </c>
      <c r="S12" s="8">
        <v>3</v>
      </c>
      <c r="T12" s="9" t="str">
        <f>INDEX(Tarjetas!$A$4:$A$59,MOD(3*(VALUE(MID(A12,3,2))-1)+0,ROWS(Tarjetas!$A$4:$A$59))+1)</f>
        <v>S28</v>
      </c>
      <c r="U12" s="9" t="str">
        <f>INDEX(Tarjetas!$A$4:$A$59,MOD(3*(VALUE(MID(A12,3,2))-1)+1,ROWS(Tarjetas!$A$4:$A$59))+1)</f>
        <v>S29</v>
      </c>
      <c r="V12" s="9" t="str">
        <f>INDEX(Tarjetas!$A$4:$A$59,MOD(3*(VALUE(MID(A12,3,2))-1)+2,ROWS(Tarjetas!$A$4:$A$59))+1)</f>
        <v>S30</v>
      </c>
      <c r="W12" s="7" t="s">
        <v>417</v>
      </c>
      <c r="X12" s="8">
        <v>180</v>
      </c>
      <c r="Y12" s="8">
        <v>3</v>
      </c>
      <c r="Z12" s="8" t="s">
        <v>90</v>
      </c>
      <c r="AA12" s="8" t="s">
        <v>92</v>
      </c>
      <c r="AB12" s="8" t="s">
        <v>90</v>
      </c>
      <c r="AC12" s="7" t="s">
        <v>418</v>
      </c>
      <c r="AD12" s="8">
        <v>82</v>
      </c>
      <c r="AE12" s="8">
        <v>1</v>
      </c>
      <c r="AF12" s="8" t="s">
        <v>82</v>
      </c>
      <c r="AG12" s="8" t="s">
        <v>82</v>
      </c>
      <c r="AH12" s="8" t="s">
        <v>90</v>
      </c>
      <c r="AI12" s="7" t="s">
        <v>419</v>
      </c>
      <c r="AJ12" s="8">
        <v>180</v>
      </c>
      <c r="AK12" s="8">
        <v>3</v>
      </c>
      <c r="AL12" s="8" t="s">
        <v>90</v>
      </c>
      <c r="AM12" s="8" t="s">
        <v>92</v>
      </c>
      <c r="AN12" s="8" t="s">
        <v>90</v>
      </c>
      <c r="AO12" s="8">
        <v>2</v>
      </c>
      <c r="AP12" s="8">
        <v>4</v>
      </c>
      <c r="AQ12" s="8">
        <v>4</v>
      </c>
      <c r="AR12" s="8">
        <v>2</v>
      </c>
      <c r="AS12" s="8">
        <v>4</v>
      </c>
      <c r="AT12" s="8">
        <v>4</v>
      </c>
      <c r="AU12" s="8">
        <v>3</v>
      </c>
      <c r="AV12" s="8">
        <v>2</v>
      </c>
      <c r="AW12" s="8">
        <v>3</v>
      </c>
      <c r="AX12" s="8" t="s">
        <v>84</v>
      </c>
      <c r="AY12" s="7" t="s">
        <v>94</v>
      </c>
      <c r="AZ12" s="10" t="str">
        <f t="shared" si="0"/>
        <v>Sí</v>
      </c>
      <c r="BA12" s="11">
        <f>IF(H12="","",IFERROR(INDEX(Parametros!$B$4:$B$9,MATCH(H12,Parametros!$A$4:$A$9,0)),""))</f>
        <v>90</v>
      </c>
      <c r="BB12" s="12">
        <f t="shared" si="1"/>
        <v>2.4555555555555557</v>
      </c>
      <c r="BC12" s="12">
        <f t="shared" si="2"/>
        <v>-87.544444444444451</v>
      </c>
      <c r="BD12" s="13">
        <f t="shared" si="3"/>
        <v>0.97271604938271616</v>
      </c>
      <c r="BE12" s="10">
        <f t="shared" si="4"/>
        <v>3</v>
      </c>
      <c r="BF12" s="10">
        <f t="shared" si="5"/>
        <v>3</v>
      </c>
      <c r="BG12" s="10">
        <f t="shared" si="6"/>
        <v>0</v>
      </c>
      <c r="BH12" s="10">
        <f t="shared" si="7"/>
        <v>1</v>
      </c>
      <c r="BI12" s="10">
        <f t="shared" si="8"/>
        <v>1</v>
      </c>
      <c r="BJ12" s="10">
        <f t="shared" si="9"/>
        <v>0</v>
      </c>
      <c r="BK12" s="10">
        <f t="shared" si="10"/>
        <v>25</v>
      </c>
    </row>
    <row r="13" spans="1:63" ht="63.75" x14ac:dyDescent="0.2">
      <c r="A13" s="5" t="s">
        <v>420</v>
      </c>
      <c r="B13" s="33">
        <v>46307.5</v>
      </c>
      <c r="C13" s="7" t="s">
        <v>375</v>
      </c>
      <c r="D13" s="8" t="s">
        <v>306</v>
      </c>
      <c r="E13" s="8" t="s">
        <v>82</v>
      </c>
      <c r="F13" s="8" t="s">
        <v>82</v>
      </c>
      <c r="G13" s="7" t="s">
        <v>323</v>
      </c>
      <c r="H13" s="8" t="s">
        <v>310</v>
      </c>
      <c r="I13" s="7" t="s">
        <v>307</v>
      </c>
      <c r="J13" s="8">
        <v>0</v>
      </c>
      <c r="K13" s="8">
        <v>0</v>
      </c>
      <c r="L13" s="8">
        <v>0</v>
      </c>
      <c r="M13" s="8">
        <v>0</v>
      </c>
      <c r="N13" s="8">
        <v>1</v>
      </c>
      <c r="O13" s="8">
        <v>0</v>
      </c>
      <c r="P13" s="8">
        <v>4</v>
      </c>
      <c r="Q13" s="8">
        <v>4</v>
      </c>
      <c r="R13" s="8">
        <v>3</v>
      </c>
      <c r="S13" s="8">
        <v>4</v>
      </c>
      <c r="T13" s="9" t="str">
        <f>INDEX(Tarjetas!$A$4:$A$59,MOD(3*(VALUE(MID(A13,3,2))-1)+0,ROWS(Tarjetas!$A$4:$A$59))+1)</f>
        <v>S31</v>
      </c>
      <c r="U13" s="9" t="str">
        <f>INDEX(Tarjetas!$A$4:$A$59,MOD(3*(VALUE(MID(A13,3,2))-1)+1,ROWS(Tarjetas!$A$4:$A$59))+1)</f>
        <v>S32</v>
      </c>
      <c r="V13" s="9" t="str">
        <f>INDEX(Tarjetas!$A$4:$A$59,MOD(3*(VALUE(MID(A13,3,2))-1)+2,ROWS(Tarjetas!$A$4:$A$59))+1)</f>
        <v>S33</v>
      </c>
      <c r="W13" s="7" t="s">
        <v>421</v>
      </c>
      <c r="X13" s="8">
        <v>180</v>
      </c>
      <c r="Y13" s="8">
        <v>3</v>
      </c>
      <c r="Z13" s="8" t="s">
        <v>82</v>
      </c>
      <c r="AA13" s="8" t="s">
        <v>82</v>
      </c>
      <c r="AB13" s="8" t="s">
        <v>82</v>
      </c>
      <c r="AC13" s="7" t="s">
        <v>422</v>
      </c>
      <c r="AD13" s="8">
        <v>54</v>
      </c>
      <c r="AE13" s="8">
        <v>2</v>
      </c>
      <c r="AF13" s="8" t="s">
        <v>82</v>
      </c>
      <c r="AG13" s="8" t="s">
        <v>82</v>
      </c>
      <c r="AH13" s="8" t="s">
        <v>90</v>
      </c>
      <c r="AI13" s="7" t="s">
        <v>423</v>
      </c>
      <c r="AJ13" s="8">
        <v>104</v>
      </c>
      <c r="AK13" s="8">
        <v>1</v>
      </c>
      <c r="AL13" s="8" t="s">
        <v>82</v>
      </c>
      <c r="AM13" s="8" t="s">
        <v>82</v>
      </c>
      <c r="AN13" s="8" t="s">
        <v>90</v>
      </c>
      <c r="AO13" s="8">
        <v>3</v>
      </c>
      <c r="AP13" s="8">
        <v>4</v>
      </c>
      <c r="AQ13" s="8">
        <v>3</v>
      </c>
      <c r="AR13" s="8">
        <v>4</v>
      </c>
      <c r="AS13" s="8">
        <v>4</v>
      </c>
      <c r="AT13" s="8">
        <v>4</v>
      </c>
      <c r="AU13" s="8">
        <v>4</v>
      </c>
      <c r="AV13" s="8">
        <v>3</v>
      </c>
      <c r="AW13" s="8">
        <v>4</v>
      </c>
      <c r="AX13" s="8" t="s">
        <v>310</v>
      </c>
      <c r="AY13" s="7" t="s">
        <v>94</v>
      </c>
      <c r="AZ13" s="10" t="str">
        <f t="shared" si="0"/>
        <v>Sí</v>
      </c>
      <c r="BA13" s="11">
        <f>IF(H13="","",IFERROR(INDEX(Parametros!$B$4:$B$9,MATCH(H13,Parametros!$A$4:$A$9,0)),""))</f>
        <v>45</v>
      </c>
      <c r="BB13" s="12">
        <f t="shared" si="1"/>
        <v>1.8777777777777778</v>
      </c>
      <c r="BC13" s="12">
        <f t="shared" si="2"/>
        <v>-43.12222222222222</v>
      </c>
      <c r="BD13" s="13">
        <f t="shared" si="3"/>
        <v>0.95827160493827157</v>
      </c>
      <c r="BE13" s="10">
        <f t="shared" si="4"/>
        <v>4</v>
      </c>
      <c r="BF13" s="10">
        <f t="shared" si="5"/>
        <v>4</v>
      </c>
      <c r="BG13" s="10">
        <f t="shared" si="6"/>
        <v>0</v>
      </c>
      <c r="BH13" s="10">
        <f t="shared" si="7"/>
        <v>3</v>
      </c>
      <c r="BI13" s="10">
        <f t="shared" si="8"/>
        <v>3</v>
      </c>
      <c r="BJ13" s="10">
        <f t="shared" si="9"/>
        <v>1</v>
      </c>
      <c r="BK13" s="10">
        <f t="shared" si="10"/>
        <v>29</v>
      </c>
    </row>
    <row r="14" spans="1:63" ht="63.75" x14ac:dyDescent="0.2">
      <c r="A14" s="5" t="s">
        <v>424</v>
      </c>
      <c r="B14" s="33">
        <v>46307.5</v>
      </c>
      <c r="C14" s="7" t="s">
        <v>375</v>
      </c>
      <c r="D14" s="8" t="s">
        <v>306</v>
      </c>
      <c r="E14" s="8" t="s">
        <v>82</v>
      </c>
      <c r="F14" s="8" t="s">
        <v>82</v>
      </c>
      <c r="G14" s="7" t="s">
        <v>312</v>
      </c>
      <c r="H14" s="8" t="s">
        <v>84</v>
      </c>
      <c r="I14" s="7" t="s">
        <v>313</v>
      </c>
      <c r="J14" s="8">
        <v>0</v>
      </c>
      <c r="K14" s="8">
        <v>1</v>
      </c>
      <c r="L14" s="8">
        <v>1</v>
      </c>
      <c r="M14" s="8">
        <v>1</v>
      </c>
      <c r="N14" s="8">
        <v>0</v>
      </c>
      <c r="O14" s="8">
        <v>0</v>
      </c>
      <c r="P14" s="8">
        <v>2</v>
      </c>
      <c r="Q14" s="8">
        <v>3</v>
      </c>
      <c r="R14" s="8">
        <v>4</v>
      </c>
      <c r="S14" s="8">
        <v>2</v>
      </c>
      <c r="T14" s="9" t="str">
        <f>INDEX(Tarjetas!$A$4:$A$59,MOD(3*(VALUE(MID(A14,3,2))-1)+0,ROWS(Tarjetas!$A$4:$A$59))+1)</f>
        <v>S34</v>
      </c>
      <c r="U14" s="9" t="str">
        <f>INDEX(Tarjetas!$A$4:$A$59,MOD(3*(VALUE(MID(A14,3,2))-1)+1,ROWS(Tarjetas!$A$4:$A$59))+1)</f>
        <v>S35</v>
      </c>
      <c r="V14" s="9" t="str">
        <f>INDEX(Tarjetas!$A$4:$A$59,MOD(3*(VALUE(MID(A14,3,2))-1)+2,ROWS(Tarjetas!$A$4:$A$59))+1)</f>
        <v>S36</v>
      </c>
      <c r="W14" s="7" t="s">
        <v>425</v>
      </c>
      <c r="X14" s="8">
        <v>107</v>
      </c>
      <c r="Y14" s="8">
        <v>3</v>
      </c>
      <c r="Z14" s="8" t="s">
        <v>82</v>
      </c>
      <c r="AA14" s="8" t="s">
        <v>92</v>
      </c>
      <c r="AB14" s="8" t="s">
        <v>90</v>
      </c>
      <c r="AC14" s="7" t="s">
        <v>426</v>
      </c>
      <c r="AD14" s="8">
        <v>180</v>
      </c>
      <c r="AE14" s="8">
        <v>3</v>
      </c>
      <c r="AF14" s="8" t="s">
        <v>90</v>
      </c>
      <c r="AG14" s="8" t="s">
        <v>92</v>
      </c>
      <c r="AH14" s="8" t="s">
        <v>90</v>
      </c>
      <c r="AI14" s="7" t="s">
        <v>427</v>
      </c>
      <c r="AJ14" s="8">
        <v>180</v>
      </c>
      <c r="AK14" s="8">
        <v>3</v>
      </c>
      <c r="AL14" s="8" t="s">
        <v>90</v>
      </c>
      <c r="AM14" s="8" t="s">
        <v>92</v>
      </c>
      <c r="AN14" s="8" t="s">
        <v>90</v>
      </c>
      <c r="AO14" s="8">
        <v>3</v>
      </c>
      <c r="AP14" s="8">
        <v>3</v>
      </c>
      <c r="AQ14" s="8">
        <v>2</v>
      </c>
      <c r="AR14" s="8">
        <v>4</v>
      </c>
      <c r="AS14" s="8">
        <v>3</v>
      </c>
      <c r="AT14" s="8">
        <v>1</v>
      </c>
      <c r="AU14" s="8">
        <v>2</v>
      </c>
      <c r="AV14" s="8">
        <v>4</v>
      </c>
      <c r="AW14" s="8">
        <v>3</v>
      </c>
      <c r="AX14" s="8" t="s">
        <v>84</v>
      </c>
      <c r="AY14" s="7" t="s">
        <v>94</v>
      </c>
      <c r="AZ14" s="10" t="str">
        <f t="shared" si="0"/>
        <v>Sí</v>
      </c>
      <c r="BA14" s="11">
        <f>IF(H14="","",IFERROR(INDEX(Parametros!$B$4:$B$9,MATCH(H14,Parametros!$A$4:$A$9,0)),""))</f>
        <v>90</v>
      </c>
      <c r="BB14" s="12">
        <f t="shared" si="1"/>
        <v>2.5944444444444441</v>
      </c>
      <c r="BC14" s="12">
        <f t="shared" si="2"/>
        <v>-87.405555555555551</v>
      </c>
      <c r="BD14" s="13">
        <f t="shared" si="3"/>
        <v>0.97117283950617284</v>
      </c>
      <c r="BE14" s="10">
        <f t="shared" si="4"/>
        <v>2</v>
      </c>
      <c r="BF14" s="10">
        <f t="shared" si="5"/>
        <v>3</v>
      </c>
      <c r="BG14" s="10">
        <f t="shared" si="6"/>
        <v>1</v>
      </c>
      <c r="BH14" s="10">
        <f t="shared" si="7"/>
        <v>1</v>
      </c>
      <c r="BI14" s="10">
        <f t="shared" si="8"/>
        <v>0</v>
      </c>
      <c r="BJ14" s="10">
        <f t="shared" si="9"/>
        <v>0</v>
      </c>
      <c r="BK14" s="10">
        <f t="shared" si="10"/>
        <v>22</v>
      </c>
    </row>
    <row r="15" spans="1:63" ht="76.5" x14ac:dyDescent="0.2">
      <c r="A15" s="5" t="s">
        <v>428</v>
      </c>
      <c r="B15" s="33">
        <v>46308.5</v>
      </c>
      <c r="C15" s="7" t="s">
        <v>375</v>
      </c>
      <c r="D15" s="8" t="s">
        <v>314</v>
      </c>
      <c r="E15" s="8" t="s">
        <v>82</v>
      </c>
      <c r="F15" s="8" t="s">
        <v>82</v>
      </c>
      <c r="G15" s="7" t="s">
        <v>323</v>
      </c>
      <c r="H15" s="8" t="s">
        <v>305</v>
      </c>
      <c r="I15" s="7" t="s">
        <v>307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  <c r="O15" s="8">
        <v>0</v>
      </c>
      <c r="P15" s="8">
        <v>4</v>
      </c>
      <c r="Q15" s="8">
        <v>5</v>
      </c>
      <c r="R15" s="8">
        <v>4</v>
      </c>
      <c r="S15" s="8">
        <v>4</v>
      </c>
      <c r="T15" s="9" t="str">
        <f>INDEX(Tarjetas!$A$4:$A$59,MOD(3*(VALUE(MID(A15,3,2))-1)+0,ROWS(Tarjetas!$A$4:$A$59))+1)</f>
        <v>S37</v>
      </c>
      <c r="U15" s="9" t="str">
        <f>INDEX(Tarjetas!$A$4:$A$59,MOD(3*(VALUE(MID(A15,3,2))-1)+1,ROWS(Tarjetas!$A$4:$A$59))+1)</f>
        <v>S38</v>
      </c>
      <c r="V15" s="9" t="str">
        <f>INDEX(Tarjetas!$A$4:$A$59,MOD(3*(VALUE(MID(A15,3,2))-1)+2,ROWS(Tarjetas!$A$4:$A$59))+1)</f>
        <v>S39</v>
      </c>
      <c r="W15" s="7" t="s">
        <v>429</v>
      </c>
      <c r="X15" s="8">
        <v>80</v>
      </c>
      <c r="Y15" s="8">
        <v>1</v>
      </c>
      <c r="Z15" s="8" t="s">
        <v>82</v>
      </c>
      <c r="AA15" s="8" t="s">
        <v>82</v>
      </c>
      <c r="AB15" s="8" t="s">
        <v>90</v>
      </c>
      <c r="AC15" s="7" t="s">
        <v>430</v>
      </c>
      <c r="AD15" s="8">
        <v>131</v>
      </c>
      <c r="AE15" s="8">
        <v>3</v>
      </c>
      <c r="AF15" s="8" t="s">
        <v>82</v>
      </c>
      <c r="AG15" s="8" t="s">
        <v>82</v>
      </c>
      <c r="AH15" s="8" t="s">
        <v>90</v>
      </c>
      <c r="AI15" s="7" t="s">
        <v>431</v>
      </c>
      <c r="AJ15" s="8">
        <v>69</v>
      </c>
      <c r="AK15" s="8">
        <v>1</v>
      </c>
      <c r="AL15" s="8" t="s">
        <v>82</v>
      </c>
      <c r="AM15" s="8" t="s">
        <v>82</v>
      </c>
      <c r="AN15" s="8" t="s">
        <v>90</v>
      </c>
      <c r="AO15" s="8">
        <v>3</v>
      </c>
      <c r="AP15" s="8">
        <v>5</v>
      </c>
      <c r="AQ15" s="8">
        <v>4</v>
      </c>
      <c r="AR15" s="8">
        <v>3</v>
      </c>
      <c r="AS15" s="8">
        <v>4</v>
      </c>
      <c r="AT15" s="8">
        <v>4</v>
      </c>
      <c r="AU15" s="8">
        <v>3</v>
      </c>
      <c r="AV15" s="8">
        <v>4</v>
      </c>
      <c r="AW15" s="8">
        <v>4</v>
      </c>
      <c r="AX15" s="8" t="s">
        <v>305</v>
      </c>
      <c r="AY15" s="7" t="s">
        <v>94</v>
      </c>
      <c r="AZ15" s="10" t="str">
        <f t="shared" si="0"/>
        <v>Sí</v>
      </c>
      <c r="BA15" s="11">
        <f>IF(H15="","",IFERROR(INDEX(Parametros!$B$4:$B$9,MATCH(H15,Parametros!$A$4:$A$9,0)),""))</f>
        <v>7.5</v>
      </c>
      <c r="BB15" s="12">
        <f t="shared" si="1"/>
        <v>1.5555555555555556</v>
      </c>
      <c r="BC15" s="12">
        <f t="shared" si="2"/>
        <v>-5.9444444444444446</v>
      </c>
      <c r="BD15" s="13">
        <f t="shared" si="3"/>
        <v>0.79259259259259263</v>
      </c>
      <c r="BE15" s="10">
        <f t="shared" si="4"/>
        <v>4</v>
      </c>
      <c r="BF15" s="10">
        <f t="shared" si="5"/>
        <v>4</v>
      </c>
      <c r="BG15" s="10">
        <f t="shared" si="6"/>
        <v>0</v>
      </c>
      <c r="BH15" s="10">
        <f t="shared" si="7"/>
        <v>3</v>
      </c>
      <c r="BI15" s="10">
        <f t="shared" si="8"/>
        <v>3</v>
      </c>
      <c r="BJ15" s="10">
        <f t="shared" si="9"/>
        <v>0</v>
      </c>
      <c r="BK15" s="10">
        <f t="shared" si="10"/>
        <v>30</v>
      </c>
    </row>
    <row r="16" spans="1:63" ht="76.5" x14ac:dyDescent="0.2">
      <c r="A16" s="5" t="s">
        <v>432</v>
      </c>
      <c r="B16" s="33">
        <v>46308.5</v>
      </c>
      <c r="C16" s="7" t="s">
        <v>375</v>
      </c>
      <c r="D16" s="8" t="s">
        <v>81</v>
      </c>
      <c r="E16" s="8" t="s">
        <v>82</v>
      </c>
      <c r="F16" s="8" t="s">
        <v>82</v>
      </c>
      <c r="G16" s="7" t="s">
        <v>318</v>
      </c>
      <c r="H16" s="8" t="s">
        <v>308</v>
      </c>
      <c r="I16" s="7" t="s">
        <v>85</v>
      </c>
      <c r="J16" s="8">
        <v>0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4</v>
      </c>
      <c r="Q16" s="8">
        <v>5</v>
      </c>
      <c r="R16" s="8">
        <v>4</v>
      </c>
      <c r="S16" s="8">
        <v>4</v>
      </c>
      <c r="T16" s="9" t="str">
        <f>INDEX(Tarjetas!$A$4:$A$59,MOD(3*(VALUE(MID(A16,3,2))-1)+0,ROWS(Tarjetas!$A$4:$A$59))+1)</f>
        <v>S40</v>
      </c>
      <c r="U16" s="9" t="str">
        <f>INDEX(Tarjetas!$A$4:$A$59,MOD(3*(VALUE(MID(A16,3,2))-1)+1,ROWS(Tarjetas!$A$4:$A$59))+1)</f>
        <v>S41</v>
      </c>
      <c r="V16" s="9" t="str">
        <f>INDEX(Tarjetas!$A$4:$A$59,MOD(3*(VALUE(MID(A16,3,2))-1)+2,ROWS(Tarjetas!$A$4:$A$59))+1)</f>
        <v>S42</v>
      </c>
      <c r="W16" s="7" t="s">
        <v>433</v>
      </c>
      <c r="X16" s="8">
        <v>56</v>
      </c>
      <c r="Y16" s="8">
        <v>2</v>
      </c>
      <c r="Z16" s="8" t="s">
        <v>82</v>
      </c>
      <c r="AA16" s="8" t="s">
        <v>82</v>
      </c>
      <c r="AB16" s="8" t="s">
        <v>90</v>
      </c>
      <c r="AC16" s="7" t="s">
        <v>434</v>
      </c>
      <c r="AD16" s="8">
        <v>180</v>
      </c>
      <c r="AE16" s="8">
        <v>3</v>
      </c>
      <c r="AF16" s="8" t="s">
        <v>90</v>
      </c>
      <c r="AG16" s="8" t="s">
        <v>92</v>
      </c>
      <c r="AH16" s="8" t="s">
        <v>90</v>
      </c>
      <c r="AI16" s="7" t="s">
        <v>435</v>
      </c>
      <c r="AJ16" s="8">
        <v>61</v>
      </c>
      <c r="AK16" s="8">
        <v>1</v>
      </c>
      <c r="AL16" s="8" t="s">
        <v>82</v>
      </c>
      <c r="AM16" s="8" t="s">
        <v>82</v>
      </c>
      <c r="AN16" s="8" t="s">
        <v>90</v>
      </c>
      <c r="AO16" s="8">
        <v>4</v>
      </c>
      <c r="AP16" s="8">
        <v>4</v>
      </c>
      <c r="AQ16" s="8">
        <v>5</v>
      </c>
      <c r="AR16" s="8">
        <v>4</v>
      </c>
      <c r="AS16" s="8">
        <v>5</v>
      </c>
      <c r="AT16" s="8">
        <v>5</v>
      </c>
      <c r="AU16" s="8">
        <v>3</v>
      </c>
      <c r="AV16" s="8">
        <v>3</v>
      </c>
      <c r="AW16" s="8">
        <v>4</v>
      </c>
      <c r="AX16" s="8" t="s">
        <v>308</v>
      </c>
      <c r="AY16" s="7" t="s">
        <v>94</v>
      </c>
      <c r="AZ16" s="10" t="str">
        <f t="shared" si="0"/>
        <v>Sí</v>
      </c>
      <c r="BA16" s="11">
        <f>IF(H16="","",IFERROR(INDEX(Parametros!$B$4:$B$9,MATCH(H16,Parametros!$A$4:$A$9,0)),""))</f>
        <v>22.5</v>
      </c>
      <c r="BB16" s="12">
        <f t="shared" si="1"/>
        <v>1.65</v>
      </c>
      <c r="BC16" s="12">
        <f t="shared" si="2"/>
        <v>-20.85</v>
      </c>
      <c r="BD16" s="13">
        <f t="shared" si="3"/>
        <v>0.92666666666666675</v>
      </c>
      <c r="BE16" s="10">
        <f t="shared" si="4"/>
        <v>4</v>
      </c>
      <c r="BF16" s="10">
        <f t="shared" si="5"/>
        <v>4</v>
      </c>
      <c r="BG16" s="10">
        <f t="shared" si="6"/>
        <v>0</v>
      </c>
      <c r="BH16" s="10">
        <f t="shared" si="7"/>
        <v>2</v>
      </c>
      <c r="BI16" s="10">
        <f t="shared" si="8"/>
        <v>2</v>
      </c>
      <c r="BJ16" s="10">
        <f t="shared" si="9"/>
        <v>0</v>
      </c>
      <c r="BK16" s="10">
        <f t="shared" si="10"/>
        <v>33</v>
      </c>
    </row>
    <row r="17" spans="1:63" ht="63.75" x14ac:dyDescent="0.2">
      <c r="A17" s="5" t="s">
        <v>436</v>
      </c>
      <c r="B17" s="33">
        <v>46308.5</v>
      </c>
      <c r="C17" s="7" t="s">
        <v>375</v>
      </c>
      <c r="D17" s="8" t="s">
        <v>306</v>
      </c>
      <c r="E17" s="8" t="s">
        <v>82</v>
      </c>
      <c r="F17" s="8" t="s">
        <v>82</v>
      </c>
      <c r="G17" s="7" t="s">
        <v>322</v>
      </c>
      <c r="H17" s="8" t="s">
        <v>317</v>
      </c>
      <c r="I17" s="7" t="s">
        <v>85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2</v>
      </c>
      <c r="Q17" s="8">
        <v>2</v>
      </c>
      <c r="R17" s="8">
        <v>4</v>
      </c>
      <c r="S17" s="8">
        <v>3</v>
      </c>
      <c r="T17" s="9" t="str">
        <f>INDEX(Tarjetas!$A$4:$A$59,MOD(3*(VALUE(MID(A17,3,2))-1)+0,ROWS(Tarjetas!$A$4:$A$59))+1)</f>
        <v>S43</v>
      </c>
      <c r="U17" s="9" t="str">
        <f>INDEX(Tarjetas!$A$4:$A$59,MOD(3*(VALUE(MID(A17,3,2))-1)+1,ROWS(Tarjetas!$A$4:$A$59))+1)</f>
        <v>S44</v>
      </c>
      <c r="V17" s="9" t="str">
        <f>INDEX(Tarjetas!$A$4:$A$59,MOD(3*(VALUE(MID(A17,3,2))-1)+2,ROWS(Tarjetas!$A$4:$A$59))+1)</f>
        <v>S45</v>
      </c>
      <c r="W17" s="7" t="s">
        <v>437</v>
      </c>
      <c r="X17" s="8">
        <v>60</v>
      </c>
      <c r="Y17" s="8">
        <v>1</v>
      </c>
      <c r="Z17" s="8" t="s">
        <v>82</v>
      </c>
      <c r="AA17" s="8" t="s">
        <v>92</v>
      </c>
      <c r="AB17" s="8" t="s">
        <v>90</v>
      </c>
      <c r="AC17" s="7" t="s">
        <v>438</v>
      </c>
      <c r="AD17" s="8">
        <v>85</v>
      </c>
      <c r="AE17" s="8">
        <v>2</v>
      </c>
      <c r="AF17" s="8" t="s">
        <v>82</v>
      </c>
      <c r="AG17" s="8" t="s">
        <v>82</v>
      </c>
      <c r="AH17" s="8" t="s">
        <v>90</v>
      </c>
      <c r="AI17" s="7" t="s">
        <v>439</v>
      </c>
      <c r="AJ17" s="8">
        <v>87</v>
      </c>
      <c r="AK17" s="8">
        <v>1</v>
      </c>
      <c r="AL17" s="8" t="s">
        <v>82</v>
      </c>
      <c r="AM17" s="8" t="s">
        <v>82</v>
      </c>
      <c r="AN17" s="8" t="s">
        <v>90</v>
      </c>
      <c r="AO17" s="8">
        <v>4</v>
      </c>
      <c r="AP17" s="8">
        <v>5</v>
      </c>
      <c r="AQ17" s="8">
        <v>2</v>
      </c>
      <c r="AR17" s="8">
        <v>3</v>
      </c>
      <c r="AS17" s="8">
        <v>5</v>
      </c>
      <c r="AT17" s="8">
        <v>4</v>
      </c>
      <c r="AU17" s="8">
        <v>3</v>
      </c>
      <c r="AV17" s="8">
        <v>2</v>
      </c>
      <c r="AW17" s="8">
        <v>3</v>
      </c>
      <c r="AX17" s="8" t="s">
        <v>317</v>
      </c>
      <c r="AY17" s="7" t="s">
        <v>94</v>
      </c>
      <c r="AZ17" s="10" t="str">
        <f t="shared" si="0"/>
        <v>Sí</v>
      </c>
      <c r="BA17" s="11">
        <f>IF(H17="","",IFERROR(INDEX(Parametros!$B$4:$B$9,MATCH(H17,Parametros!$A$4:$A$9,0)),""))</f>
        <v>180</v>
      </c>
      <c r="BB17" s="12">
        <f t="shared" si="1"/>
        <v>1.2888888888888888</v>
      </c>
      <c r="BC17" s="12">
        <f t="shared" si="2"/>
        <v>-178.71111111111111</v>
      </c>
      <c r="BD17" s="13">
        <f t="shared" si="3"/>
        <v>0.99283950617283945</v>
      </c>
      <c r="BE17" s="10">
        <f t="shared" si="4"/>
        <v>3</v>
      </c>
      <c r="BF17" s="10">
        <f t="shared" si="5"/>
        <v>3</v>
      </c>
      <c r="BG17" s="10">
        <f t="shared" si="6"/>
        <v>0</v>
      </c>
      <c r="BH17" s="10">
        <f t="shared" si="7"/>
        <v>3</v>
      </c>
      <c r="BI17" s="10">
        <f t="shared" si="8"/>
        <v>2</v>
      </c>
      <c r="BJ17" s="10">
        <f t="shared" si="9"/>
        <v>0</v>
      </c>
      <c r="BK17" s="10">
        <f t="shared" si="10"/>
        <v>28</v>
      </c>
    </row>
    <row r="18" spans="1:63" ht="76.5" x14ac:dyDescent="0.2">
      <c r="A18" s="5" t="s">
        <v>440</v>
      </c>
      <c r="B18" s="33">
        <v>46308.5</v>
      </c>
      <c r="C18" s="7" t="s">
        <v>375</v>
      </c>
      <c r="D18" s="8" t="s">
        <v>81</v>
      </c>
      <c r="E18" s="8" t="s">
        <v>82</v>
      </c>
      <c r="F18" s="8" t="s">
        <v>82</v>
      </c>
      <c r="G18" s="7" t="s">
        <v>312</v>
      </c>
      <c r="H18" s="8" t="s">
        <v>84</v>
      </c>
      <c r="I18" s="7" t="s">
        <v>85</v>
      </c>
      <c r="J18" s="8">
        <v>1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3</v>
      </c>
      <c r="Q18" s="8">
        <v>3</v>
      </c>
      <c r="R18" s="8">
        <v>3</v>
      </c>
      <c r="S18" s="8">
        <v>4</v>
      </c>
      <c r="T18" s="9" t="str">
        <f>INDEX(Tarjetas!$A$4:$A$59,MOD(3*(VALUE(MID(A18,3,2))-1)+0,ROWS(Tarjetas!$A$4:$A$59))+1)</f>
        <v>S46</v>
      </c>
      <c r="U18" s="9" t="str">
        <f>INDEX(Tarjetas!$A$4:$A$59,MOD(3*(VALUE(MID(A18,3,2))-1)+1,ROWS(Tarjetas!$A$4:$A$59))+1)</f>
        <v>S47</v>
      </c>
      <c r="V18" s="9" t="str">
        <f>INDEX(Tarjetas!$A$4:$A$59,MOD(3*(VALUE(MID(A18,3,2))-1)+2,ROWS(Tarjetas!$A$4:$A$59))+1)</f>
        <v>S48</v>
      </c>
      <c r="W18" s="7" t="s">
        <v>441</v>
      </c>
      <c r="X18" s="8">
        <v>31</v>
      </c>
      <c r="Y18" s="8">
        <v>2</v>
      </c>
      <c r="Z18" s="8" t="s">
        <v>82</v>
      </c>
      <c r="AA18" s="8" t="s">
        <v>82</v>
      </c>
      <c r="AB18" s="8" t="s">
        <v>90</v>
      </c>
      <c r="AC18" s="7" t="s">
        <v>442</v>
      </c>
      <c r="AD18" s="8">
        <v>180</v>
      </c>
      <c r="AE18" s="8">
        <v>3</v>
      </c>
      <c r="AF18" s="8" t="s">
        <v>90</v>
      </c>
      <c r="AG18" s="8" t="s">
        <v>92</v>
      </c>
      <c r="AH18" s="8" t="s">
        <v>90</v>
      </c>
      <c r="AI18" s="7" t="s">
        <v>443</v>
      </c>
      <c r="AJ18" s="8">
        <v>36</v>
      </c>
      <c r="AK18" s="8">
        <v>2</v>
      </c>
      <c r="AL18" s="8" t="s">
        <v>82</v>
      </c>
      <c r="AM18" s="8" t="s">
        <v>82</v>
      </c>
      <c r="AN18" s="8" t="s">
        <v>90</v>
      </c>
      <c r="AO18" s="8">
        <v>4</v>
      </c>
      <c r="AP18" s="8">
        <v>5</v>
      </c>
      <c r="AQ18" s="8">
        <v>4</v>
      </c>
      <c r="AR18" s="8">
        <v>4</v>
      </c>
      <c r="AS18" s="8">
        <v>3</v>
      </c>
      <c r="AT18" s="8">
        <v>2</v>
      </c>
      <c r="AU18" s="8">
        <v>4</v>
      </c>
      <c r="AV18" s="8">
        <v>4</v>
      </c>
      <c r="AW18" s="8">
        <v>4</v>
      </c>
      <c r="AX18" s="8" t="s">
        <v>84</v>
      </c>
      <c r="AY18" s="7" t="s">
        <v>94</v>
      </c>
      <c r="AZ18" s="10" t="str">
        <f t="shared" si="0"/>
        <v>Sí</v>
      </c>
      <c r="BA18" s="11">
        <f>IF(H18="","",IFERROR(INDEX(Parametros!$B$4:$B$9,MATCH(H18,Parametros!$A$4:$A$9,0)),""))</f>
        <v>90</v>
      </c>
      <c r="BB18" s="12">
        <f t="shared" si="1"/>
        <v>1.3722222222222222</v>
      </c>
      <c r="BC18" s="12">
        <f t="shared" si="2"/>
        <v>-88.62777777777778</v>
      </c>
      <c r="BD18" s="13">
        <f t="shared" si="3"/>
        <v>0.98475308641975312</v>
      </c>
      <c r="BE18" s="10">
        <f t="shared" si="4"/>
        <v>4</v>
      </c>
      <c r="BF18" s="10">
        <f t="shared" si="5"/>
        <v>4</v>
      </c>
      <c r="BG18" s="10">
        <f t="shared" si="6"/>
        <v>0</v>
      </c>
      <c r="BH18" s="10">
        <f t="shared" si="7"/>
        <v>2</v>
      </c>
      <c r="BI18" s="10">
        <f t="shared" si="8"/>
        <v>2</v>
      </c>
      <c r="BJ18" s="10">
        <f t="shared" si="9"/>
        <v>0</v>
      </c>
      <c r="BK18" s="10">
        <f t="shared" si="10"/>
        <v>30</v>
      </c>
    </row>
    <row r="19" spans="1:63" ht="89.25" x14ac:dyDescent="0.2">
      <c r="A19" s="5" t="s">
        <v>444</v>
      </c>
      <c r="B19" s="33">
        <v>46308.5</v>
      </c>
      <c r="C19" s="7" t="s">
        <v>375</v>
      </c>
      <c r="D19" s="8" t="s">
        <v>306</v>
      </c>
      <c r="E19" s="8" t="s">
        <v>82</v>
      </c>
      <c r="F19" s="8" t="s">
        <v>82</v>
      </c>
      <c r="G19" s="7" t="s">
        <v>312</v>
      </c>
      <c r="H19" s="8" t="s">
        <v>317</v>
      </c>
      <c r="I19" s="7" t="s">
        <v>85</v>
      </c>
      <c r="J19" s="8">
        <v>0</v>
      </c>
      <c r="K19" s="8">
        <v>1</v>
      </c>
      <c r="L19" s="8">
        <v>1</v>
      </c>
      <c r="M19" s="8">
        <v>0</v>
      </c>
      <c r="N19" s="8">
        <v>0</v>
      </c>
      <c r="O19" s="8">
        <v>0</v>
      </c>
      <c r="P19" s="8">
        <v>1</v>
      </c>
      <c r="Q19" s="8">
        <v>2</v>
      </c>
      <c r="R19" s="8">
        <v>3</v>
      </c>
      <c r="S19" s="8">
        <v>1</v>
      </c>
      <c r="T19" s="9" t="str">
        <f>INDEX(Tarjetas!$A$4:$A$59,MOD(3*(VALUE(MID(A19,3,2))-1)+0,ROWS(Tarjetas!$A$4:$A$59))+1)</f>
        <v>S49</v>
      </c>
      <c r="U19" s="9" t="str">
        <f>INDEX(Tarjetas!$A$4:$A$59,MOD(3*(VALUE(MID(A19,3,2))-1)+1,ROWS(Tarjetas!$A$4:$A$59))+1)</f>
        <v>S50</v>
      </c>
      <c r="V19" s="9" t="str">
        <f>INDEX(Tarjetas!$A$4:$A$59,MOD(3*(VALUE(MID(A19,3,2))-1)+2,ROWS(Tarjetas!$A$4:$A$59))+1)</f>
        <v>S51</v>
      </c>
      <c r="W19" s="7" t="s">
        <v>445</v>
      </c>
      <c r="X19" s="8">
        <v>93</v>
      </c>
      <c r="Y19" s="8">
        <v>2</v>
      </c>
      <c r="Z19" s="8" t="s">
        <v>82</v>
      </c>
      <c r="AA19" s="8" t="s">
        <v>92</v>
      </c>
      <c r="AB19" s="8" t="s">
        <v>90</v>
      </c>
      <c r="AC19" s="7" t="s">
        <v>446</v>
      </c>
      <c r="AD19" s="8">
        <v>95</v>
      </c>
      <c r="AE19" s="8">
        <v>1</v>
      </c>
      <c r="AF19" s="8" t="s">
        <v>82</v>
      </c>
      <c r="AG19" s="8" t="s">
        <v>82</v>
      </c>
      <c r="AH19" s="8" t="s">
        <v>90</v>
      </c>
      <c r="AI19" s="7" t="s">
        <v>447</v>
      </c>
      <c r="AJ19" s="8">
        <v>24</v>
      </c>
      <c r="AK19" s="8">
        <v>1</v>
      </c>
      <c r="AL19" s="8" t="s">
        <v>82</v>
      </c>
      <c r="AM19" s="8" t="s">
        <v>82</v>
      </c>
      <c r="AN19" s="8" t="s">
        <v>90</v>
      </c>
      <c r="AO19" s="8">
        <v>4</v>
      </c>
      <c r="AP19" s="8">
        <v>4</v>
      </c>
      <c r="AQ19" s="8">
        <v>2</v>
      </c>
      <c r="AR19" s="8">
        <v>2</v>
      </c>
      <c r="AS19" s="8">
        <v>4</v>
      </c>
      <c r="AT19" s="8">
        <v>4</v>
      </c>
      <c r="AU19" s="8">
        <v>4</v>
      </c>
      <c r="AV19" s="8">
        <v>2</v>
      </c>
      <c r="AW19" s="8">
        <v>4</v>
      </c>
      <c r="AX19" s="8" t="s">
        <v>317</v>
      </c>
      <c r="AY19" s="7" t="s">
        <v>405</v>
      </c>
      <c r="AZ19" s="10" t="str">
        <f t="shared" si="0"/>
        <v>Sí</v>
      </c>
      <c r="BA19" s="11">
        <f>IF(H19="","",IFERROR(INDEX(Parametros!$B$4:$B$9,MATCH(H19,Parametros!$A$4:$A$9,0)),""))</f>
        <v>180</v>
      </c>
      <c r="BB19" s="12">
        <f t="shared" si="1"/>
        <v>1.1777777777777778</v>
      </c>
      <c r="BC19" s="12">
        <f t="shared" si="2"/>
        <v>-178.82222222222222</v>
      </c>
      <c r="BD19" s="13">
        <f t="shared" si="3"/>
        <v>0.99345679012345678</v>
      </c>
      <c r="BE19" s="10">
        <f t="shared" si="4"/>
        <v>1</v>
      </c>
      <c r="BF19" s="10">
        <f t="shared" si="5"/>
        <v>4</v>
      </c>
      <c r="BG19" s="10">
        <f t="shared" si="6"/>
        <v>3</v>
      </c>
      <c r="BH19" s="10">
        <f t="shared" si="7"/>
        <v>3</v>
      </c>
      <c r="BI19" s="10">
        <f t="shared" si="8"/>
        <v>2</v>
      </c>
      <c r="BJ19" s="10">
        <f t="shared" si="9"/>
        <v>0</v>
      </c>
      <c r="BK19" s="10">
        <f t="shared" si="10"/>
        <v>26</v>
      </c>
    </row>
    <row r="20" spans="1:63" ht="76.5" x14ac:dyDescent="0.2">
      <c r="A20" s="5" t="s">
        <v>448</v>
      </c>
      <c r="B20" s="33">
        <v>46308.5</v>
      </c>
      <c r="C20" s="7" t="s">
        <v>375</v>
      </c>
      <c r="D20" s="8" t="s">
        <v>306</v>
      </c>
      <c r="E20" s="8" t="s">
        <v>82</v>
      </c>
      <c r="F20" s="8" t="s">
        <v>82</v>
      </c>
      <c r="G20" s="7" t="s">
        <v>322</v>
      </c>
      <c r="H20" s="8" t="s">
        <v>84</v>
      </c>
      <c r="I20" s="7" t="s">
        <v>85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2</v>
      </c>
      <c r="Q20" s="8">
        <v>4</v>
      </c>
      <c r="R20" s="8">
        <v>4</v>
      </c>
      <c r="S20" s="8">
        <v>2</v>
      </c>
      <c r="T20" s="9" t="str">
        <f>INDEX(Tarjetas!$A$4:$A$59,MOD(3*(VALUE(MID(A20,3,2))-1)+0,ROWS(Tarjetas!$A$4:$A$59))+1)</f>
        <v>S52</v>
      </c>
      <c r="U20" s="9" t="str">
        <f>INDEX(Tarjetas!$A$4:$A$59,MOD(3*(VALUE(MID(A20,3,2))-1)+1,ROWS(Tarjetas!$A$4:$A$59))+1)</f>
        <v>S53</v>
      </c>
      <c r="V20" s="9" t="str">
        <f>INDEX(Tarjetas!$A$4:$A$59,MOD(3*(VALUE(MID(A20,3,2))-1)+2,ROWS(Tarjetas!$A$4:$A$59))+1)</f>
        <v>S54</v>
      </c>
      <c r="W20" s="7" t="s">
        <v>449</v>
      </c>
      <c r="X20" s="8">
        <v>67</v>
      </c>
      <c r="Y20" s="8">
        <v>1</v>
      </c>
      <c r="Z20" s="8" t="s">
        <v>82</v>
      </c>
      <c r="AA20" s="8" t="s">
        <v>82</v>
      </c>
      <c r="AB20" s="8" t="s">
        <v>90</v>
      </c>
      <c r="AC20" s="7" t="s">
        <v>450</v>
      </c>
      <c r="AD20" s="8">
        <v>180</v>
      </c>
      <c r="AE20" s="8">
        <v>3</v>
      </c>
      <c r="AF20" s="8" t="s">
        <v>90</v>
      </c>
      <c r="AG20" s="8" t="s">
        <v>90</v>
      </c>
      <c r="AH20" s="8" t="s">
        <v>82</v>
      </c>
      <c r="AI20" s="7" t="s">
        <v>451</v>
      </c>
      <c r="AJ20" s="8">
        <v>180</v>
      </c>
      <c r="AK20" s="8">
        <v>3</v>
      </c>
      <c r="AL20" s="8" t="s">
        <v>90</v>
      </c>
      <c r="AM20" s="8" t="s">
        <v>90</v>
      </c>
      <c r="AN20" s="8" t="s">
        <v>90</v>
      </c>
      <c r="AO20" s="8">
        <v>2</v>
      </c>
      <c r="AP20" s="8">
        <v>4</v>
      </c>
      <c r="AQ20" s="8">
        <v>3</v>
      </c>
      <c r="AR20" s="8">
        <v>4</v>
      </c>
      <c r="AS20" s="8">
        <v>3</v>
      </c>
      <c r="AT20" s="8">
        <v>2</v>
      </c>
      <c r="AU20" s="8">
        <v>3</v>
      </c>
      <c r="AV20" s="8">
        <v>4</v>
      </c>
      <c r="AW20" s="8">
        <v>3</v>
      </c>
      <c r="AX20" s="8" t="s">
        <v>84</v>
      </c>
      <c r="AY20" s="7" t="s">
        <v>94</v>
      </c>
      <c r="AZ20" s="10" t="str">
        <f t="shared" si="0"/>
        <v>Sí</v>
      </c>
      <c r="BA20" s="11">
        <f>IF(H20="","",IFERROR(INDEX(Parametros!$B$4:$B$9,MATCH(H20,Parametros!$A$4:$A$9,0)),""))</f>
        <v>90</v>
      </c>
      <c r="BB20" s="12">
        <f t="shared" si="1"/>
        <v>2.3722222222222222</v>
      </c>
      <c r="BC20" s="12">
        <f t="shared" si="2"/>
        <v>-87.62777777777778</v>
      </c>
      <c r="BD20" s="13">
        <f t="shared" si="3"/>
        <v>0.97364197530864205</v>
      </c>
      <c r="BE20" s="10">
        <f t="shared" si="4"/>
        <v>2</v>
      </c>
      <c r="BF20" s="10">
        <f t="shared" si="5"/>
        <v>3</v>
      </c>
      <c r="BG20" s="10">
        <f t="shared" si="6"/>
        <v>1</v>
      </c>
      <c r="BH20" s="10">
        <f t="shared" si="7"/>
        <v>1</v>
      </c>
      <c r="BI20" s="10">
        <f t="shared" si="8"/>
        <v>1</v>
      </c>
      <c r="BJ20" s="10">
        <f t="shared" si="9"/>
        <v>1</v>
      </c>
      <c r="BK20" s="10">
        <f t="shared" si="10"/>
        <v>25</v>
      </c>
    </row>
    <row r="21" spans="1:63" ht="76.5" x14ac:dyDescent="0.2">
      <c r="A21" s="5" t="s">
        <v>452</v>
      </c>
      <c r="B21" s="33">
        <v>46308.5</v>
      </c>
      <c r="C21" s="7" t="s">
        <v>375</v>
      </c>
      <c r="D21" s="8" t="s">
        <v>314</v>
      </c>
      <c r="E21" s="8" t="s">
        <v>82</v>
      </c>
      <c r="F21" s="8" t="s">
        <v>82</v>
      </c>
      <c r="G21" s="7" t="s">
        <v>309</v>
      </c>
      <c r="H21" s="8" t="s">
        <v>310</v>
      </c>
      <c r="I21" s="7" t="s">
        <v>85</v>
      </c>
      <c r="J21" s="8">
        <v>0</v>
      </c>
      <c r="K21" s="8">
        <v>0</v>
      </c>
      <c r="L21" s="8">
        <v>0</v>
      </c>
      <c r="M21" s="8">
        <v>0</v>
      </c>
      <c r="N21" s="8">
        <v>1</v>
      </c>
      <c r="O21" s="8">
        <v>0</v>
      </c>
      <c r="P21" s="8">
        <v>3</v>
      </c>
      <c r="Q21" s="8">
        <v>3</v>
      </c>
      <c r="R21" s="8">
        <v>4</v>
      </c>
      <c r="S21" s="8">
        <v>4</v>
      </c>
      <c r="T21" s="9" t="str">
        <f>INDEX(Tarjetas!$A$4:$A$59,MOD(3*(VALUE(MID(A21,3,2))-1)+0,ROWS(Tarjetas!$A$4:$A$59))+1)</f>
        <v>S55</v>
      </c>
      <c r="U21" s="9" t="str">
        <f>INDEX(Tarjetas!$A$4:$A$59,MOD(3*(VALUE(MID(A21,3,2))-1)+1,ROWS(Tarjetas!$A$4:$A$59))+1)</f>
        <v>S56</v>
      </c>
      <c r="V21" s="9" t="str">
        <f>INDEX(Tarjetas!$A$4:$A$59,MOD(3*(VALUE(MID(A21,3,2))-1)+2,ROWS(Tarjetas!$A$4:$A$59))+1)</f>
        <v>S01</v>
      </c>
      <c r="W21" s="7" t="s">
        <v>453</v>
      </c>
      <c r="X21" s="8">
        <v>180</v>
      </c>
      <c r="Y21" s="8">
        <v>3</v>
      </c>
      <c r="Z21" s="8" t="s">
        <v>82</v>
      </c>
      <c r="AA21" s="8" t="s">
        <v>92</v>
      </c>
      <c r="AB21" s="8" t="s">
        <v>82</v>
      </c>
      <c r="AC21" s="7" t="s">
        <v>454</v>
      </c>
      <c r="AD21" s="8">
        <v>32</v>
      </c>
      <c r="AE21" s="8">
        <v>2</v>
      </c>
      <c r="AF21" s="8" t="s">
        <v>82</v>
      </c>
      <c r="AG21" s="8" t="s">
        <v>82</v>
      </c>
      <c r="AH21" s="8" t="s">
        <v>90</v>
      </c>
      <c r="AI21" s="7" t="s">
        <v>376</v>
      </c>
      <c r="AJ21" s="8">
        <v>21</v>
      </c>
      <c r="AK21" s="8">
        <v>2</v>
      </c>
      <c r="AL21" s="8" t="s">
        <v>82</v>
      </c>
      <c r="AM21" s="8" t="s">
        <v>82</v>
      </c>
      <c r="AN21" s="8" t="s">
        <v>90</v>
      </c>
      <c r="AO21" s="8">
        <v>2</v>
      </c>
      <c r="AP21" s="8">
        <v>4</v>
      </c>
      <c r="AQ21" s="8">
        <v>2</v>
      </c>
      <c r="AR21" s="8">
        <v>3</v>
      </c>
      <c r="AS21" s="8">
        <v>4</v>
      </c>
      <c r="AT21" s="8">
        <v>2</v>
      </c>
      <c r="AU21" s="8">
        <v>4</v>
      </c>
      <c r="AV21" s="8">
        <v>3</v>
      </c>
      <c r="AW21" s="8">
        <v>4</v>
      </c>
      <c r="AX21" s="8" t="s">
        <v>310</v>
      </c>
      <c r="AY21" s="7" t="s">
        <v>94</v>
      </c>
      <c r="AZ21" s="10" t="str">
        <f t="shared" si="0"/>
        <v>Sí</v>
      </c>
      <c r="BA21" s="11">
        <f>IF(H21="","",IFERROR(INDEX(Parametros!$B$4:$B$9,MATCH(H21,Parametros!$A$4:$A$9,0)),""))</f>
        <v>45</v>
      </c>
      <c r="BB21" s="12">
        <f t="shared" si="1"/>
        <v>1.2944444444444445</v>
      </c>
      <c r="BC21" s="12">
        <f t="shared" si="2"/>
        <v>-43.705555555555556</v>
      </c>
      <c r="BD21" s="13">
        <f t="shared" si="3"/>
        <v>0.97123456790123452</v>
      </c>
      <c r="BE21" s="10">
        <f t="shared" si="4"/>
        <v>4</v>
      </c>
      <c r="BF21" s="10">
        <f t="shared" si="5"/>
        <v>4</v>
      </c>
      <c r="BG21" s="10">
        <f t="shared" si="6"/>
        <v>0</v>
      </c>
      <c r="BH21" s="10">
        <f t="shared" si="7"/>
        <v>3</v>
      </c>
      <c r="BI21" s="10">
        <f t="shared" si="8"/>
        <v>2</v>
      </c>
      <c r="BJ21" s="10">
        <f t="shared" si="9"/>
        <v>1</v>
      </c>
      <c r="BK21" s="10">
        <f t="shared" si="10"/>
        <v>24</v>
      </c>
    </row>
    <row r="22" spans="1:63" ht="89.25" x14ac:dyDescent="0.2">
      <c r="A22" s="5" t="s">
        <v>455</v>
      </c>
      <c r="B22" s="33">
        <v>46308.5</v>
      </c>
      <c r="C22" s="7" t="s">
        <v>375</v>
      </c>
      <c r="D22" s="8" t="s">
        <v>314</v>
      </c>
      <c r="E22" s="8" t="s">
        <v>82</v>
      </c>
      <c r="F22" s="8" t="s">
        <v>82</v>
      </c>
      <c r="G22" s="7" t="s">
        <v>309</v>
      </c>
      <c r="H22" s="8" t="s">
        <v>308</v>
      </c>
      <c r="I22" s="7" t="s">
        <v>85</v>
      </c>
      <c r="J22" s="8">
        <v>1</v>
      </c>
      <c r="K22" s="8">
        <v>0</v>
      </c>
      <c r="L22" s="8">
        <v>1</v>
      </c>
      <c r="M22" s="8">
        <v>1</v>
      </c>
      <c r="N22" s="8">
        <v>0</v>
      </c>
      <c r="O22" s="8">
        <v>0</v>
      </c>
      <c r="P22" s="8">
        <v>4</v>
      </c>
      <c r="Q22" s="8">
        <v>3</v>
      </c>
      <c r="R22" s="8">
        <v>2</v>
      </c>
      <c r="S22" s="8">
        <v>3</v>
      </c>
      <c r="T22" s="9" t="str">
        <f>INDEX(Tarjetas!$A$4:$A$59,MOD(3*(VALUE(MID(A22,3,2))-1)+0,ROWS(Tarjetas!$A$4:$A$59))+1)</f>
        <v>S02</v>
      </c>
      <c r="U22" s="9" t="str">
        <f>INDEX(Tarjetas!$A$4:$A$59,MOD(3*(VALUE(MID(A22,3,2))-1)+1,ROWS(Tarjetas!$A$4:$A$59))+1)</f>
        <v>S03</v>
      </c>
      <c r="V22" s="9" t="str">
        <f>INDEX(Tarjetas!$A$4:$A$59,MOD(3*(VALUE(MID(A22,3,2))-1)+2,ROWS(Tarjetas!$A$4:$A$59))+1)</f>
        <v>S04</v>
      </c>
      <c r="W22" s="7" t="s">
        <v>377</v>
      </c>
      <c r="X22" s="8">
        <v>55</v>
      </c>
      <c r="Y22" s="8">
        <v>1</v>
      </c>
      <c r="Z22" s="8" t="s">
        <v>82</v>
      </c>
      <c r="AA22" s="8" t="s">
        <v>82</v>
      </c>
      <c r="AB22" s="8" t="s">
        <v>90</v>
      </c>
      <c r="AC22" s="7" t="s">
        <v>378</v>
      </c>
      <c r="AD22" s="8">
        <v>38</v>
      </c>
      <c r="AE22" s="8">
        <v>2</v>
      </c>
      <c r="AF22" s="8" t="s">
        <v>82</v>
      </c>
      <c r="AG22" s="8" t="s">
        <v>82</v>
      </c>
      <c r="AH22" s="8" t="s">
        <v>90</v>
      </c>
      <c r="AI22" s="7" t="s">
        <v>380</v>
      </c>
      <c r="AJ22" s="8">
        <v>180</v>
      </c>
      <c r="AK22" s="8">
        <v>3</v>
      </c>
      <c r="AL22" s="8" t="s">
        <v>90</v>
      </c>
      <c r="AM22" s="8" t="s">
        <v>92</v>
      </c>
      <c r="AN22" s="8" t="s">
        <v>90</v>
      </c>
      <c r="AO22" s="8">
        <v>4</v>
      </c>
      <c r="AP22" s="8">
        <v>4</v>
      </c>
      <c r="AQ22" s="8">
        <v>2</v>
      </c>
      <c r="AR22" s="8">
        <v>4</v>
      </c>
      <c r="AS22" s="8">
        <v>4</v>
      </c>
      <c r="AT22" s="8">
        <v>3</v>
      </c>
      <c r="AU22" s="8">
        <v>3</v>
      </c>
      <c r="AV22" s="8">
        <v>3</v>
      </c>
      <c r="AW22" s="8">
        <v>3</v>
      </c>
      <c r="AX22" s="8" t="s">
        <v>308</v>
      </c>
      <c r="AY22" s="7" t="s">
        <v>94</v>
      </c>
      <c r="AZ22" s="10" t="str">
        <f t="shared" si="0"/>
        <v>Sí</v>
      </c>
      <c r="BA22" s="11">
        <f>IF(H22="","",IFERROR(INDEX(Parametros!$B$4:$B$9,MATCH(H22,Parametros!$A$4:$A$9,0)),""))</f>
        <v>22.5</v>
      </c>
      <c r="BB22" s="12">
        <f t="shared" si="1"/>
        <v>1.5166666666666666</v>
      </c>
      <c r="BC22" s="12">
        <f t="shared" si="2"/>
        <v>-20.983333333333334</v>
      </c>
      <c r="BD22" s="13">
        <f t="shared" si="3"/>
        <v>0.93259259259259264</v>
      </c>
      <c r="BE22" s="10">
        <f t="shared" si="4"/>
        <v>3</v>
      </c>
      <c r="BF22" s="10">
        <f t="shared" si="5"/>
        <v>3</v>
      </c>
      <c r="BG22" s="10">
        <f t="shared" si="6"/>
        <v>0</v>
      </c>
      <c r="BH22" s="10">
        <f t="shared" si="7"/>
        <v>2</v>
      </c>
      <c r="BI22" s="10">
        <f t="shared" si="8"/>
        <v>2</v>
      </c>
      <c r="BJ22" s="10">
        <f t="shared" si="9"/>
        <v>0</v>
      </c>
      <c r="BK22" s="10">
        <f t="shared" si="10"/>
        <v>27</v>
      </c>
    </row>
    <row r="23" spans="1:63" ht="76.5" x14ac:dyDescent="0.2">
      <c r="A23" s="5" t="s">
        <v>456</v>
      </c>
      <c r="B23" s="33">
        <v>46308.5</v>
      </c>
      <c r="C23" s="7" t="s">
        <v>375</v>
      </c>
      <c r="D23" s="8" t="s">
        <v>306</v>
      </c>
      <c r="E23" s="8" t="s">
        <v>82</v>
      </c>
      <c r="F23" s="8" t="s">
        <v>82</v>
      </c>
      <c r="G23" s="7" t="s">
        <v>309</v>
      </c>
      <c r="H23" s="8" t="s">
        <v>310</v>
      </c>
      <c r="I23" s="7" t="s">
        <v>85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3</v>
      </c>
      <c r="Q23" s="8">
        <v>4</v>
      </c>
      <c r="R23" s="8">
        <v>4</v>
      </c>
      <c r="S23" s="8">
        <v>4</v>
      </c>
      <c r="T23" s="9" t="str">
        <f>INDEX(Tarjetas!$A$4:$A$59,MOD(3*(VALUE(MID(A23,3,2))-1)+0,ROWS(Tarjetas!$A$4:$A$59))+1)</f>
        <v>S05</v>
      </c>
      <c r="U23" s="9" t="str">
        <f>INDEX(Tarjetas!$A$4:$A$59,MOD(3*(VALUE(MID(A23,3,2))-1)+1,ROWS(Tarjetas!$A$4:$A$59))+1)</f>
        <v>S06</v>
      </c>
      <c r="V23" s="9" t="str">
        <f>INDEX(Tarjetas!$A$4:$A$59,MOD(3*(VALUE(MID(A23,3,2))-1)+2,ROWS(Tarjetas!$A$4:$A$59))+1)</f>
        <v>S07</v>
      </c>
      <c r="W23" s="7" t="s">
        <v>381</v>
      </c>
      <c r="X23" s="8">
        <v>180</v>
      </c>
      <c r="Y23" s="8">
        <v>3</v>
      </c>
      <c r="Z23" s="8" t="s">
        <v>90</v>
      </c>
      <c r="AA23" s="8" t="s">
        <v>92</v>
      </c>
      <c r="AB23" s="8" t="s">
        <v>90</v>
      </c>
      <c r="AC23" s="7" t="s">
        <v>382</v>
      </c>
      <c r="AD23" s="8">
        <v>180</v>
      </c>
      <c r="AE23" s="8">
        <v>3</v>
      </c>
      <c r="AF23" s="8" t="s">
        <v>90</v>
      </c>
      <c r="AG23" s="8" t="s">
        <v>92</v>
      </c>
      <c r="AH23" s="8" t="s">
        <v>90</v>
      </c>
      <c r="AI23" s="7" t="s">
        <v>385</v>
      </c>
      <c r="AJ23" s="8">
        <v>93</v>
      </c>
      <c r="AK23" s="8">
        <v>1</v>
      </c>
      <c r="AL23" s="8" t="s">
        <v>82</v>
      </c>
      <c r="AM23" s="8" t="s">
        <v>92</v>
      </c>
      <c r="AN23" s="8" t="s">
        <v>90</v>
      </c>
      <c r="AO23" s="8">
        <v>3</v>
      </c>
      <c r="AP23" s="8">
        <v>3</v>
      </c>
      <c r="AQ23" s="8">
        <v>5</v>
      </c>
      <c r="AR23" s="8">
        <v>3</v>
      </c>
      <c r="AS23" s="8">
        <v>3</v>
      </c>
      <c r="AT23" s="8">
        <v>2</v>
      </c>
      <c r="AU23" s="8">
        <v>3</v>
      </c>
      <c r="AV23" s="8">
        <v>2</v>
      </c>
      <c r="AW23" s="8">
        <v>3</v>
      </c>
      <c r="AX23" s="8" t="s">
        <v>310</v>
      </c>
      <c r="AY23" s="7" t="s">
        <v>405</v>
      </c>
      <c r="AZ23" s="10" t="str">
        <f t="shared" si="0"/>
        <v>Sí</v>
      </c>
      <c r="BA23" s="11">
        <f>IF(H23="","",IFERROR(INDEX(Parametros!$B$4:$B$9,MATCH(H23,Parametros!$A$4:$A$9,0)),""))</f>
        <v>45</v>
      </c>
      <c r="BB23" s="12">
        <f t="shared" si="1"/>
        <v>2.5166666666666666</v>
      </c>
      <c r="BC23" s="12">
        <f t="shared" si="2"/>
        <v>-42.483333333333334</v>
      </c>
      <c r="BD23" s="13">
        <f t="shared" si="3"/>
        <v>0.94407407407407407</v>
      </c>
      <c r="BE23" s="10">
        <f t="shared" si="4"/>
        <v>4</v>
      </c>
      <c r="BF23" s="10">
        <f t="shared" si="5"/>
        <v>3</v>
      </c>
      <c r="BG23" s="10">
        <f t="shared" si="6"/>
        <v>-1</v>
      </c>
      <c r="BH23" s="10">
        <f t="shared" si="7"/>
        <v>1</v>
      </c>
      <c r="BI23" s="10">
        <f t="shared" si="8"/>
        <v>0</v>
      </c>
      <c r="BJ23" s="10">
        <f t="shared" si="9"/>
        <v>0</v>
      </c>
      <c r="BK23" s="10">
        <f t="shared" si="10"/>
        <v>24</v>
      </c>
    </row>
    <row r="24" spans="1:63" ht="76.5" x14ac:dyDescent="0.2">
      <c r="A24" s="5" t="s">
        <v>457</v>
      </c>
      <c r="B24" s="33">
        <v>46308.5</v>
      </c>
      <c r="C24" s="7" t="s">
        <v>375</v>
      </c>
      <c r="D24" s="8" t="s">
        <v>81</v>
      </c>
      <c r="E24" s="8" t="s">
        <v>82</v>
      </c>
      <c r="F24" s="8" t="s">
        <v>82</v>
      </c>
      <c r="G24" s="7" t="s">
        <v>309</v>
      </c>
      <c r="H24" s="8" t="s">
        <v>305</v>
      </c>
      <c r="I24" s="7" t="s">
        <v>307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4</v>
      </c>
      <c r="Q24" s="8">
        <v>4</v>
      </c>
      <c r="R24" s="8">
        <v>4</v>
      </c>
      <c r="S24" s="8">
        <v>4</v>
      </c>
      <c r="T24" s="9" t="str">
        <f>INDEX(Tarjetas!$A$4:$A$59,MOD(3*(VALUE(MID(A24,3,2))-1)+0,ROWS(Tarjetas!$A$4:$A$59))+1)</f>
        <v>S08</v>
      </c>
      <c r="U24" s="9" t="str">
        <f>INDEX(Tarjetas!$A$4:$A$59,MOD(3*(VALUE(MID(A24,3,2))-1)+1,ROWS(Tarjetas!$A$4:$A$59))+1)</f>
        <v>S09</v>
      </c>
      <c r="V24" s="9" t="str">
        <f>INDEX(Tarjetas!$A$4:$A$59,MOD(3*(VALUE(MID(A24,3,2))-1)+2,ROWS(Tarjetas!$A$4:$A$59))+1)</f>
        <v>S10</v>
      </c>
      <c r="W24" s="7" t="s">
        <v>386</v>
      </c>
      <c r="X24" s="8">
        <v>58</v>
      </c>
      <c r="Y24" s="8">
        <v>3</v>
      </c>
      <c r="Z24" s="8" t="s">
        <v>82</v>
      </c>
      <c r="AA24" s="8" t="s">
        <v>82</v>
      </c>
      <c r="AB24" s="8" t="s">
        <v>90</v>
      </c>
      <c r="AC24" s="7" t="s">
        <v>387</v>
      </c>
      <c r="AD24" s="8">
        <v>22</v>
      </c>
      <c r="AE24" s="8">
        <v>1</v>
      </c>
      <c r="AF24" s="8" t="s">
        <v>82</v>
      </c>
      <c r="AG24" s="8" t="s">
        <v>82</v>
      </c>
      <c r="AH24" s="8" t="s">
        <v>90</v>
      </c>
      <c r="AI24" s="7" t="s">
        <v>390</v>
      </c>
      <c r="AJ24" s="8">
        <v>180</v>
      </c>
      <c r="AK24" s="8">
        <v>3</v>
      </c>
      <c r="AL24" s="8" t="s">
        <v>90</v>
      </c>
      <c r="AM24" s="8" t="s">
        <v>90</v>
      </c>
      <c r="AN24" s="8" t="s">
        <v>82</v>
      </c>
      <c r="AO24" s="8">
        <v>4</v>
      </c>
      <c r="AP24" s="8">
        <v>3</v>
      </c>
      <c r="AQ24" s="8">
        <v>4</v>
      </c>
      <c r="AR24" s="8">
        <v>4</v>
      </c>
      <c r="AS24" s="8">
        <v>3</v>
      </c>
      <c r="AT24" s="8">
        <v>4</v>
      </c>
      <c r="AU24" s="8">
        <v>5</v>
      </c>
      <c r="AV24" s="8">
        <v>3</v>
      </c>
      <c r="AW24" s="8">
        <v>3</v>
      </c>
      <c r="AX24" s="8" t="s">
        <v>305</v>
      </c>
      <c r="AY24" s="7" t="s">
        <v>94</v>
      </c>
      <c r="AZ24" s="10" t="str">
        <f t="shared" si="0"/>
        <v>Sí</v>
      </c>
      <c r="BA24" s="11">
        <f>IF(H24="","",IFERROR(INDEX(Parametros!$B$4:$B$9,MATCH(H24,Parametros!$A$4:$A$9,0)),""))</f>
        <v>7.5</v>
      </c>
      <c r="BB24" s="12">
        <f t="shared" si="1"/>
        <v>1.4444444444444444</v>
      </c>
      <c r="BC24" s="12">
        <f t="shared" si="2"/>
        <v>-6.0555555555555554</v>
      </c>
      <c r="BD24" s="13">
        <f t="shared" si="3"/>
        <v>0.80740740740740735</v>
      </c>
      <c r="BE24" s="10">
        <f t="shared" si="4"/>
        <v>4</v>
      </c>
      <c r="BF24" s="10">
        <f t="shared" si="5"/>
        <v>3</v>
      </c>
      <c r="BG24" s="10">
        <f t="shared" si="6"/>
        <v>-1</v>
      </c>
      <c r="BH24" s="10">
        <f t="shared" si="7"/>
        <v>2</v>
      </c>
      <c r="BI24" s="10">
        <f t="shared" si="8"/>
        <v>2</v>
      </c>
      <c r="BJ24" s="10">
        <f t="shared" si="9"/>
        <v>1</v>
      </c>
      <c r="BK24" s="10">
        <f t="shared" si="10"/>
        <v>30</v>
      </c>
    </row>
    <row r="25" spans="1:63" ht="76.5" x14ac:dyDescent="0.2">
      <c r="A25" s="5" t="s">
        <v>458</v>
      </c>
      <c r="B25" s="33">
        <v>46308.5</v>
      </c>
      <c r="C25" s="7" t="s">
        <v>375</v>
      </c>
      <c r="D25" s="8" t="s">
        <v>81</v>
      </c>
      <c r="E25" s="8" t="s">
        <v>82</v>
      </c>
      <c r="F25" s="8" t="s">
        <v>82</v>
      </c>
      <c r="G25" s="7" t="s">
        <v>322</v>
      </c>
      <c r="H25" s="8" t="s">
        <v>84</v>
      </c>
      <c r="I25" s="7" t="s">
        <v>307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  <c r="P25" s="8">
        <v>1</v>
      </c>
      <c r="Q25" s="8">
        <v>1</v>
      </c>
      <c r="R25" s="8">
        <v>3</v>
      </c>
      <c r="S25" s="8">
        <v>3</v>
      </c>
      <c r="T25" s="9" t="str">
        <f>INDEX(Tarjetas!$A$4:$A$59,MOD(3*(VALUE(MID(A25,3,2))-1)+0,ROWS(Tarjetas!$A$4:$A$59))+1)</f>
        <v>S11</v>
      </c>
      <c r="U25" s="9" t="str">
        <f>INDEX(Tarjetas!$A$4:$A$59,MOD(3*(VALUE(MID(A25,3,2))-1)+1,ROWS(Tarjetas!$A$4:$A$59))+1)</f>
        <v>S12</v>
      </c>
      <c r="V25" s="9" t="str">
        <f>INDEX(Tarjetas!$A$4:$A$59,MOD(3*(VALUE(MID(A25,3,2))-1)+2,ROWS(Tarjetas!$A$4:$A$59))+1)</f>
        <v>S13</v>
      </c>
      <c r="W25" s="7" t="s">
        <v>391</v>
      </c>
      <c r="X25" s="8">
        <v>180</v>
      </c>
      <c r="Y25" s="8">
        <v>3</v>
      </c>
      <c r="Z25" s="8" t="s">
        <v>90</v>
      </c>
      <c r="AA25" s="8" t="s">
        <v>92</v>
      </c>
      <c r="AB25" s="8" t="s">
        <v>90</v>
      </c>
      <c r="AC25" s="7" t="s">
        <v>392</v>
      </c>
      <c r="AD25" s="8">
        <v>22</v>
      </c>
      <c r="AE25" s="8">
        <v>2</v>
      </c>
      <c r="AF25" s="8" t="s">
        <v>82</v>
      </c>
      <c r="AG25" s="8" t="s">
        <v>82</v>
      </c>
      <c r="AH25" s="8" t="s">
        <v>90</v>
      </c>
      <c r="AI25" s="7" t="s">
        <v>394</v>
      </c>
      <c r="AJ25" s="8">
        <v>46</v>
      </c>
      <c r="AK25" s="8">
        <v>1</v>
      </c>
      <c r="AL25" s="8" t="s">
        <v>82</v>
      </c>
      <c r="AM25" s="8" t="s">
        <v>82</v>
      </c>
      <c r="AN25" s="8" t="s">
        <v>90</v>
      </c>
      <c r="AO25" s="8">
        <v>3</v>
      </c>
      <c r="AP25" s="8">
        <v>3</v>
      </c>
      <c r="AQ25" s="8">
        <v>2</v>
      </c>
      <c r="AR25" s="8">
        <v>3</v>
      </c>
      <c r="AS25" s="8">
        <v>4</v>
      </c>
      <c r="AT25" s="8">
        <v>2</v>
      </c>
      <c r="AU25" s="8">
        <v>4</v>
      </c>
      <c r="AV25" s="8">
        <v>3</v>
      </c>
      <c r="AW25" s="8">
        <v>4</v>
      </c>
      <c r="AX25" s="8" t="s">
        <v>84</v>
      </c>
      <c r="AY25" s="7" t="s">
        <v>94</v>
      </c>
      <c r="AZ25" s="10" t="str">
        <f t="shared" si="0"/>
        <v>Sí</v>
      </c>
      <c r="BA25" s="11">
        <f>IF(H25="","",IFERROR(INDEX(Parametros!$B$4:$B$9,MATCH(H25,Parametros!$A$4:$A$9,0)),""))</f>
        <v>90</v>
      </c>
      <c r="BB25" s="12">
        <f t="shared" si="1"/>
        <v>1.3777777777777778</v>
      </c>
      <c r="BC25" s="12">
        <f t="shared" si="2"/>
        <v>-88.62222222222222</v>
      </c>
      <c r="BD25" s="13">
        <f t="shared" si="3"/>
        <v>0.98469135802469132</v>
      </c>
      <c r="BE25" s="10">
        <f t="shared" si="4"/>
        <v>3</v>
      </c>
      <c r="BF25" s="10">
        <f t="shared" si="5"/>
        <v>4</v>
      </c>
      <c r="BG25" s="10">
        <f t="shared" si="6"/>
        <v>1</v>
      </c>
      <c r="BH25" s="10">
        <f t="shared" si="7"/>
        <v>2</v>
      </c>
      <c r="BI25" s="10">
        <f t="shared" si="8"/>
        <v>2</v>
      </c>
      <c r="BJ25" s="10">
        <f t="shared" si="9"/>
        <v>0</v>
      </c>
      <c r="BK25" s="10">
        <f t="shared" si="10"/>
        <v>24</v>
      </c>
    </row>
    <row r="26" spans="1:63" ht="76.5" x14ac:dyDescent="0.2">
      <c r="A26" s="5" t="s">
        <v>459</v>
      </c>
      <c r="B26" s="33">
        <v>46308.5</v>
      </c>
      <c r="C26" s="7" t="s">
        <v>375</v>
      </c>
      <c r="D26" s="8" t="s">
        <v>314</v>
      </c>
      <c r="E26" s="8" t="s">
        <v>82</v>
      </c>
      <c r="F26" s="8" t="s">
        <v>82</v>
      </c>
      <c r="G26" s="7" t="s">
        <v>309</v>
      </c>
      <c r="H26" s="8" t="s">
        <v>310</v>
      </c>
      <c r="I26" s="7" t="s">
        <v>316</v>
      </c>
      <c r="J26" s="8">
        <v>1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4</v>
      </c>
      <c r="Q26" s="8">
        <v>4</v>
      </c>
      <c r="R26" s="8">
        <v>3</v>
      </c>
      <c r="S26" s="8">
        <v>3</v>
      </c>
      <c r="T26" s="9" t="str">
        <f>INDEX(Tarjetas!$A$4:$A$59,MOD(3*(VALUE(MID(A26,3,2))-1)+0,ROWS(Tarjetas!$A$4:$A$59))+1)</f>
        <v>S14</v>
      </c>
      <c r="U26" s="9" t="str">
        <f>INDEX(Tarjetas!$A$4:$A$59,MOD(3*(VALUE(MID(A26,3,2))-1)+1,ROWS(Tarjetas!$A$4:$A$59))+1)</f>
        <v>S15</v>
      </c>
      <c r="V26" s="9" t="str">
        <f>INDEX(Tarjetas!$A$4:$A$59,MOD(3*(VALUE(MID(A26,3,2))-1)+2,ROWS(Tarjetas!$A$4:$A$59))+1)</f>
        <v>S16</v>
      </c>
      <c r="W26" s="7" t="s">
        <v>395</v>
      </c>
      <c r="X26" s="8">
        <v>180</v>
      </c>
      <c r="Y26" s="8">
        <v>3</v>
      </c>
      <c r="Z26" s="8" t="s">
        <v>82</v>
      </c>
      <c r="AA26" s="8" t="s">
        <v>92</v>
      </c>
      <c r="AB26" s="8" t="s">
        <v>82</v>
      </c>
      <c r="AC26" s="7" t="s">
        <v>396</v>
      </c>
      <c r="AD26" s="8">
        <v>180</v>
      </c>
      <c r="AE26" s="8">
        <v>3</v>
      </c>
      <c r="AF26" s="8" t="s">
        <v>90</v>
      </c>
      <c r="AG26" s="8" t="s">
        <v>90</v>
      </c>
      <c r="AH26" s="8" t="s">
        <v>82</v>
      </c>
      <c r="AI26" s="7" t="s">
        <v>398</v>
      </c>
      <c r="AJ26" s="8">
        <v>180</v>
      </c>
      <c r="AK26" s="8">
        <v>3</v>
      </c>
      <c r="AL26" s="8" t="s">
        <v>90</v>
      </c>
      <c r="AM26" s="8" t="s">
        <v>90</v>
      </c>
      <c r="AN26" s="8" t="s">
        <v>82</v>
      </c>
      <c r="AO26" s="8">
        <v>2</v>
      </c>
      <c r="AP26" s="8">
        <v>2</v>
      </c>
      <c r="AQ26" s="8">
        <v>2</v>
      </c>
      <c r="AR26" s="8">
        <v>1</v>
      </c>
      <c r="AS26" s="8">
        <v>3</v>
      </c>
      <c r="AT26" s="8">
        <v>2</v>
      </c>
      <c r="AU26" s="8">
        <v>2</v>
      </c>
      <c r="AV26" s="8">
        <v>1</v>
      </c>
      <c r="AW26" s="8">
        <v>2</v>
      </c>
      <c r="AX26" s="8" t="s">
        <v>310</v>
      </c>
      <c r="AY26" s="7" t="s">
        <v>94</v>
      </c>
      <c r="AZ26" s="10" t="str">
        <f t="shared" si="0"/>
        <v>Sí</v>
      </c>
      <c r="BA26" s="11">
        <f>IF(H26="","",IFERROR(INDEX(Parametros!$B$4:$B$9,MATCH(H26,Parametros!$A$4:$A$9,0)),""))</f>
        <v>45</v>
      </c>
      <c r="BB26" s="12">
        <f t="shared" si="1"/>
        <v>3</v>
      </c>
      <c r="BC26" s="12">
        <f t="shared" si="2"/>
        <v>-42</v>
      </c>
      <c r="BD26" s="13">
        <f t="shared" si="3"/>
        <v>0.93333333333333335</v>
      </c>
      <c r="BE26" s="10">
        <f t="shared" si="4"/>
        <v>3</v>
      </c>
      <c r="BF26" s="10">
        <f t="shared" si="5"/>
        <v>2</v>
      </c>
      <c r="BG26" s="10">
        <f t="shared" si="6"/>
        <v>-1</v>
      </c>
      <c r="BH26" s="10">
        <f t="shared" si="7"/>
        <v>1</v>
      </c>
      <c r="BI26" s="10">
        <f t="shared" si="8"/>
        <v>0</v>
      </c>
      <c r="BJ26" s="10">
        <f t="shared" si="9"/>
        <v>3</v>
      </c>
      <c r="BK26" s="10">
        <f t="shared" si="10"/>
        <v>15</v>
      </c>
    </row>
    <row r="27" spans="1:63" ht="76.5" x14ac:dyDescent="0.2">
      <c r="A27" s="5" t="s">
        <v>460</v>
      </c>
      <c r="B27" s="33">
        <v>46309.5</v>
      </c>
      <c r="C27" s="7" t="s">
        <v>375</v>
      </c>
      <c r="D27" s="8" t="s">
        <v>311</v>
      </c>
      <c r="E27" s="8" t="s">
        <v>82</v>
      </c>
      <c r="F27" s="8" t="s">
        <v>82</v>
      </c>
      <c r="G27" s="7" t="s">
        <v>83</v>
      </c>
      <c r="H27" s="8" t="s">
        <v>319</v>
      </c>
      <c r="I27" s="7" t="s">
        <v>316</v>
      </c>
      <c r="J27" s="8">
        <v>1</v>
      </c>
      <c r="K27" s="8">
        <v>1</v>
      </c>
      <c r="L27" s="8">
        <v>0</v>
      </c>
      <c r="M27" s="8">
        <v>1</v>
      </c>
      <c r="N27" s="8">
        <v>0</v>
      </c>
      <c r="O27" s="8">
        <v>0</v>
      </c>
      <c r="P27" s="8">
        <v>2</v>
      </c>
      <c r="Q27" s="8">
        <v>2</v>
      </c>
      <c r="R27" s="8">
        <v>2</v>
      </c>
      <c r="S27" s="8">
        <v>2</v>
      </c>
      <c r="T27" s="9" t="str">
        <f>INDEX(Tarjetas!$A$4:$A$59,MOD(3*(VALUE(MID(A27,3,2))-1)+0,ROWS(Tarjetas!$A$4:$A$59))+1)</f>
        <v>S17</v>
      </c>
      <c r="U27" s="9" t="str">
        <f>INDEX(Tarjetas!$A$4:$A$59,MOD(3*(VALUE(MID(A27,3,2))-1)+1,ROWS(Tarjetas!$A$4:$A$59))+1)</f>
        <v>S18</v>
      </c>
      <c r="V27" s="9" t="str">
        <f>INDEX(Tarjetas!$A$4:$A$59,MOD(3*(VALUE(MID(A27,3,2))-1)+2,ROWS(Tarjetas!$A$4:$A$59))+1)</f>
        <v>S19</v>
      </c>
      <c r="W27" s="7" t="s">
        <v>399</v>
      </c>
      <c r="X27" s="8">
        <v>95</v>
      </c>
      <c r="Y27" s="8">
        <v>2</v>
      </c>
      <c r="Z27" s="8" t="s">
        <v>82</v>
      </c>
      <c r="AA27" s="8" t="s">
        <v>82</v>
      </c>
      <c r="AB27" s="8" t="s">
        <v>90</v>
      </c>
      <c r="AC27" s="7" t="s">
        <v>400</v>
      </c>
      <c r="AD27" s="8">
        <v>180</v>
      </c>
      <c r="AE27" s="8">
        <v>3</v>
      </c>
      <c r="AF27" s="8" t="s">
        <v>90</v>
      </c>
      <c r="AG27" s="8" t="s">
        <v>90</v>
      </c>
      <c r="AH27" s="8" t="s">
        <v>82</v>
      </c>
      <c r="AI27" s="7" t="s">
        <v>402</v>
      </c>
      <c r="AJ27" s="8">
        <v>180</v>
      </c>
      <c r="AK27" s="8">
        <v>3</v>
      </c>
      <c r="AL27" s="8" t="s">
        <v>90</v>
      </c>
      <c r="AM27" s="8" t="s">
        <v>90</v>
      </c>
      <c r="AN27" s="8" t="s">
        <v>82</v>
      </c>
      <c r="AO27" s="8">
        <v>2</v>
      </c>
      <c r="AP27" s="8">
        <v>4</v>
      </c>
      <c r="AQ27" s="8">
        <v>3</v>
      </c>
      <c r="AR27" s="8">
        <v>3</v>
      </c>
      <c r="AS27" s="8">
        <v>3</v>
      </c>
      <c r="AT27" s="8">
        <v>3</v>
      </c>
      <c r="AU27" s="8">
        <v>4</v>
      </c>
      <c r="AV27" s="8">
        <v>2</v>
      </c>
      <c r="AW27" s="8">
        <v>3</v>
      </c>
      <c r="AX27" s="8" t="s">
        <v>319</v>
      </c>
      <c r="AY27" s="7" t="s">
        <v>94</v>
      </c>
      <c r="AZ27" s="10" t="str">
        <f t="shared" si="0"/>
        <v>Sí</v>
      </c>
      <c r="BA27" s="11">
        <f>IF(H27="","",IFERROR(INDEX(Parametros!$B$4:$B$9,MATCH(H27,Parametros!$A$4:$A$9,0)),""))</f>
        <v>300</v>
      </c>
      <c r="BB27" s="12">
        <f t="shared" si="1"/>
        <v>2.5277777777777777</v>
      </c>
      <c r="BC27" s="12">
        <f t="shared" si="2"/>
        <v>-297.47222222222223</v>
      </c>
      <c r="BD27" s="13">
        <f t="shared" si="3"/>
        <v>0.99157407407407405</v>
      </c>
      <c r="BE27" s="10">
        <f t="shared" si="4"/>
        <v>2</v>
      </c>
      <c r="BF27" s="10">
        <f t="shared" si="5"/>
        <v>3</v>
      </c>
      <c r="BG27" s="10">
        <f t="shared" si="6"/>
        <v>1</v>
      </c>
      <c r="BH27" s="10">
        <f t="shared" si="7"/>
        <v>1</v>
      </c>
      <c r="BI27" s="10">
        <f t="shared" si="8"/>
        <v>1</v>
      </c>
      <c r="BJ27" s="10">
        <f t="shared" si="9"/>
        <v>2</v>
      </c>
      <c r="BK27" s="10">
        <f t="shared" si="10"/>
        <v>24</v>
      </c>
    </row>
    <row r="28" spans="1:63" ht="76.5" x14ac:dyDescent="0.2">
      <c r="A28" s="5" t="s">
        <v>461</v>
      </c>
      <c r="B28" s="33">
        <v>46309.5</v>
      </c>
      <c r="C28" s="7" t="s">
        <v>375</v>
      </c>
      <c r="D28" s="8" t="s">
        <v>306</v>
      </c>
      <c r="E28" s="8" t="s">
        <v>82</v>
      </c>
      <c r="F28" s="8" t="s">
        <v>82</v>
      </c>
      <c r="G28" s="7" t="s">
        <v>312</v>
      </c>
      <c r="H28" s="8" t="s">
        <v>310</v>
      </c>
      <c r="I28" s="7" t="s">
        <v>307</v>
      </c>
      <c r="J28" s="8">
        <v>0</v>
      </c>
      <c r="K28" s="8">
        <v>0</v>
      </c>
      <c r="L28" s="8">
        <v>0</v>
      </c>
      <c r="M28" s="8">
        <v>0</v>
      </c>
      <c r="N28" s="8">
        <v>1</v>
      </c>
      <c r="O28" s="8">
        <v>0</v>
      </c>
      <c r="P28" s="8">
        <v>3</v>
      </c>
      <c r="Q28" s="8">
        <v>4</v>
      </c>
      <c r="R28" s="8">
        <v>5</v>
      </c>
      <c r="S28" s="8">
        <v>4</v>
      </c>
      <c r="T28" s="9" t="str">
        <f>INDEX(Tarjetas!$A$4:$A$59,MOD(3*(VALUE(MID(A28,3,2))-1)+0,ROWS(Tarjetas!$A$4:$A$59))+1)</f>
        <v>S20</v>
      </c>
      <c r="U28" s="9" t="str">
        <f>INDEX(Tarjetas!$A$4:$A$59,MOD(3*(VALUE(MID(A28,3,2))-1)+1,ROWS(Tarjetas!$A$4:$A$59))+1)</f>
        <v>S21</v>
      </c>
      <c r="V28" s="9" t="str">
        <f>INDEX(Tarjetas!$A$4:$A$59,MOD(3*(VALUE(MID(A28,3,2))-1)+2,ROWS(Tarjetas!$A$4:$A$59))+1)</f>
        <v>S22</v>
      </c>
      <c r="W28" s="7" t="s">
        <v>403</v>
      </c>
      <c r="X28" s="8">
        <v>93</v>
      </c>
      <c r="Y28" s="8">
        <v>2</v>
      </c>
      <c r="Z28" s="8" t="s">
        <v>82</v>
      </c>
      <c r="AA28" s="8" t="s">
        <v>82</v>
      </c>
      <c r="AB28" s="8" t="s">
        <v>90</v>
      </c>
      <c r="AC28" s="7" t="s">
        <v>404</v>
      </c>
      <c r="AD28" s="8">
        <v>180</v>
      </c>
      <c r="AE28" s="8">
        <v>3</v>
      </c>
      <c r="AF28" s="8" t="s">
        <v>90</v>
      </c>
      <c r="AG28" s="8" t="s">
        <v>92</v>
      </c>
      <c r="AH28" s="8" t="s">
        <v>90</v>
      </c>
      <c r="AI28" s="7" t="s">
        <v>407</v>
      </c>
      <c r="AJ28" s="8">
        <v>32</v>
      </c>
      <c r="AK28" s="8">
        <v>1</v>
      </c>
      <c r="AL28" s="8" t="s">
        <v>82</v>
      </c>
      <c r="AM28" s="8" t="s">
        <v>82</v>
      </c>
      <c r="AN28" s="8" t="s">
        <v>90</v>
      </c>
      <c r="AO28" s="8">
        <v>4</v>
      </c>
      <c r="AP28" s="8">
        <v>4</v>
      </c>
      <c r="AQ28" s="8">
        <v>5</v>
      </c>
      <c r="AR28" s="8">
        <v>4</v>
      </c>
      <c r="AS28" s="8">
        <v>3</v>
      </c>
      <c r="AT28" s="8">
        <v>4</v>
      </c>
      <c r="AU28" s="8">
        <v>4</v>
      </c>
      <c r="AV28" s="8">
        <v>3</v>
      </c>
      <c r="AW28" s="8">
        <v>4</v>
      </c>
      <c r="AX28" s="8" t="s">
        <v>310</v>
      </c>
      <c r="AY28" s="7" t="s">
        <v>94</v>
      </c>
      <c r="AZ28" s="10" t="str">
        <f t="shared" si="0"/>
        <v>Sí</v>
      </c>
      <c r="BA28" s="11">
        <f>IF(H28="","",IFERROR(INDEX(Parametros!$B$4:$B$9,MATCH(H28,Parametros!$A$4:$A$9,0)),""))</f>
        <v>45</v>
      </c>
      <c r="BB28" s="12">
        <f t="shared" si="1"/>
        <v>1.6944444444444444</v>
      </c>
      <c r="BC28" s="12">
        <f t="shared" si="2"/>
        <v>-43.305555555555557</v>
      </c>
      <c r="BD28" s="13">
        <f t="shared" si="3"/>
        <v>0.96234567901234569</v>
      </c>
      <c r="BE28" s="10">
        <f t="shared" si="4"/>
        <v>4</v>
      </c>
      <c r="BF28" s="10">
        <f t="shared" si="5"/>
        <v>4</v>
      </c>
      <c r="BG28" s="10">
        <f t="shared" si="6"/>
        <v>0</v>
      </c>
      <c r="BH28" s="10">
        <f t="shared" si="7"/>
        <v>2</v>
      </c>
      <c r="BI28" s="10">
        <f t="shared" si="8"/>
        <v>2</v>
      </c>
      <c r="BJ28" s="10">
        <f t="shared" si="9"/>
        <v>0</v>
      </c>
      <c r="BK28" s="10">
        <f t="shared" si="10"/>
        <v>31</v>
      </c>
    </row>
    <row r="29" spans="1:63" ht="63.75" x14ac:dyDescent="0.2">
      <c r="A29" s="5" t="s">
        <v>462</v>
      </c>
      <c r="B29" s="33">
        <v>46309.5</v>
      </c>
      <c r="C29" s="7" t="s">
        <v>375</v>
      </c>
      <c r="D29" s="8" t="s">
        <v>311</v>
      </c>
      <c r="E29" s="8" t="s">
        <v>82</v>
      </c>
      <c r="F29" s="8" t="s">
        <v>82</v>
      </c>
      <c r="G29" s="7" t="s">
        <v>320</v>
      </c>
      <c r="H29" s="8" t="s">
        <v>310</v>
      </c>
      <c r="I29" s="7" t="s">
        <v>313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4</v>
      </c>
      <c r="Q29" s="8">
        <v>3</v>
      </c>
      <c r="R29" s="8">
        <v>2</v>
      </c>
      <c r="S29" s="8">
        <v>3</v>
      </c>
      <c r="T29" s="9" t="str">
        <f>INDEX(Tarjetas!$A$4:$A$59,MOD(3*(VALUE(MID(A29,3,2))-1)+0,ROWS(Tarjetas!$A$4:$A$59))+1)</f>
        <v>S23</v>
      </c>
      <c r="U29" s="9" t="str">
        <f>INDEX(Tarjetas!$A$4:$A$59,MOD(3*(VALUE(MID(A29,3,2))-1)+1,ROWS(Tarjetas!$A$4:$A$59))+1)</f>
        <v>S24</v>
      </c>
      <c r="V29" s="9" t="str">
        <f>INDEX(Tarjetas!$A$4:$A$59,MOD(3*(VALUE(MID(A29,3,2))-1)+2,ROWS(Tarjetas!$A$4:$A$59))+1)</f>
        <v>S25</v>
      </c>
      <c r="W29" s="7" t="s">
        <v>408</v>
      </c>
      <c r="X29" s="8">
        <v>21</v>
      </c>
      <c r="Y29" s="8">
        <v>3</v>
      </c>
      <c r="Z29" s="8" t="s">
        <v>82</v>
      </c>
      <c r="AA29" s="8" t="s">
        <v>82</v>
      </c>
      <c r="AB29" s="8" t="s">
        <v>90</v>
      </c>
      <c r="AC29" s="7" t="s">
        <v>409</v>
      </c>
      <c r="AD29" s="8">
        <v>32</v>
      </c>
      <c r="AE29" s="8">
        <v>1</v>
      </c>
      <c r="AF29" s="8" t="s">
        <v>82</v>
      </c>
      <c r="AG29" s="8" t="s">
        <v>82</v>
      </c>
      <c r="AH29" s="8" t="s">
        <v>90</v>
      </c>
      <c r="AI29" s="7" t="s">
        <v>411</v>
      </c>
      <c r="AJ29" s="8">
        <v>135</v>
      </c>
      <c r="AK29" s="8">
        <v>3</v>
      </c>
      <c r="AL29" s="8" t="s">
        <v>82</v>
      </c>
      <c r="AM29" s="8" t="s">
        <v>82</v>
      </c>
      <c r="AN29" s="8" t="s">
        <v>90</v>
      </c>
      <c r="AO29" s="8">
        <v>4</v>
      </c>
      <c r="AP29" s="8">
        <v>3</v>
      </c>
      <c r="AQ29" s="8">
        <v>4</v>
      </c>
      <c r="AR29" s="8">
        <v>3</v>
      </c>
      <c r="AS29" s="8">
        <v>5</v>
      </c>
      <c r="AT29" s="8">
        <v>4</v>
      </c>
      <c r="AU29" s="8">
        <v>5</v>
      </c>
      <c r="AV29" s="8">
        <v>3</v>
      </c>
      <c r="AW29" s="8">
        <v>4</v>
      </c>
      <c r="AX29" s="8" t="s">
        <v>310</v>
      </c>
      <c r="AY29" s="7" t="s">
        <v>414</v>
      </c>
      <c r="AZ29" s="10" t="str">
        <f t="shared" si="0"/>
        <v>Sí</v>
      </c>
      <c r="BA29" s="11">
        <f>IF(H29="","",IFERROR(INDEX(Parametros!$B$4:$B$9,MATCH(H29,Parametros!$A$4:$A$9,0)),""))</f>
        <v>45</v>
      </c>
      <c r="BB29" s="12">
        <f t="shared" si="1"/>
        <v>1.0444444444444445</v>
      </c>
      <c r="BC29" s="12">
        <f t="shared" si="2"/>
        <v>-43.955555555555556</v>
      </c>
      <c r="BD29" s="13">
        <f t="shared" si="3"/>
        <v>0.97679012345679017</v>
      </c>
      <c r="BE29" s="10">
        <f t="shared" si="4"/>
        <v>3</v>
      </c>
      <c r="BF29" s="10">
        <f t="shared" si="5"/>
        <v>4</v>
      </c>
      <c r="BG29" s="10">
        <f t="shared" si="6"/>
        <v>1</v>
      </c>
      <c r="BH29" s="10">
        <f t="shared" si="7"/>
        <v>3</v>
      </c>
      <c r="BI29" s="10">
        <f t="shared" si="8"/>
        <v>3</v>
      </c>
      <c r="BJ29" s="10">
        <f t="shared" si="9"/>
        <v>0</v>
      </c>
      <c r="BK29" s="10">
        <f t="shared" si="10"/>
        <v>31</v>
      </c>
    </row>
    <row r="30" spans="1:63" ht="76.5" x14ac:dyDescent="0.2">
      <c r="A30" s="5" t="s">
        <v>463</v>
      </c>
      <c r="B30" s="33">
        <v>46309.5</v>
      </c>
      <c r="C30" s="7" t="s">
        <v>375</v>
      </c>
      <c r="D30" s="8" t="s">
        <v>311</v>
      </c>
      <c r="E30" s="8" t="s">
        <v>82</v>
      </c>
      <c r="F30" s="8" t="s">
        <v>82</v>
      </c>
      <c r="G30" s="7" t="s">
        <v>83</v>
      </c>
      <c r="H30" s="8" t="s">
        <v>84</v>
      </c>
      <c r="I30" s="7" t="s">
        <v>313</v>
      </c>
      <c r="J30" s="8">
        <v>0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2</v>
      </c>
      <c r="Q30" s="8">
        <v>3</v>
      </c>
      <c r="R30" s="8">
        <v>3</v>
      </c>
      <c r="S30" s="8">
        <v>2</v>
      </c>
      <c r="T30" s="9" t="str">
        <f>INDEX(Tarjetas!$A$4:$A$59,MOD(3*(VALUE(MID(A30,3,2))-1)+0,ROWS(Tarjetas!$A$4:$A$59))+1)</f>
        <v>S26</v>
      </c>
      <c r="U30" s="9" t="str">
        <f>INDEX(Tarjetas!$A$4:$A$59,MOD(3*(VALUE(MID(A30,3,2))-1)+1,ROWS(Tarjetas!$A$4:$A$59))+1)</f>
        <v>S27</v>
      </c>
      <c r="V30" s="9" t="str">
        <f>INDEX(Tarjetas!$A$4:$A$59,MOD(3*(VALUE(MID(A30,3,2))-1)+2,ROWS(Tarjetas!$A$4:$A$59))+1)</f>
        <v>S28</v>
      </c>
      <c r="W30" s="7" t="s">
        <v>412</v>
      </c>
      <c r="X30" s="8">
        <v>53</v>
      </c>
      <c r="Y30" s="8">
        <v>1</v>
      </c>
      <c r="Z30" s="8" t="s">
        <v>82</v>
      </c>
      <c r="AA30" s="8" t="s">
        <v>82</v>
      </c>
      <c r="AB30" s="8" t="s">
        <v>90</v>
      </c>
      <c r="AC30" s="7" t="s">
        <v>413</v>
      </c>
      <c r="AD30" s="8">
        <v>52</v>
      </c>
      <c r="AE30" s="8">
        <v>1</v>
      </c>
      <c r="AF30" s="8" t="s">
        <v>82</v>
      </c>
      <c r="AG30" s="8" t="s">
        <v>82</v>
      </c>
      <c r="AH30" s="8" t="s">
        <v>90</v>
      </c>
      <c r="AI30" s="7" t="s">
        <v>417</v>
      </c>
      <c r="AJ30" s="8">
        <v>180</v>
      </c>
      <c r="AK30" s="8">
        <v>3</v>
      </c>
      <c r="AL30" s="8" t="s">
        <v>82</v>
      </c>
      <c r="AM30" s="8" t="s">
        <v>92</v>
      </c>
      <c r="AN30" s="8" t="s">
        <v>82</v>
      </c>
      <c r="AO30" s="8">
        <v>4</v>
      </c>
      <c r="AP30" s="8">
        <v>4</v>
      </c>
      <c r="AQ30" s="8">
        <v>3</v>
      </c>
      <c r="AR30" s="8">
        <v>3</v>
      </c>
      <c r="AS30" s="8">
        <v>2</v>
      </c>
      <c r="AT30" s="8">
        <v>2</v>
      </c>
      <c r="AU30" s="8">
        <v>2</v>
      </c>
      <c r="AV30" s="8">
        <v>2</v>
      </c>
      <c r="AW30" s="8">
        <v>2</v>
      </c>
      <c r="AX30" s="8" t="s">
        <v>84</v>
      </c>
      <c r="AY30" s="7" t="s">
        <v>405</v>
      </c>
      <c r="AZ30" s="10" t="str">
        <f t="shared" si="0"/>
        <v>Sí</v>
      </c>
      <c r="BA30" s="11">
        <f>IF(H30="","",IFERROR(INDEX(Parametros!$B$4:$B$9,MATCH(H30,Parametros!$A$4:$A$9,0)),""))</f>
        <v>90</v>
      </c>
      <c r="BB30" s="12">
        <f t="shared" si="1"/>
        <v>1.5833333333333333</v>
      </c>
      <c r="BC30" s="12">
        <f t="shared" si="2"/>
        <v>-88.416666666666671</v>
      </c>
      <c r="BD30" s="13">
        <f t="shared" si="3"/>
        <v>0.98240740740740751</v>
      </c>
      <c r="BE30" s="10">
        <f t="shared" si="4"/>
        <v>2</v>
      </c>
      <c r="BF30" s="10">
        <f t="shared" si="5"/>
        <v>2</v>
      </c>
      <c r="BG30" s="10">
        <f t="shared" si="6"/>
        <v>0</v>
      </c>
      <c r="BH30" s="10">
        <f t="shared" si="7"/>
        <v>3</v>
      </c>
      <c r="BI30" s="10">
        <f t="shared" si="8"/>
        <v>2</v>
      </c>
      <c r="BJ30" s="10">
        <f t="shared" si="9"/>
        <v>1</v>
      </c>
      <c r="BK30" s="10">
        <f t="shared" si="10"/>
        <v>22</v>
      </c>
    </row>
    <row r="31" spans="1:63" ht="63.75" x14ac:dyDescent="0.2">
      <c r="A31" s="5" t="s">
        <v>464</v>
      </c>
      <c r="B31" s="33">
        <v>46309.5</v>
      </c>
      <c r="C31" s="7" t="s">
        <v>375</v>
      </c>
      <c r="D31" s="8" t="s">
        <v>314</v>
      </c>
      <c r="E31" s="8" t="s">
        <v>82</v>
      </c>
      <c r="F31" s="8" t="s">
        <v>82</v>
      </c>
      <c r="G31" s="7" t="s">
        <v>318</v>
      </c>
      <c r="H31" s="8" t="s">
        <v>84</v>
      </c>
      <c r="I31" s="7" t="s">
        <v>307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4</v>
      </c>
      <c r="S31" s="8">
        <v>3</v>
      </c>
      <c r="T31" s="9" t="str">
        <f>INDEX(Tarjetas!$A$4:$A$59,MOD(3*(VALUE(MID(A31,3,2))-1)+0,ROWS(Tarjetas!$A$4:$A$59))+1)</f>
        <v>S29</v>
      </c>
      <c r="U31" s="9" t="str">
        <f>INDEX(Tarjetas!$A$4:$A$59,MOD(3*(VALUE(MID(A31,3,2))-1)+1,ROWS(Tarjetas!$A$4:$A$59))+1)</f>
        <v>S30</v>
      </c>
      <c r="V31" s="9" t="str">
        <f>INDEX(Tarjetas!$A$4:$A$59,MOD(3*(VALUE(MID(A31,3,2))-1)+2,ROWS(Tarjetas!$A$4:$A$59))+1)</f>
        <v>S31</v>
      </c>
      <c r="W31" s="7" t="s">
        <v>418</v>
      </c>
      <c r="X31" s="8">
        <v>180</v>
      </c>
      <c r="Y31" s="8">
        <v>3</v>
      </c>
      <c r="Z31" s="8" t="s">
        <v>90</v>
      </c>
      <c r="AA31" s="8" t="s">
        <v>92</v>
      </c>
      <c r="AB31" s="8" t="s">
        <v>90</v>
      </c>
      <c r="AC31" s="7" t="s">
        <v>419</v>
      </c>
      <c r="AD31" s="8">
        <v>180</v>
      </c>
      <c r="AE31" s="8">
        <v>3</v>
      </c>
      <c r="AF31" s="8" t="s">
        <v>90</v>
      </c>
      <c r="AG31" s="8" t="s">
        <v>92</v>
      </c>
      <c r="AH31" s="8" t="s">
        <v>90</v>
      </c>
      <c r="AI31" s="7" t="s">
        <v>421</v>
      </c>
      <c r="AJ31" s="8">
        <v>180</v>
      </c>
      <c r="AK31" s="8">
        <v>3</v>
      </c>
      <c r="AL31" s="8" t="s">
        <v>90</v>
      </c>
      <c r="AM31" s="8" t="s">
        <v>92</v>
      </c>
      <c r="AN31" s="8" t="s">
        <v>90</v>
      </c>
      <c r="AO31" s="8">
        <v>2</v>
      </c>
      <c r="AP31" s="8">
        <v>3</v>
      </c>
      <c r="AQ31" s="8">
        <v>2</v>
      </c>
      <c r="AR31" s="8">
        <v>3</v>
      </c>
      <c r="AS31" s="8">
        <v>2</v>
      </c>
      <c r="AT31" s="8">
        <v>3</v>
      </c>
      <c r="AU31" s="8">
        <v>3</v>
      </c>
      <c r="AV31" s="8">
        <v>2</v>
      </c>
      <c r="AW31" s="8">
        <v>3</v>
      </c>
      <c r="AX31" s="8" t="s">
        <v>84</v>
      </c>
      <c r="AY31" s="7" t="s">
        <v>414</v>
      </c>
      <c r="AZ31" s="10" t="str">
        <f t="shared" si="0"/>
        <v>Sí</v>
      </c>
      <c r="BA31" s="11">
        <f>IF(H31="","",IFERROR(INDEX(Parametros!$B$4:$B$9,MATCH(H31,Parametros!$A$4:$A$9,0)),""))</f>
        <v>90</v>
      </c>
      <c r="BB31" s="12">
        <f t="shared" si="1"/>
        <v>3</v>
      </c>
      <c r="BC31" s="12">
        <f t="shared" si="2"/>
        <v>-87</v>
      </c>
      <c r="BD31" s="13">
        <f t="shared" si="3"/>
        <v>0.96666666666666667</v>
      </c>
      <c r="BE31" s="10">
        <f t="shared" si="4"/>
        <v>3</v>
      </c>
      <c r="BF31" s="10">
        <f t="shared" si="5"/>
        <v>3</v>
      </c>
      <c r="BG31" s="10">
        <f t="shared" si="6"/>
        <v>0</v>
      </c>
      <c r="BH31" s="10">
        <f t="shared" si="7"/>
        <v>0</v>
      </c>
      <c r="BI31" s="10">
        <f t="shared" si="8"/>
        <v>0</v>
      </c>
      <c r="BJ31" s="10">
        <f t="shared" si="9"/>
        <v>0</v>
      </c>
      <c r="BK31" s="10">
        <f t="shared" si="10"/>
        <v>20</v>
      </c>
    </row>
    <row r="32" spans="1:63" ht="63.75" x14ac:dyDescent="0.2">
      <c r="A32" s="5" t="s">
        <v>465</v>
      </c>
      <c r="B32" s="33">
        <v>46309.5</v>
      </c>
      <c r="C32" s="7" t="s">
        <v>375</v>
      </c>
      <c r="D32" s="8" t="s">
        <v>81</v>
      </c>
      <c r="E32" s="8" t="s">
        <v>82</v>
      </c>
      <c r="F32" s="8" t="s">
        <v>82</v>
      </c>
      <c r="G32" s="7" t="s">
        <v>83</v>
      </c>
      <c r="H32" s="8" t="s">
        <v>310</v>
      </c>
      <c r="I32" s="7" t="s">
        <v>85</v>
      </c>
      <c r="J32" s="8">
        <v>0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3</v>
      </c>
      <c r="Q32" s="8">
        <v>5</v>
      </c>
      <c r="R32" s="8">
        <v>4</v>
      </c>
      <c r="S32" s="8">
        <v>4</v>
      </c>
      <c r="T32" s="9" t="str">
        <f>INDEX(Tarjetas!$A$4:$A$59,MOD(3*(VALUE(MID(A32,3,2))-1)+0,ROWS(Tarjetas!$A$4:$A$59))+1)</f>
        <v>S32</v>
      </c>
      <c r="U32" s="9" t="str">
        <f>INDEX(Tarjetas!$A$4:$A$59,MOD(3*(VALUE(MID(A32,3,2))-1)+1,ROWS(Tarjetas!$A$4:$A$59))+1)</f>
        <v>S33</v>
      </c>
      <c r="V32" s="9" t="str">
        <f>INDEX(Tarjetas!$A$4:$A$59,MOD(3*(VALUE(MID(A32,3,2))-1)+2,ROWS(Tarjetas!$A$4:$A$59))+1)</f>
        <v>S34</v>
      </c>
      <c r="W32" s="7" t="s">
        <v>422</v>
      </c>
      <c r="X32" s="8">
        <v>180</v>
      </c>
      <c r="Y32" s="8">
        <v>3</v>
      </c>
      <c r="Z32" s="8" t="s">
        <v>90</v>
      </c>
      <c r="AA32" s="8" t="s">
        <v>92</v>
      </c>
      <c r="AB32" s="8" t="s">
        <v>90</v>
      </c>
      <c r="AC32" s="7" t="s">
        <v>423</v>
      </c>
      <c r="AD32" s="8">
        <v>180</v>
      </c>
      <c r="AE32" s="8">
        <v>3</v>
      </c>
      <c r="AF32" s="8" t="s">
        <v>82</v>
      </c>
      <c r="AG32" s="8" t="s">
        <v>92</v>
      </c>
      <c r="AH32" s="8" t="s">
        <v>82</v>
      </c>
      <c r="AI32" s="7" t="s">
        <v>425</v>
      </c>
      <c r="AJ32" s="8">
        <v>180</v>
      </c>
      <c r="AK32" s="8">
        <v>3</v>
      </c>
      <c r="AL32" s="8" t="s">
        <v>90</v>
      </c>
      <c r="AM32" s="8" t="s">
        <v>90</v>
      </c>
      <c r="AN32" s="8" t="s">
        <v>82</v>
      </c>
      <c r="AO32" s="8">
        <v>2</v>
      </c>
      <c r="AP32" s="8">
        <v>1</v>
      </c>
      <c r="AQ32" s="8">
        <v>3</v>
      </c>
      <c r="AR32" s="8">
        <v>3</v>
      </c>
      <c r="AS32" s="8">
        <v>3</v>
      </c>
      <c r="AT32" s="8">
        <v>4</v>
      </c>
      <c r="AU32" s="8">
        <v>2</v>
      </c>
      <c r="AV32" s="8">
        <v>4</v>
      </c>
      <c r="AW32" s="8">
        <v>2</v>
      </c>
      <c r="AX32" s="8" t="s">
        <v>310</v>
      </c>
      <c r="AY32" s="7" t="s">
        <v>405</v>
      </c>
      <c r="AZ32" s="10" t="str">
        <f t="shared" si="0"/>
        <v>Sí</v>
      </c>
      <c r="BA32" s="11">
        <f>IF(H32="","",IFERROR(INDEX(Parametros!$B$4:$B$9,MATCH(H32,Parametros!$A$4:$A$9,0)),""))</f>
        <v>45</v>
      </c>
      <c r="BB32" s="12">
        <f t="shared" si="1"/>
        <v>3</v>
      </c>
      <c r="BC32" s="12">
        <f t="shared" si="2"/>
        <v>-42</v>
      </c>
      <c r="BD32" s="13">
        <f t="shared" si="3"/>
        <v>0.93333333333333335</v>
      </c>
      <c r="BE32" s="10">
        <f t="shared" si="4"/>
        <v>4</v>
      </c>
      <c r="BF32" s="10">
        <f t="shared" si="5"/>
        <v>2</v>
      </c>
      <c r="BG32" s="10">
        <f t="shared" si="6"/>
        <v>-2</v>
      </c>
      <c r="BH32" s="10">
        <f t="shared" si="7"/>
        <v>1</v>
      </c>
      <c r="BI32" s="10">
        <f t="shared" si="8"/>
        <v>0</v>
      </c>
      <c r="BJ32" s="10">
        <f t="shared" si="9"/>
        <v>2</v>
      </c>
      <c r="BK32" s="10">
        <f t="shared" si="10"/>
        <v>22</v>
      </c>
    </row>
    <row r="33" spans="1:63" ht="63.75" x14ac:dyDescent="0.2">
      <c r="A33" s="5" t="s">
        <v>466</v>
      </c>
      <c r="B33" s="33">
        <v>46309.5</v>
      </c>
      <c r="C33" s="7" t="s">
        <v>375</v>
      </c>
      <c r="D33" s="8" t="s">
        <v>81</v>
      </c>
      <c r="E33" s="8" t="s">
        <v>82</v>
      </c>
      <c r="F33" s="8" t="s">
        <v>82</v>
      </c>
      <c r="G33" s="7" t="s">
        <v>312</v>
      </c>
      <c r="H33" s="8" t="s">
        <v>317</v>
      </c>
      <c r="I33" s="7" t="s">
        <v>85</v>
      </c>
      <c r="J33" s="8">
        <v>0</v>
      </c>
      <c r="K33" s="8">
        <v>0</v>
      </c>
      <c r="L33" s="8">
        <v>1</v>
      </c>
      <c r="M33" s="8">
        <v>0</v>
      </c>
      <c r="N33" s="8">
        <v>0</v>
      </c>
      <c r="O33" s="8">
        <v>0</v>
      </c>
      <c r="P33" s="8">
        <v>1</v>
      </c>
      <c r="Q33" s="8">
        <v>1</v>
      </c>
      <c r="R33" s="8">
        <v>3</v>
      </c>
      <c r="S33" s="8">
        <v>2</v>
      </c>
      <c r="T33" s="9" t="str">
        <f>INDEX(Tarjetas!$A$4:$A$59,MOD(3*(VALUE(MID(A33,3,2))-1)+0,ROWS(Tarjetas!$A$4:$A$59))+1)</f>
        <v>S35</v>
      </c>
      <c r="U33" s="9" t="str">
        <f>INDEX(Tarjetas!$A$4:$A$59,MOD(3*(VALUE(MID(A33,3,2))-1)+1,ROWS(Tarjetas!$A$4:$A$59))+1)</f>
        <v>S36</v>
      </c>
      <c r="V33" s="9" t="str">
        <f>INDEX(Tarjetas!$A$4:$A$59,MOD(3*(VALUE(MID(A33,3,2))-1)+2,ROWS(Tarjetas!$A$4:$A$59))+1)</f>
        <v>S37</v>
      </c>
      <c r="W33" s="7" t="s">
        <v>426</v>
      </c>
      <c r="X33" s="8">
        <v>180</v>
      </c>
      <c r="Y33" s="8">
        <v>3</v>
      </c>
      <c r="Z33" s="8" t="s">
        <v>90</v>
      </c>
      <c r="AA33" s="8" t="s">
        <v>90</v>
      </c>
      <c r="AB33" s="8" t="s">
        <v>90</v>
      </c>
      <c r="AC33" s="7" t="s">
        <v>427</v>
      </c>
      <c r="AD33" s="8">
        <v>122</v>
      </c>
      <c r="AE33" s="8">
        <v>2</v>
      </c>
      <c r="AF33" s="8" t="s">
        <v>82</v>
      </c>
      <c r="AG33" s="8" t="s">
        <v>82</v>
      </c>
      <c r="AH33" s="8" t="s">
        <v>90</v>
      </c>
      <c r="AI33" s="7" t="s">
        <v>429</v>
      </c>
      <c r="AJ33" s="8">
        <v>180</v>
      </c>
      <c r="AK33" s="8">
        <v>3</v>
      </c>
      <c r="AL33" s="8" t="s">
        <v>90</v>
      </c>
      <c r="AM33" s="8" t="s">
        <v>92</v>
      </c>
      <c r="AN33" s="8" t="s">
        <v>90</v>
      </c>
      <c r="AO33" s="8">
        <v>3</v>
      </c>
      <c r="AP33" s="8">
        <v>2</v>
      </c>
      <c r="AQ33" s="8">
        <v>4</v>
      </c>
      <c r="AR33" s="8">
        <v>2</v>
      </c>
      <c r="AS33" s="8">
        <v>3</v>
      </c>
      <c r="AT33" s="8">
        <v>2</v>
      </c>
      <c r="AU33" s="8">
        <v>3</v>
      </c>
      <c r="AV33" s="8">
        <v>2</v>
      </c>
      <c r="AW33" s="8">
        <v>2</v>
      </c>
      <c r="AX33" s="8" t="s">
        <v>317</v>
      </c>
      <c r="AY33" s="7" t="s">
        <v>94</v>
      </c>
      <c r="AZ33" s="10" t="str">
        <f t="shared" si="0"/>
        <v>Sí</v>
      </c>
      <c r="BA33" s="11">
        <f>IF(H33="","",IFERROR(INDEX(Parametros!$B$4:$B$9,MATCH(H33,Parametros!$A$4:$A$9,0)),""))</f>
        <v>180</v>
      </c>
      <c r="BB33" s="12">
        <f t="shared" si="1"/>
        <v>2.6777777777777776</v>
      </c>
      <c r="BC33" s="12">
        <f t="shared" si="2"/>
        <v>-177.32222222222222</v>
      </c>
      <c r="BD33" s="13">
        <f t="shared" si="3"/>
        <v>0.98512345679012348</v>
      </c>
      <c r="BE33" s="10">
        <f t="shared" si="4"/>
        <v>2</v>
      </c>
      <c r="BF33" s="10">
        <f t="shared" si="5"/>
        <v>2</v>
      </c>
      <c r="BG33" s="10">
        <f t="shared" si="6"/>
        <v>0</v>
      </c>
      <c r="BH33" s="10">
        <f t="shared" si="7"/>
        <v>1</v>
      </c>
      <c r="BI33" s="10">
        <f t="shared" si="8"/>
        <v>1</v>
      </c>
      <c r="BJ33" s="10">
        <f t="shared" si="9"/>
        <v>0</v>
      </c>
      <c r="BK33" s="10">
        <f t="shared" si="10"/>
        <v>21</v>
      </c>
    </row>
    <row r="34" spans="1:63" ht="76.5" x14ac:dyDescent="0.2">
      <c r="A34" s="5" t="s">
        <v>467</v>
      </c>
      <c r="B34" s="33">
        <v>46309.5</v>
      </c>
      <c r="C34" s="7" t="s">
        <v>375</v>
      </c>
      <c r="D34" s="8" t="s">
        <v>81</v>
      </c>
      <c r="E34" s="8" t="s">
        <v>82</v>
      </c>
      <c r="F34" s="8" t="s">
        <v>82</v>
      </c>
      <c r="G34" s="7" t="s">
        <v>312</v>
      </c>
      <c r="H34" s="8" t="s">
        <v>84</v>
      </c>
      <c r="I34" s="7" t="s">
        <v>316</v>
      </c>
      <c r="J34" s="8">
        <v>1</v>
      </c>
      <c r="K34" s="8">
        <v>1</v>
      </c>
      <c r="L34" s="8">
        <v>1</v>
      </c>
      <c r="M34" s="8">
        <v>0</v>
      </c>
      <c r="N34" s="8">
        <v>0</v>
      </c>
      <c r="O34" s="8">
        <v>0</v>
      </c>
      <c r="P34" s="8">
        <v>1</v>
      </c>
      <c r="Q34" s="8">
        <v>1</v>
      </c>
      <c r="R34" s="8">
        <v>2</v>
      </c>
      <c r="S34" s="8">
        <v>1</v>
      </c>
      <c r="T34" s="9" t="str">
        <f>INDEX(Tarjetas!$A$4:$A$59,MOD(3*(VALUE(MID(A34,3,2))-1)+0,ROWS(Tarjetas!$A$4:$A$59))+1)</f>
        <v>S38</v>
      </c>
      <c r="U34" s="9" t="str">
        <f>INDEX(Tarjetas!$A$4:$A$59,MOD(3*(VALUE(MID(A34,3,2))-1)+1,ROWS(Tarjetas!$A$4:$A$59))+1)</f>
        <v>S39</v>
      </c>
      <c r="V34" s="9" t="str">
        <f>INDEX(Tarjetas!$A$4:$A$59,MOD(3*(VALUE(MID(A34,3,2))-1)+2,ROWS(Tarjetas!$A$4:$A$59))+1)</f>
        <v>S40</v>
      </c>
      <c r="W34" s="7" t="s">
        <v>430</v>
      </c>
      <c r="X34" s="8">
        <v>91</v>
      </c>
      <c r="Y34" s="8">
        <v>1</v>
      </c>
      <c r="Z34" s="8" t="s">
        <v>82</v>
      </c>
      <c r="AA34" s="8" t="s">
        <v>82</v>
      </c>
      <c r="AB34" s="8" t="s">
        <v>90</v>
      </c>
      <c r="AC34" s="7" t="s">
        <v>431</v>
      </c>
      <c r="AD34" s="8">
        <v>54</v>
      </c>
      <c r="AE34" s="8">
        <v>1</v>
      </c>
      <c r="AF34" s="8" t="s">
        <v>82</v>
      </c>
      <c r="AG34" s="8" t="s">
        <v>82</v>
      </c>
      <c r="AH34" s="8" t="s">
        <v>90</v>
      </c>
      <c r="AI34" s="7" t="s">
        <v>433</v>
      </c>
      <c r="AJ34" s="8">
        <v>180</v>
      </c>
      <c r="AK34" s="8">
        <v>3</v>
      </c>
      <c r="AL34" s="8" t="s">
        <v>90</v>
      </c>
      <c r="AM34" s="8" t="s">
        <v>92</v>
      </c>
      <c r="AN34" s="8" t="s">
        <v>90</v>
      </c>
      <c r="AO34" s="8">
        <v>4</v>
      </c>
      <c r="AP34" s="8">
        <v>2</v>
      </c>
      <c r="AQ34" s="8">
        <v>4</v>
      </c>
      <c r="AR34" s="8">
        <v>5</v>
      </c>
      <c r="AS34" s="8">
        <v>2</v>
      </c>
      <c r="AT34" s="8">
        <v>4</v>
      </c>
      <c r="AU34" s="8">
        <v>4</v>
      </c>
      <c r="AV34" s="8">
        <v>2</v>
      </c>
      <c r="AW34" s="8">
        <v>4</v>
      </c>
      <c r="AX34" s="8" t="s">
        <v>84</v>
      </c>
      <c r="AY34" s="7" t="s">
        <v>414</v>
      </c>
      <c r="AZ34" s="10" t="str">
        <f t="shared" si="0"/>
        <v>Sí</v>
      </c>
      <c r="BA34" s="11">
        <f>IF(H34="","",IFERROR(INDEX(Parametros!$B$4:$B$9,MATCH(H34,Parametros!$A$4:$A$9,0)),""))</f>
        <v>90</v>
      </c>
      <c r="BB34" s="12">
        <f t="shared" si="1"/>
        <v>1.8055555555555556</v>
      </c>
      <c r="BC34" s="12">
        <f t="shared" si="2"/>
        <v>-88.194444444444443</v>
      </c>
      <c r="BD34" s="13">
        <f t="shared" si="3"/>
        <v>0.97993827160493829</v>
      </c>
      <c r="BE34" s="10">
        <f t="shared" si="4"/>
        <v>1</v>
      </c>
      <c r="BF34" s="10">
        <f t="shared" si="5"/>
        <v>4</v>
      </c>
      <c r="BG34" s="10">
        <f t="shared" si="6"/>
        <v>3</v>
      </c>
      <c r="BH34" s="10">
        <f t="shared" si="7"/>
        <v>2</v>
      </c>
      <c r="BI34" s="10">
        <f t="shared" si="8"/>
        <v>2</v>
      </c>
      <c r="BJ34" s="10">
        <f t="shared" si="9"/>
        <v>0</v>
      </c>
      <c r="BK34" s="10">
        <f t="shared" si="10"/>
        <v>27</v>
      </c>
    </row>
    <row r="35" spans="1:63" ht="76.5" x14ac:dyDescent="0.2">
      <c r="A35" s="5" t="s">
        <v>468</v>
      </c>
      <c r="B35" s="33">
        <v>46309.5</v>
      </c>
      <c r="C35" s="7" t="s">
        <v>375</v>
      </c>
      <c r="D35" s="8" t="s">
        <v>306</v>
      </c>
      <c r="E35" s="8" t="s">
        <v>82</v>
      </c>
      <c r="F35" s="8" t="s">
        <v>82</v>
      </c>
      <c r="G35" s="7" t="s">
        <v>312</v>
      </c>
      <c r="H35" s="8" t="s">
        <v>310</v>
      </c>
      <c r="I35" s="7" t="s">
        <v>85</v>
      </c>
      <c r="J35" s="8">
        <v>1</v>
      </c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3</v>
      </c>
      <c r="Q35" s="8">
        <v>3</v>
      </c>
      <c r="R35" s="8">
        <v>3</v>
      </c>
      <c r="S35" s="8">
        <v>3</v>
      </c>
      <c r="T35" s="9" t="str">
        <f>INDEX(Tarjetas!$A$4:$A$59,MOD(3*(VALUE(MID(A35,3,2))-1)+0,ROWS(Tarjetas!$A$4:$A$59))+1)</f>
        <v>S41</v>
      </c>
      <c r="U35" s="9" t="str">
        <f>INDEX(Tarjetas!$A$4:$A$59,MOD(3*(VALUE(MID(A35,3,2))-1)+1,ROWS(Tarjetas!$A$4:$A$59))+1)</f>
        <v>S42</v>
      </c>
      <c r="V35" s="9" t="str">
        <f>INDEX(Tarjetas!$A$4:$A$59,MOD(3*(VALUE(MID(A35,3,2))-1)+2,ROWS(Tarjetas!$A$4:$A$59))+1)</f>
        <v>S43</v>
      </c>
      <c r="W35" s="7" t="s">
        <v>434</v>
      </c>
      <c r="X35" s="8">
        <v>93</v>
      </c>
      <c r="Y35" s="8">
        <v>3</v>
      </c>
      <c r="Z35" s="8" t="s">
        <v>82</v>
      </c>
      <c r="AA35" s="8" t="s">
        <v>92</v>
      </c>
      <c r="AB35" s="8" t="s">
        <v>90</v>
      </c>
      <c r="AC35" s="7" t="s">
        <v>435</v>
      </c>
      <c r="AD35" s="8">
        <v>65</v>
      </c>
      <c r="AE35" s="8">
        <v>2</v>
      </c>
      <c r="AF35" s="8" t="s">
        <v>82</v>
      </c>
      <c r="AG35" s="8" t="s">
        <v>92</v>
      </c>
      <c r="AH35" s="8" t="s">
        <v>90</v>
      </c>
      <c r="AI35" s="7" t="s">
        <v>437</v>
      </c>
      <c r="AJ35" s="8">
        <v>104</v>
      </c>
      <c r="AK35" s="8">
        <v>1</v>
      </c>
      <c r="AL35" s="8" t="s">
        <v>82</v>
      </c>
      <c r="AM35" s="8" t="s">
        <v>92</v>
      </c>
      <c r="AN35" s="8" t="s">
        <v>90</v>
      </c>
      <c r="AO35" s="8">
        <v>4</v>
      </c>
      <c r="AP35" s="8">
        <v>2</v>
      </c>
      <c r="AQ35" s="8">
        <v>5</v>
      </c>
      <c r="AR35" s="8">
        <v>5</v>
      </c>
      <c r="AS35" s="8">
        <v>3</v>
      </c>
      <c r="AT35" s="8">
        <v>4</v>
      </c>
      <c r="AU35" s="8">
        <v>2</v>
      </c>
      <c r="AV35" s="8">
        <v>4</v>
      </c>
      <c r="AW35" s="8">
        <v>3</v>
      </c>
      <c r="AX35" s="8" t="s">
        <v>310</v>
      </c>
      <c r="AY35" s="7" t="s">
        <v>94</v>
      </c>
      <c r="AZ35" s="10" t="str">
        <f t="shared" ref="AZ35:AZ66" si="11">IF(COUNTA(B35,F35)=0,"",IF(AND(F35="Sí",H35&lt;&gt;"",S35&lt;&gt;"",COUNT(X35,AD35,AJ35)=3,COUNT(AO35:AV35)=8,AW35&lt;&gt;""),"Sí","No"))</f>
        <v>Sí</v>
      </c>
      <c r="BA35" s="11">
        <f>IF(H35="","",IFERROR(INDEX(Parametros!$B$4:$B$9,MATCH(H35,Parametros!$A$4:$A$9,0)),""))</f>
        <v>45</v>
      </c>
      <c r="BB35" s="12">
        <f t="shared" ref="BB35:BB66" si="12">IF(COUNT(X35,AD35,AJ35)=3,AVERAGE(X35,AD35,AJ35)/60,"")</f>
        <v>1.4555555555555555</v>
      </c>
      <c r="BC35" s="12">
        <f t="shared" ref="BC35:BC66" si="13">IF(AND(ISNUMBER(BA35),ISNUMBER(BB35)),BB35-BA35,"")</f>
        <v>-43.544444444444444</v>
      </c>
      <c r="BD35" s="13">
        <f t="shared" ref="BD35:BD66" si="14">IF(AND(ISNUMBER(BA35),ISNUMBER(BB35)),IF(BA35&gt;0,(BA35-BB35)/BA35,""),"")</f>
        <v>0.96765432098765436</v>
      </c>
      <c r="BE35" s="10">
        <f t="shared" ref="BE35:BE66" si="15">IF(S35="","",S35)</f>
        <v>3</v>
      </c>
      <c r="BF35" s="10">
        <f t="shared" ref="BF35:BF66" si="16">IF(AW35="","",AW35)</f>
        <v>3</v>
      </c>
      <c r="BG35" s="10">
        <f t="shared" ref="BG35:BG66" si="17">IF(AND(ISNUMBER(BE35),ISNUMBER(BF35)),BF35-BE35,"")</f>
        <v>0</v>
      </c>
      <c r="BH35" s="10">
        <f t="shared" ref="BH35:BH66" si="18">IF(COUNTA(Z35,AF35,AL35)=0,"",(Z35="Sí")+(AF35="Sí")+(AL35="Sí"))</f>
        <v>3</v>
      </c>
      <c r="BI35" s="10">
        <f t="shared" ref="BI35:BI66" si="19">IF(COUNTA(AA35,AG35,AM35)=0,"",(AA35="Sí")+(AG35="Sí")+(AM35="Sí"))</f>
        <v>0</v>
      </c>
      <c r="BJ35" s="10">
        <f t="shared" ref="BJ35:BJ66" si="20">IF(COUNTA(AB35,AH35,AN35)=0,"",(AB35="Sí")+(AH35="Sí")+(AN35="Sí"))</f>
        <v>0</v>
      </c>
      <c r="BK35" s="10">
        <f t="shared" ref="BK35:BK66" si="21">IF(COUNT(AO35:AV35)=8,SUM(AO35:AV35),"")</f>
        <v>29</v>
      </c>
    </row>
    <row r="36" spans="1:63" ht="76.5" x14ac:dyDescent="0.2">
      <c r="A36" s="5" t="s">
        <v>469</v>
      </c>
      <c r="B36" s="33">
        <v>46309.5</v>
      </c>
      <c r="C36" s="7" t="s">
        <v>375</v>
      </c>
      <c r="D36" s="8" t="s">
        <v>81</v>
      </c>
      <c r="E36" s="8" t="s">
        <v>82</v>
      </c>
      <c r="F36" s="8" t="s">
        <v>82</v>
      </c>
      <c r="G36" s="7" t="s">
        <v>309</v>
      </c>
      <c r="H36" s="8" t="s">
        <v>310</v>
      </c>
      <c r="I36" s="7" t="s">
        <v>307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4</v>
      </c>
      <c r="Q36" s="8">
        <v>5</v>
      </c>
      <c r="R36" s="8">
        <v>3</v>
      </c>
      <c r="S36" s="8">
        <v>3</v>
      </c>
      <c r="T36" s="9" t="str">
        <f>INDEX(Tarjetas!$A$4:$A$59,MOD(3*(VALUE(MID(A36,3,2))-1)+0,ROWS(Tarjetas!$A$4:$A$59))+1)</f>
        <v>S44</v>
      </c>
      <c r="U36" s="9" t="str">
        <f>INDEX(Tarjetas!$A$4:$A$59,MOD(3*(VALUE(MID(A36,3,2))-1)+1,ROWS(Tarjetas!$A$4:$A$59))+1)</f>
        <v>S45</v>
      </c>
      <c r="V36" s="9" t="str">
        <f>INDEX(Tarjetas!$A$4:$A$59,MOD(3*(VALUE(MID(A36,3,2))-1)+2,ROWS(Tarjetas!$A$4:$A$59))+1)</f>
        <v>S46</v>
      </c>
      <c r="W36" s="7" t="s">
        <v>438</v>
      </c>
      <c r="X36" s="8">
        <v>21</v>
      </c>
      <c r="Y36" s="8">
        <v>1</v>
      </c>
      <c r="Z36" s="8" t="s">
        <v>82</v>
      </c>
      <c r="AA36" s="8" t="s">
        <v>82</v>
      </c>
      <c r="AB36" s="8" t="s">
        <v>90</v>
      </c>
      <c r="AC36" s="7" t="s">
        <v>439</v>
      </c>
      <c r="AD36" s="8">
        <v>54</v>
      </c>
      <c r="AE36" s="8">
        <v>2</v>
      </c>
      <c r="AF36" s="8" t="s">
        <v>82</v>
      </c>
      <c r="AG36" s="8" t="s">
        <v>82</v>
      </c>
      <c r="AH36" s="8" t="s">
        <v>90</v>
      </c>
      <c r="AI36" s="7" t="s">
        <v>441</v>
      </c>
      <c r="AJ36" s="8">
        <v>42</v>
      </c>
      <c r="AK36" s="8">
        <v>3</v>
      </c>
      <c r="AL36" s="8" t="s">
        <v>82</v>
      </c>
      <c r="AM36" s="8" t="s">
        <v>82</v>
      </c>
      <c r="AN36" s="8" t="s">
        <v>90</v>
      </c>
      <c r="AO36" s="8">
        <v>4</v>
      </c>
      <c r="AP36" s="8">
        <v>5</v>
      </c>
      <c r="AQ36" s="8">
        <v>2</v>
      </c>
      <c r="AR36" s="8">
        <v>3</v>
      </c>
      <c r="AS36" s="8">
        <v>4</v>
      </c>
      <c r="AT36" s="8">
        <v>3</v>
      </c>
      <c r="AU36" s="8">
        <v>5</v>
      </c>
      <c r="AV36" s="8">
        <v>4</v>
      </c>
      <c r="AW36" s="8">
        <v>4</v>
      </c>
      <c r="AX36" s="8" t="s">
        <v>310</v>
      </c>
      <c r="AY36" s="7" t="s">
        <v>94</v>
      </c>
      <c r="AZ36" s="10" t="str">
        <f t="shared" si="11"/>
        <v>Sí</v>
      </c>
      <c r="BA36" s="11">
        <f>IF(H36="","",IFERROR(INDEX(Parametros!$B$4:$B$9,MATCH(H36,Parametros!$A$4:$A$9,0)),""))</f>
        <v>45</v>
      </c>
      <c r="BB36" s="12">
        <f t="shared" si="12"/>
        <v>0.65</v>
      </c>
      <c r="BC36" s="12">
        <f t="shared" si="13"/>
        <v>-44.35</v>
      </c>
      <c r="BD36" s="13">
        <f t="shared" si="14"/>
        <v>0.98555555555555563</v>
      </c>
      <c r="BE36" s="10">
        <f t="shared" si="15"/>
        <v>3</v>
      </c>
      <c r="BF36" s="10">
        <f t="shared" si="16"/>
        <v>4</v>
      </c>
      <c r="BG36" s="10">
        <f t="shared" si="17"/>
        <v>1</v>
      </c>
      <c r="BH36" s="10">
        <f t="shared" si="18"/>
        <v>3</v>
      </c>
      <c r="BI36" s="10">
        <f t="shared" si="19"/>
        <v>3</v>
      </c>
      <c r="BJ36" s="10">
        <f t="shared" si="20"/>
        <v>0</v>
      </c>
      <c r="BK36" s="10">
        <f t="shared" si="21"/>
        <v>30</v>
      </c>
    </row>
    <row r="37" spans="1:63" ht="63.75" x14ac:dyDescent="0.2">
      <c r="A37" s="5" t="s">
        <v>470</v>
      </c>
      <c r="B37" s="33">
        <v>46309.5</v>
      </c>
      <c r="C37" s="7" t="s">
        <v>375</v>
      </c>
      <c r="D37" s="8" t="s">
        <v>314</v>
      </c>
      <c r="E37" s="8" t="s">
        <v>82</v>
      </c>
      <c r="F37" s="8" t="s">
        <v>82</v>
      </c>
      <c r="G37" s="7" t="s">
        <v>83</v>
      </c>
      <c r="H37" s="8" t="s">
        <v>308</v>
      </c>
      <c r="I37" s="7" t="s">
        <v>316</v>
      </c>
      <c r="J37" s="8">
        <v>1</v>
      </c>
      <c r="K37" s="8">
        <v>0</v>
      </c>
      <c r="L37" s="8">
        <v>0</v>
      </c>
      <c r="M37" s="8">
        <v>1</v>
      </c>
      <c r="N37" s="8">
        <v>0</v>
      </c>
      <c r="O37" s="8">
        <v>0</v>
      </c>
      <c r="P37" s="8">
        <v>3</v>
      </c>
      <c r="Q37" s="8">
        <v>2</v>
      </c>
      <c r="R37" s="8">
        <v>1</v>
      </c>
      <c r="S37" s="8">
        <v>1</v>
      </c>
      <c r="T37" s="9" t="str">
        <f>INDEX(Tarjetas!$A$4:$A$59,MOD(3*(VALUE(MID(A37,3,2))-1)+0,ROWS(Tarjetas!$A$4:$A$59))+1)</f>
        <v>S47</v>
      </c>
      <c r="U37" s="9" t="str">
        <f>INDEX(Tarjetas!$A$4:$A$59,MOD(3*(VALUE(MID(A37,3,2))-1)+1,ROWS(Tarjetas!$A$4:$A$59))+1)</f>
        <v>S48</v>
      </c>
      <c r="V37" s="9" t="str">
        <f>INDEX(Tarjetas!$A$4:$A$59,MOD(3*(VALUE(MID(A37,3,2))-1)+2,ROWS(Tarjetas!$A$4:$A$59))+1)</f>
        <v>S49</v>
      </c>
      <c r="W37" s="7" t="s">
        <v>442</v>
      </c>
      <c r="X37" s="8">
        <v>79</v>
      </c>
      <c r="Y37" s="8">
        <v>3</v>
      </c>
      <c r="Z37" s="8" t="s">
        <v>82</v>
      </c>
      <c r="AA37" s="8" t="s">
        <v>82</v>
      </c>
      <c r="AB37" s="8" t="s">
        <v>90</v>
      </c>
      <c r="AC37" s="7" t="s">
        <v>443</v>
      </c>
      <c r="AD37" s="8">
        <v>180</v>
      </c>
      <c r="AE37" s="8">
        <v>3</v>
      </c>
      <c r="AF37" s="8" t="s">
        <v>90</v>
      </c>
      <c r="AG37" s="8" t="s">
        <v>90</v>
      </c>
      <c r="AH37" s="8" t="s">
        <v>82</v>
      </c>
      <c r="AI37" s="7" t="s">
        <v>445</v>
      </c>
      <c r="AJ37" s="8">
        <v>180</v>
      </c>
      <c r="AK37" s="8">
        <v>3</v>
      </c>
      <c r="AL37" s="8" t="s">
        <v>90</v>
      </c>
      <c r="AM37" s="8" t="s">
        <v>92</v>
      </c>
      <c r="AN37" s="8" t="s">
        <v>82</v>
      </c>
      <c r="AO37" s="8">
        <v>4</v>
      </c>
      <c r="AP37" s="8">
        <v>4</v>
      </c>
      <c r="AQ37" s="8">
        <v>2</v>
      </c>
      <c r="AR37" s="8">
        <v>4</v>
      </c>
      <c r="AS37" s="8">
        <v>2</v>
      </c>
      <c r="AT37" s="8">
        <v>3</v>
      </c>
      <c r="AU37" s="8">
        <v>2</v>
      </c>
      <c r="AV37" s="8">
        <v>3</v>
      </c>
      <c r="AW37" s="8">
        <v>3</v>
      </c>
      <c r="AX37" s="8" t="s">
        <v>308</v>
      </c>
      <c r="AY37" s="7" t="s">
        <v>94</v>
      </c>
      <c r="AZ37" s="10" t="str">
        <f t="shared" si="11"/>
        <v>Sí</v>
      </c>
      <c r="BA37" s="11">
        <f>IF(H37="","",IFERROR(INDEX(Parametros!$B$4:$B$9,MATCH(H37,Parametros!$A$4:$A$9,0)),""))</f>
        <v>22.5</v>
      </c>
      <c r="BB37" s="12">
        <f t="shared" si="12"/>
        <v>2.4388888888888891</v>
      </c>
      <c r="BC37" s="12">
        <f t="shared" si="13"/>
        <v>-20.06111111111111</v>
      </c>
      <c r="BD37" s="13">
        <f t="shared" si="14"/>
        <v>0.89160493827160492</v>
      </c>
      <c r="BE37" s="10">
        <f t="shared" si="15"/>
        <v>1</v>
      </c>
      <c r="BF37" s="10">
        <f t="shared" si="16"/>
        <v>3</v>
      </c>
      <c r="BG37" s="10">
        <f t="shared" si="17"/>
        <v>2</v>
      </c>
      <c r="BH37" s="10">
        <f t="shared" si="18"/>
        <v>1</v>
      </c>
      <c r="BI37" s="10">
        <f t="shared" si="19"/>
        <v>1</v>
      </c>
      <c r="BJ37" s="10">
        <f t="shared" si="20"/>
        <v>2</v>
      </c>
      <c r="BK37" s="10">
        <f t="shared" si="21"/>
        <v>24</v>
      </c>
    </row>
    <row r="38" spans="1:63" ht="89.25" x14ac:dyDescent="0.2">
      <c r="A38" s="5" t="s">
        <v>471</v>
      </c>
      <c r="B38" s="33">
        <v>46309.5</v>
      </c>
      <c r="C38" s="7" t="s">
        <v>375</v>
      </c>
      <c r="D38" s="8" t="s">
        <v>306</v>
      </c>
      <c r="E38" s="8" t="s">
        <v>82</v>
      </c>
      <c r="F38" s="8" t="s">
        <v>82</v>
      </c>
      <c r="G38" s="7" t="s">
        <v>323</v>
      </c>
      <c r="H38" s="8" t="s">
        <v>305</v>
      </c>
      <c r="I38" s="7" t="s">
        <v>85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5</v>
      </c>
      <c r="Q38" s="8">
        <v>5</v>
      </c>
      <c r="R38" s="8">
        <v>3</v>
      </c>
      <c r="S38" s="8">
        <v>4</v>
      </c>
      <c r="T38" s="9" t="str">
        <f>INDEX(Tarjetas!$A$4:$A$59,MOD(3*(VALUE(MID(A38,3,2))-1)+0,ROWS(Tarjetas!$A$4:$A$59))+1)</f>
        <v>S50</v>
      </c>
      <c r="U38" s="9" t="str">
        <f>INDEX(Tarjetas!$A$4:$A$59,MOD(3*(VALUE(MID(A38,3,2))-1)+1,ROWS(Tarjetas!$A$4:$A$59))+1)</f>
        <v>S51</v>
      </c>
      <c r="V38" s="9" t="str">
        <f>INDEX(Tarjetas!$A$4:$A$59,MOD(3*(VALUE(MID(A38,3,2))-1)+2,ROWS(Tarjetas!$A$4:$A$59))+1)</f>
        <v>S52</v>
      </c>
      <c r="W38" s="7" t="s">
        <v>446</v>
      </c>
      <c r="X38" s="8">
        <v>180</v>
      </c>
      <c r="Y38" s="8">
        <v>3</v>
      </c>
      <c r="Z38" s="8" t="s">
        <v>90</v>
      </c>
      <c r="AA38" s="8" t="s">
        <v>92</v>
      </c>
      <c r="AB38" s="8" t="s">
        <v>90</v>
      </c>
      <c r="AC38" s="7" t="s">
        <v>447</v>
      </c>
      <c r="AD38" s="8">
        <v>180</v>
      </c>
      <c r="AE38" s="8">
        <v>3</v>
      </c>
      <c r="AF38" s="8" t="s">
        <v>82</v>
      </c>
      <c r="AG38" s="8" t="s">
        <v>92</v>
      </c>
      <c r="AH38" s="8" t="s">
        <v>82</v>
      </c>
      <c r="AI38" s="7" t="s">
        <v>449</v>
      </c>
      <c r="AJ38" s="8">
        <v>180</v>
      </c>
      <c r="AK38" s="8">
        <v>3</v>
      </c>
      <c r="AL38" s="8" t="s">
        <v>82</v>
      </c>
      <c r="AM38" s="8" t="s">
        <v>82</v>
      </c>
      <c r="AN38" s="8" t="s">
        <v>82</v>
      </c>
      <c r="AO38" s="8">
        <v>3</v>
      </c>
      <c r="AP38" s="8">
        <v>3</v>
      </c>
      <c r="AQ38" s="8">
        <v>2</v>
      </c>
      <c r="AR38" s="8">
        <v>2</v>
      </c>
      <c r="AS38" s="8">
        <v>2</v>
      </c>
      <c r="AT38" s="8">
        <v>2</v>
      </c>
      <c r="AU38" s="8">
        <v>3</v>
      </c>
      <c r="AV38" s="8">
        <v>3</v>
      </c>
      <c r="AW38" s="8">
        <v>2</v>
      </c>
      <c r="AX38" s="8" t="s">
        <v>305</v>
      </c>
      <c r="AY38" s="7" t="s">
        <v>94</v>
      </c>
      <c r="AZ38" s="10" t="str">
        <f t="shared" si="11"/>
        <v>Sí</v>
      </c>
      <c r="BA38" s="11">
        <f>IF(H38="","",IFERROR(INDEX(Parametros!$B$4:$B$9,MATCH(H38,Parametros!$A$4:$A$9,0)),""))</f>
        <v>7.5</v>
      </c>
      <c r="BB38" s="12">
        <f t="shared" si="12"/>
        <v>3</v>
      </c>
      <c r="BC38" s="12">
        <f t="shared" si="13"/>
        <v>-4.5</v>
      </c>
      <c r="BD38" s="13">
        <f t="shared" si="14"/>
        <v>0.6</v>
      </c>
      <c r="BE38" s="10">
        <f t="shared" si="15"/>
        <v>4</v>
      </c>
      <c r="BF38" s="10">
        <f t="shared" si="16"/>
        <v>2</v>
      </c>
      <c r="BG38" s="10">
        <f t="shared" si="17"/>
        <v>-2</v>
      </c>
      <c r="BH38" s="10">
        <f t="shared" si="18"/>
        <v>2</v>
      </c>
      <c r="BI38" s="10">
        <f t="shared" si="19"/>
        <v>1</v>
      </c>
      <c r="BJ38" s="10">
        <f t="shared" si="20"/>
        <v>2</v>
      </c>
      <c r="BK38" s="10">
        <f t="shared" si="21"/>
        <v>20</v>
      </c>
    </row>
    <row r="39" spans="1:63" ht="63.75" x14ac:dyDescent="0.2">
      <c r="A39" s="5" t="s">
        <v>472</v>
      </c>
      <c r="B39" s="33">
        <v>46310.5</v>
      </c>
      <c r="C39" s="7" t="s">
        <v>375</v>
      </c>
      <c r="D39" s="8" t="s">
        <v>306</v>
      </c>
      <c r="E39" s="8" t="s">
        <v>82</v>
      </c>
      <c r="F39" s="8" t="s">
        <v>82</v>
      </c>
      <c r="G39" s="7" t="s">
        <v>312</v>
      </c>
      <c r="H39" s="8" t="s">
        <v>317</v>
      </c>
      <c r="I39" s="7" t="s">
        <v>307</v>
      </c>
      <c r="J39" s="8">
        <v>0</v>
      </c>
      <c r="K39" s="8">
        <v>1</v>
      </c>
      <c r="L39" s="8">
        <v>1</v>
      </c>
      <c r="M39" s="8">
        <v>0</v>
      </c>
      <c r="N39" s="8">
        <v>0</v>
      </c>
      <c r="O39" s="8">
        <v>0</v>
      </c>
      <c r="P39" s="8">
        <v>1</v>
      </c>
      <c r="Q39" s="8">
        <v>3</v>
      </c>
      <c r="R39" s="8">
        <v>3</v>
      </c>
      <c r="S39" s="8">
        <v>1</v>
      </c>
      <c r="T39" s="9" t="str">
        <f>INDEX(Tarjetas!$A$4:$A$59,MOD(3*(VALUE(MID(A39,3,2))-1)+0,ROWS(Tarjetas!$A$4:$A$59))+1)</f>
        <v>S53</v>
      </c>
      <c r="U39" s="9" t="str">
        <f>INDEX(Tarjetas!$A$4:$A$59,MOD(3*(VALUE(MID(A39,3,2))-1)+1,ROWS(Tarjetas!$A$4:$A$59))+1)</f>
        <v>S54</v>
      </c>
      <c r="V39" s="9" t="str">
        <f>INDEX(Tarjetas!$A$4:$A$59,MOD(3*(VALUE(MID(A39,3,2))-1)+2,ROWS(Tarjetas!$A$4:$A$59))+1)</f>
        <v>S55</v>
      </c>
      <c r="W39" s="7" t="s">
        <v>450</v>
      </c>
      <c r="X39" s="8">
        <v>93</v>
      </c>
      <c r="Y39" s="8">
        <v>3</v>
      </c>
      <c r="Z39" s="8" t="s">
        <v>82</v>
      </c>
      <c r="AA39" s="8" t="s">
        <v>82</v>
      </c>
      <c r="AB39" s="8" t="s">
        <v>90</v>
      </c>
      <c r="AC39" s="7" t="s">
        <v>451</v>
      </c>
      <c r="AD39" s="8">
        <v>126</v>
      </c>
      <c r="AE39" s="8">
        <v>1</v>
      </c>
      <c r="AF39" s="8" t="s">
        <v>82</v>
      </c>
      <c r="AG39" s="8" t="s">
        <v>82</v>
      </c>
      <c r="AH39" s="8" t="s">
        <v>90</v>
      </c>
      <c r="AI39" s="7" t="s">
        <v>453</v>
      </c>
      <c r="AJ39" s="8">
        <v>180</v>
      </c>
      <c r="AK39" s="8">
        <v>3</v>
      </c>
      <c r="AL39" s="8" t="s">
        <v>90</v>
      </c>
      <c r="AM39" s="8" t="s">
        <v>92</v>
      </c>
      <c r="AN39" s="8" t="s">
        <v>82</v>
      </c>
      <c r="AO39" s="8">
        <v>3</v>
      </c>
      <c r="AP39" s="8">
        <v>3</v>
      </c>
      <c r="AQ39" s="8">
        <v>2</v>
      </c>
      <c r="AR39" s="8">
        <v>2</v>
      </c>
      <c r="AS39" s="8">
        <v>2</v>
      </c>
      <c r="AT39" s="8">
        <v>5</v>
      </c>
      <c r="AU39" s="8">
        <v>3</v>
      </c>
      <c r="AV39" s="8">
        <v>3</v>
      </c>
      <c r="AW39" s="8">
        <v>3</v>
      </c>
      <c r="AX39" s="8" t="s">
        <v>317</v>
      </c>
      <c r="AY39" s="7" t="s">
        <v>94</v>
      </c>
      <c r="AZ39" s="10" t="str">
        <f t="shared" si="11"/>
        <v>Sí</v>
      </c>
      <c r="BA39" s="11">
        <f>IF(H39="","",IFERROR(INDEX(Parametros!$B$4:$B$9,MATCH(H39,Parametros!$A$4:$A$9,0)),""))</f>
        <v>180</v>
      </c>
      <c r="BB39" s="12">
        <f t="shared" si="12"/>
        <v>2.2166666666666668</v>
      </c>
      <c r="BC39" s="12">
        <f t="shared" si="13"/>
        <v>-177.78333333333333</v>
      </c>
      <c r="BD39" s="13">
        <f t="shared" si="14"/>
        <v>0.98768518518518522</v>
      </c>
      <c r="BE39" s="10">
        <f t="shared" si="15"/>
        <v>1</v>
      </c>
      <c r="BF39" s="10">
        <f t="shared" si="16"/>
        <v>3</v>
      </c>
      <c r="BG39" s="10">
        <f t="shared" si="17"/>
        <v>2</v>
      </c>
      <c r="BH39" s="10">
        <f t="shared" si="18"/>
        <v>2</v>
      </c>
      <c r="BI39" s="10">
        <f t="shared" si="19"/>
        <v>2</v>
      </c>
      <c r="BJ39" s="10">
        <f t="shared" si="20"/>
        <v>1</v>
      </c>
      <c r="BK39" s="10">
        <f t="shared" si="21"/>
        <v>23</v>
      </c>
    </row>
    <row r="40" spans="1:63" ht="76.5" x14ac:dyDescent="0.2">
      <c r="A40" s="5" t="s">
        <v>473</v>
      </c>
      <c r="B40" s="33">
        <v>46310.5</v>
      </c>
      <c r="C40" s="7" t="s">
        <v>375</v>
      </c>
      <c r="D40" s="8" t="s">
        <v>81</v>
      </c>
      <c r="E40" s="8" t="s">
        <v>82</v>
      </c>
      <c r="F40" s="8" t="s">
        <v>82</v>
      </c>
      <c r="G40" s="7" t="s">
        <v>320</v>
      </c>
      <c r="H40" s="8" t="s">
        <v>317</v>
      </c>
      <c r="I40" s="7" t="s">
        <v>316</v>
      </c>
      <c r="J40" s="8">
        <v>1</v>
      </c>
      <c r="K40" s="8">
        <v>0</v>
      </c>
      <c r="L40" s="8">
        <v>1</v>
      </c>
      <c r="M40" s="8">
        <v>1</v>
      </c>
      <c r="N40" s="8">
        <v>0</v>
      </c>
      <c r="O40" s="8">
        <v>0</v>
      </c>
      <c r="P40" s="8">
        <v>1</v>
      </c>
      <c r="Q40" s="8">
        <v>1</v>
      </c>
      <c r="R40" s="8">
        <v>2</v>
      </c>
      <c r="S40" s="8">
        <v>1</v>
      </c>
      <c r="T40" s="9" t="str">
        <f>INDEX(Tarjetas!$A$4:$A$59,MOD(3*(VALUE(MID(A40,3,2))-1)+0,ROWS(Tarjetas!$A$4:$A$59))+1)</f>
        <v>S56</v>
      </c>
      <c r="U40" s="9" t="str">
        <f>INDEX(Tarjetas!$A$4:$A$59,MOD(3*(VALUE(MID(A40,3,2))-1)+1,ROWS(Tarjetas!$A$4:$A$59))+1)</f>
        <v>S01</v>
      </c>
      <c r="V40" s="9" t="str">
        <f>INDEX(Tarjetas!$A$4:$A$59,MOD(3*(VALUE(MID(A40,3,2))-1)+2,ROWS(Tarjetas!$A$4:$A$59))+1)</f>
        <v>S02</v>
      </c>
      <c r="W40" s="7" t="s">
        <v>454</v>
      </c>
      <c r="X40" s="8">
        <v>180</v>
      </c>
      <c r="Y40" s="8">
        <v>3</v>
      </c>
      <c r="Z40" s="8" t="s">
        <v>90</v>
      </c>
      <c r="AA40" s="8" t="s">
        <v>90</v>
      </c>
      <c r="AB40" s="8" t="s">
        <v>82</v>
      </c>
      <c r="AC40" s="7" t="s">
        <v>376</v>
      </c>
      <c r="AD40" s="8">
        <v>83</v>
      </c>
      <c r="AE40" s="8">
        <v>2</v>
      </c>
      <c r="AF40" s="8" t="s">
        <v>82</v>
      </c>
      <c r="AG40" s="8" t="s">
        <v>82</v>
      </c>
      <c r="AH40" s="8" t="s">
        <v>90</v>
      </c>
      <c r="AI40" s="7" t="s">
        <v>377</v>
      </c>
      <c r="AJ40" s="8">
        <v>44</v>
      </c>
      <c r="AK40" s="8">
        <v>3</v>
      </c>
      <c r="AL40" s="8" t="s">
        <v>82</v>
      </c>
      <c r="AM40" s="8" t="s">
        <v>82</v>
      </c>
      <c r="AN40" s="8" t="s">
        <v>90</v>
      </c>
      <c r="AO40" s="8">
        <v>2</v>
      </c>
      <c r="AP40" s="8">
        <v>3</v>
      </c>
      <c r="AQ40" s="8">
        <v>2</v>
      </c>
      <c r="AR40" s="8">
        <v>4</v>
      </c>
      <c r="AS40" s="8">
        <v>2</v>
      </c>
      <c r="AT40" s="8">
        <v>4</v>
      </c>
      <c r="AU40" s="8">
        <v>3</v>
      </c>
      <c r="AV40" s="8">
        <v>3</v>
      </c>
      <c r="AW40" s="8">
        <v>3</v>
      </c>
      <c r="AX40" s="8" t="s">
        <v>317</v>
      </c>
      <c r="AY40" s="7" t="s">
        <v>414</v>
      </c>
      <c r="AZ40" s="10" t="str">
        <f t="shared" si="11"/>
        <v>Sí</v>
      </c>
      <c r="BA40" s="11">
        <f>IF(H40="","",IFERROR(INDEX(Parametros!$B$4:$B$9,MATCH(H40,Parametros!$A$4:$A$9,0)),""))</f>
        <v>180</v>
      </c>
      <c r="BB40" s="12">
        <f t="shared" si="12"/>
        <v>1.7055555555555555</v>
      </c>
      <c r="BC40" s="12">
        <f t="shared" si="13"/>
        <v>-178.29444444444445</v>
      </c>
      <c r="BD40" s="13">
        <f t="shared" si="14"/>
        <v>0.99052469135802468</v>
      </c>
      <c r="BE40" s="10">
        <f t="shared" si="15"/>
        <v>1</v>
      </c>
      <c r="BF40" s="10">
        <f t="shared" si="16"/>
        <v>3</v>
      </c>
      <c r="BG40" s="10">
        <f t="shared" si="17"/>
        <v>2</v>
      </c>
      <c r="BH40" s="10">
        <f t="shared" si="18"/>
        <v>2</v>
      </c>
      <c r="BI40" s="10">
        <f t="shared" si="19"/>
        <v>2</v>
      </c>
      <c r="BJ40" s="10">
        <f t="shared" si="20"/>
        <v>1</v>
      </c>
      <c r="BK40" s="10">
        <f t="shared" si="21"/>
        <v>23</v>
      </c>
    </row>
    <row r="41" spans="1:63" ht="89.25" x14ac:dyDescent="0.2">
      <c r="A41" s="5" t="s">
        <v>474</v>
      </c>
      <c r="B41" s="33">
        <v>46310.5</v>
      </c>
      <c r="C41" s="7" t="s">
        <v>375</v>
      </c>
      <c r="D41" s="8" t="s">
        <v>81</v>
      </c>
      <c r="E41" s="8" t="s">
        <v>82</v>
      </c>
      <c r="F41" s="8" t="s">
        <v>82</v>
      </c>
      <c r="G41" s="7" t="s">
        <v>320</v>
      </c>
      <c r="H41" s="8" t="s">
        <v>317</v>
      </c>
      <c r="I41" s="7" t="s">
        <v>307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2</v>
      </c>
      <c r="Q41" s="8">
        <v>2</v>
      </c>
      <c r="R41" s="8">
        <v>5</v>
      </c>
      <c r="S41" s="8">
        <v>4</v>
      </c>
      <c r="T41" s="9" t="str">
        <f>INDEX(Tarjetas!$A$4:$A$59,MOD(3*(VALUE(MID(A41,3,2))-1)+0,ROWS(Tarjetas!$A$4:$A$59))+1)</f>
        <v>S03</v>
      </c>
      <c r="U41" s="9" t="str">
        <f>INDEX(Tarjetas!$A$4:$A$59,MOD(3*(VALUE(MID(A41,3,2))-1)+1,ROWS(Tarjetas!$A$4:$A$59))+1)</f>
        <v>S04</v>
      </c>
      <c r="V41" s="9" t="str">
        <f>INDEX(Tarjetas!$A$4:$A$59,MOD(3*(VALUE(MID(A41,3,2))-1)+2,ROWS(Tarjetas!$A$4:$A$59))+1)</f>
        <v>S05</v>
      </c>
      <c r="W41" s="7" t="s">
        <v>378</v>
      </c>
      <c r="X41" s="8">
        <v>28</v>
      </c>
      <c r="Y41" s="8">
        <v>1</v>
      </c>
      <c r="Z41" s="8" t="s">
        <v>82</v>
      </c>
      <c r="AA41" s="8" t="s">
        <v>92</v>
      </c>
      <c r="AB41" s="8" t="s">
        <v>90</v>
      </c>
      <c r="AC41" s="7" t="s">
        <v>380</v>
      </c>
      <c r="AD41" s="8">
        <v>22</v>
      </c>
      <c r="AE41" s="8">
        <v>1</v>
      </c>
      <c r="AF41" s="8" t="s">
        <v>82</v>
      </c>
      <c r="AG41" s="8" t="s">
        <v>82</v>
      </c>
      <c r="AH41" s="8" t="s">
        <v>90</v>
      </c>
      <c r="AI41" s="7" t="s">
        <v>381</v>
      </c>
      <c r="AJ41" s="8">
        <v>33</v>
      </c>
      <c r="AK41" s="8">
        <v>2</v>
      </c>
      <c r="AL41" s="8" t="s">
        <v>82</v>
      </c>
      <c r="AM41" s="8" t="s">
        <v>82</v>
      </c>
      <c r="AN41" s="8" t="s">
        <v>90</v>
      </c>
      <c r="AO41" s="8">
        <v>3</v>
      </c>
      <c r="AP41" s="8">
        <v>3</v>
      </c>
      <c r="AQ41" s="8">
        <v>4</v>
      </c>
      <c r="AR41" s="8">
        <v>5</v>
      </c>
      <c r="AS41" s="8">
        <v>4</v>
      </c>
      <c r="AT41" s="8">
        <v>5</v>
      </c>
      <c r="AU41" s="8">
        <v>3</v>
      </c>
      <c r="AV41" s="8">
        <v>5</v>
      </c>
      <c r="AW41" s="8">
        <v>4</v>
      </c>
      <c r="AX41" s="8" t="s">
        <v>317</v>
      </c>
      <c r="AY41" s="7" t="s">
        <v>94</v>
      </c>
      <c r="AZ41" s="10" t="str">
        <f t="shared" si="11"/>
        <v>Sí</v>
      </c>
      <c r="BA41" s="11">
        <f>IF(H41="","",IFERROR(INDEX(Parametros!$B$4:$B$9,MATCH(H41,Parametros!$A$4:$A$9,0)),""))</f>
        <v>180</v>
      </c>
      <c r="BB41" s="12">
        <f t="shared" si="12"/>
        <v>0.46111111111111114</v>
      </c>
      <c r="BC41" s="12">
        <f t="shared" si="13"/>
        <v>-179.53888888888889</v>
      </c>
      <c r="BD41" s="13">
        <f t="shared" si="14"/>
        <v>0.99743827160493825</v>
      </c>
      <c r="BE41" s="10">
        <f t="shared" si="15"/>
        <v>4</v>
      </c>
      <c r="BF41" s="10">
        <f t="shared" si="16"/>
        <v>4</v>
      </c>
      <c r="BG41" s="10">
        <f t="shared" si="17"/>
        <v>0</v>
      </c>
      <c r="BH41" s="10">
        <f t="shared" si="18"/>
        <v>3</v>
      </c>
      <c r="BI41" s="10">
        <f t="shared" si="19"/>
        <v>2</v>
      </c>
      <c r="BJ41" s="10">
        <f t="shared" si="20"/>
        <v>0</v>
      </c>
      <c r="BK41" s="10">
        <f t="shared" si="21"/>
        <v>32</v>
      </c>
    </row>
    <row r="42" spans="1:63" ht="76.5" x14ac:dyDescent="0.2">
      <c r="A42" s="5" t="s">
        <v>475</v>
      </c>
      <c r="B42" s="33">
        <v>46310.5</v>
      </c>
      <c r="C42" s="7" t="s">
        <v>375</v>
      </c>
      <c r="D42" s="8" t="s">
        <v>306</v>
      </c>
      <c r="E42" s="8" t="s">
        <v>82</v>
      </c>
      <c r="F42" s="8" t="s">
        <v>82</v>
      </c>
      <c r="G42" s="7" t="s">
        <v>323</v>
      </c>
      <c r="H42" s="8" t="s">
        <v>305</v>
      </c>
      <c r="I42" s="7" t="s">
        <v>85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4</v>
      </c>
      <c r="Q42" s="8">
        <v>3</v>
      </c>
      <c r="R42" s="8">
        <v>3</v>
      </c>
      <c r="S42" s="8">
        <v>3</v>
      </c>
      <c r="T42" s="9" t="str">
        <f>INDEX(Tarjetas!$A$4:$A$59,MOD(3*(VALUE(MID(A42,3,2))-1)+0,ROWS(Tarjetas!$A$4:$A$59))+1)</f>
        <v>S06</v>
      </c>
      <c r="U42" s="9" t="str">
        <f>INDEX(Tarjetas!$A$4:$A$59,MOD(3*(VALUE(MID(A42,3,2))-1)+1,ROWS(Tarjetas!$A$4:$A$59))+1)</f>
        <v>S07</v>
      </c>
      <c r="V42" s="9" t="str">
        <f>INDEX(Tarjetas!$A$4:$A$59,MOD(3*(VALUE(MID(A42,3,2))-1)+2,ROWS(Tarjetas!$A$4:$A$59))+1)</f>
        <v>S08</v>
      </c>
      <c r="W42" s="7" t="s">
        <v>382</v>
      </c>
      <c r="X42" s="8">
        <v>22</v>
      </c>
      <c r="Y42" s="8">
        <v>1</v>
      </c>
      <c r="Z42" s="8" t="s">
        <v>82</v>
      </c>
      <c r="AA42" s="8" t="s">
        <v>82</v>
      </c>
      <c r="AB42" s="8" t="s">
        <v>90</v>
      </c>
      <c r="AC42" s="7" t="s">
        <v>385</v>
      </c>
      <c r="AD42" s="8">
        <v>127</v>
      </c>
      <c r="AE42" s="8">
        <v>2</v>
      </c>
      <c r="AF42" s="8" t="s">
        <v>82</v>
      </c>
      <c r="AG42" s="8" t="s">
        <v>82</v>
      </c>
      <c r="AH42" s="8" t="s">
        <v>90</v>
      </c>
      <c r="AI42" s="7" t="s">
        <v>386</v>
      </c>
      <c r="AJ42" s="8">
        <v>180</v>
      </c>
      <c r="AK42" s="8">
        <v>3</v>
      </c>
      <c r="AL42" s="8" t="s">
        <v>90</v>
      </c>
      <c r="AM42" s="8" t="s">
        <v>92</v>
      </c>
      <c r="AN42" s="8" t="s">
        <v>90</v>
      </c>
      <c r="AO42" s="8">
        <v>4</v>
      </c>
      <c r="AP42" s="8">
        <v>3</v>
      </c>
      <c r="AQ42" s="8">
        <v>4</v>
      </c>
      <c r="AR42" s="8">
        <v>3</v>
      </c>
      <c r="AS42" s="8">
        <v>2</v>
      </c>
      <c r="AT42" s="8">
        <v>2</v>
      </c>
      <c r="AU42" s="8">
        <v>3</v>
      </c>
      <c r="AV42" s="8">
        <v>4</v>
      </c>
      <c r="AW42" s="8">
        <v>4</v>
      </c>
      <c r="AX42" s="8" t="s">
        <v>305</v>
      </c>
      <c r="AY42" s="7" t="s">
        <v>94</v>
      </c>
      <c r="AZ42" s="10" t="str">
        <f t="shared" si="11"/>
        <v>Sí</v>
      </c>
      <c r="BA42" s="11">
        <f>IF(H42="","",IFERROR(INDEX(Parametros!$B$4:$B$9,MATCH(H42,Parametros!$A$4:$A$9,0)),""))</f>
        <v>7.5</v>
      </c>
      <c r="BB42" s="12">
        <f t="shared" si="12"/>
        <v>1.8277777777777779</v>
      </c>
      <c r="BC42" s="12">
        <f t="shared" si="13"/>
        <v>-5.6722222222222225</v>
      </c>
      <c r="BD42" s="13">
        <f t="shared" si="14"/>
        <v>0.75629629629629636</v>
      </c>
      <c r="BE42" s="10">
        <f t="shared" si="15"/>
        <v>3</v>
      </c>
      <c r="BF42" s="10">
        <f t="shared" si="16"/>
        <v>4</v>
      </c>
      <c r="BG42" s="10">
        <f t="shared" si="17"/>
        <v>1</v>
      </c>
      <c r="BH42" s="10">
        <f t="shared" si="18"/>
        <v>2</v>
      </c>
      <c r="BI42" s="10">
        <f t="shared" si="19"/>
        <v>2</v>
      </c>
      <c r="BJ42" s="10">
        <f t="shared" si="20"/>
        <v>0</v>
      </c>
      <c r="BK42" s="10">
        <f t="shared" si="21"/>
        <v>25</v>
      </c>
    </row>
    <row r="43" spans="1:63" ht="76.5" x14ac:dyDescent="0.2">
      <c r="A43" s="5" t="s">
        <v>476</v>
      </c>
      <c r="B43" s="33">
        <v>46310.5</v>
      </c>
      <c r="C43" s="7" t="s">
        <v>375</v>
      </c>
      <c r="D43" s="8" t="s">
        <v>81</v>
      </c>
      <c r="E43" s="8" t="s">
        <v>82</v>
      </c>
      <c r="F43" s="8" t="s">
        <v>82</v>
      </c>
      <c r="G43" s="7" t="s">
        <v>315</v>
      </c>
      <c r="H43" s="8" t="s">
        <v>319</v>
      </c>
      <c r="I43" s="7" t="s">
        <v>313</v>
      </c>
      <c r="J43" s="8">
        <v>1</v>
      </c>
      <c r="K43" s="8">
        <v>1</v>
      </c>
      <c r="L43" s="8">
        <v>1</v>
      </c>
      <c r="M43" s="8">
        <v>1</v>
      </c>
      <c r="N43" s="8">
        <v>0</v>
      </c>
      <c r="O43" s="8">
        <v>0</v>
      </c>
      <c r="P43" s="8">
        <v>1</v>
      </c>
      <c r="Q43" s="8">
        <v>2</v>
      </c>
      <c r="R43" s="8">
        <v>1</v>
      </c>
      <c r="S43" s="8">
        <v>1</v>
      </c>
      <c r="T43" s="9" t="str">
        <f>INDEX(Tarjetas!$A$4:$A$59,MOD(3*(VALUE(MID(A43,3,2))-1)+0,ROWS(Tarjetas!$A$4:$A$59))+1)</f>
        <v>S09</v>
      </c>
      <c r="U43" s="9" t="str">
        <f>INDEX(Tarjetas!$A$4:$A$59,MOD(3*(VALUE(MID(A43,3,2))-1)+1,ROWS(Tarjetas!$A$4:$A$59))+1)</f>
        <v>S10</v>
      </c>
      <c r="V43" s="9" t="str">
        <f>INDEX(Tarjetas!$A$4:$A$59,MOD(3*(VALUE(MID(A43,3,2))-1)+2,ROWS(Tarjetas!$A$4:$A$59))+1)</f>
        <v>S11</v>
      </c>
      <c r="W43" s="7" t="s">
        <v>387</v>
      </c>
      <c r="X43" s="8">
        <v>180</v>
      </c>
      <c r="Y43" s="8">
        <v>3</v>
      </c>
      <c r="Z43" s="8" t="s">
        <v>90</v>
      </c>
      <c r="AA43" s="8" t="s">
        <v>90</v>
      </c>
      <c r="AB43" s="8" t="s">
        <v>82</v>
      </c>
      <c r="AC43" s="7" t="s">
        <v>390</v>
      </c>
      <c r="AD43" s="8">
        <v>108</v>
      </c>
      <c r="AE43" s="8">
        <v>1</v>
      </c>
      <c r="AF43" s="8" t="s">
        <v>82</v>
      </c>
      <c r="AG43" s="8" t="s">
        <v>82</v>
      </c>
      <c r="AH43" s="8" t="s">
        <v>90</v>
      </c>
      <c r="AI43" s="7" t="s">
        <v>391</v>
      </c>
      <c r="AJ43" s="8">
        <v>119</v>
      </c>
      <c r="AK43" s="8">
        <v>2</v>
      </c>
      <c r="AL43" s="8" t="s">
        <v>82</v>
      </c>
      <c r="AM43" s="8" t="s">
        <v>92</v>
      </c>
      <c r="AN43" s="8" t="s">
        <v>90</v>
      </c>
      <c r="AO43" s="8">
        <v>3</v>
      </c>
      <c r="AP43" s="8">
        <v>4</v>
      </c>
      <c r="AQ43" s="8">
        <v>2</v>
      </c>
      <c r="AR43" s="8">
        <v>3</v>
      </c>
      <c r="AS43" s="8">
        <v>2</v>
      </c>
      <c r="AT43" s="8">
        <v>2</v>
      </c>
      <c r="AU43" s="8">
        <v>2</v>
      </c>
      <c r="AV43" s="8">
        <v>4</v>
      </c>
      <c r="AW43" s="8">
        <v>3</v>
      </c>
      <c r="AX43" s="8" t="s">
        <v>319</v>
      </c>
      <c r="AY43" s="7" t="s">
        <v>94</v>
      </c>
      <c r="AZ43" s="10" t="str">
        <f t="shared" si="11"/>
        <v>Sí</v>
      </c>
      <c r="BA43" s="11">
        <f>IF(H43="","",IFERROR(INDEX(Parametros!$B$4:$B$9,MATCH(H43,Parametros!$A$4:$A$9,0)),""))</f>
        <v>300</v>
      </c>
      <c r="BB43" s="12">
        <f t="shared" si="12"/>
        <v>2.2611111111111111</v>
      </c>
      <c r="BC43" s="12">
        <f t="shared" si="13"/>
        <v>-297.73888888888888</v>
      </c>
      <c r="BD43" s="13">
        <f t="shared" si="14"/>
        <v>0.99246296296296288</v>
      </c>
      <c r="BE43" s="10">
        <f t="shared" si="15"/>
        <v>1</v>
      </c>
      <c r="BF43" s="10">
        <f t="shared" si="16"/>
        <v>3</v>
      </c>
      <c r="BG43" s="10">
        <f t="shared" si="17"/>
        <v>2</v>
      </c>
      <c r="BH43" s="10">
        <f t="shared" si="18"/>
        <v>2</v>
      </c>
      <c r="BI43" s="10">
        <f t="shared" si="19"/>
        <v>1</v>
      </c>
      <c r="BJ43" s="10">
        <f t="shared" si="20"/>
        <v>1</v>
      </c>
      <c r="BK43" s="10">
        <f t="shared" si="21"/>
        <v>22</v>
      </c>
    </row>
    <row r="44" spans="1:63" ht="76.5" x14ac:dyDescent="0.2">
      <c r="A44" s="5" t="s">
        <v>477</v>
      </c>
      <c r="B44" s="33">
        <v>46310.5</v>
      </c>
      <c r="C44" s="7" t="s">
        <v>375</v>
      </c>
      <c r="D44" s="8" t="s">
        <v>81</v>
      </c>
      <c r="E44" s="8" t="s">
        <v>82</v>
      </c>
      <c r="F44" s="8" t="s">
        <v>82</v>
      </c>
      <c r="G44" s="7" t="s">
        <v>318</v>
      </c>
      <c r="H44" s="8" t="s">
        <v>84</v>
      </c>
      <c r="I44" s="7" t="s">
        <v>307</v>
      </c>
      <c r="J44" s="8">
        <v>1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1</v>
      </c>
      <c r="Q44" s="8">
        <v>1</v>
      </c>
      <c r="R44" s="8">
        <v>2</v>
      </c>
      <c r="S44" s="8">
        <v>2</v>
      </c>
      <c r="T44" s="9" t="str">
        <f>INDEX(Tarjetas!$A$4:$A$59,MOD(3*(VALUE(MID(A44,3,2))-1)+0,ROWS(Tarjetas!$A$4:$A$59))+1)</f>
        <v>S12</v>
      </c>
      <c r="U44" s="9" t="str">
        <f>INDEX(Tarjetas!$A$4:$A$59,MOD(3*(VALUE(MID(A44,3,2))-1)+1,ROWS(Tarjetas!$A$4:$A$59))+1)</f>
        <v>S13</v>
      </c>
      <c r="V44" s="9" t="str">
        <f>INDEX(Tarjetas!$A$4:$A$59,MOD(3*(VALUE(MID(A44,3,2))-1)+2,ROWS(Tarjetas!$A$4:$A$59))+1)</f>
        <v>S14</v>
      </c>
      <c r="W44" s="7" t="s">
        <v>392</v>
      </c>
      <c r="X44" s="8">
        <v>92</v>
      </c>
      <c r="Y44" s="8">
        <v>1</v>
      </c>
      <c r="Z44" s="8" t="s">
        <v>82</v>
      </c>
      <c r="AA44" s="8" t="s">
        <v>82</v>
      </c>
      <c r="AB44" s="8" t="s">
        <v>90</v>
      </c>
      <c r="AC44" s="7" t="s">
        <v>394</v>
      </c>
      <c r="AD44" s="8">
        <v>63</v>
      </c>
      <c r="AE44" s="8">
        <v>1</v>
      </c>
      <c r="AF44" s="8" t="s">
        <v>82</v>
      </c>
      <c r="AG44" s="8" t="s">
        <v>92</v>
      </c>
      <c r="AH44" s="8" t="s">
        <v>90</v>
      </c>
      <c r="AI44" s="7" t="s">
        <v>395</v>
      </c>
      <c r="AJ44" s="8">
        <v>91</v>
      </c>
      <c r="AK44" s="8">
        <v>2</v>
      </c>
      <c r="AL44" s="8" t="s">
        <v>82</v>
      </c>
      <c r="AM44" s="8" t="s">
        <v>82</v>
      </c>
      <c r="AN44" s="8" t="s">
        <v>90</v>
      </c>
      <c r="AO44" s="8">
        <v>2</v>
      </c>
      <c r="AP44" s="8">
        <v>2</v>
      </c>
      <c r="AQ44" s="8">
        <v>5</v>
      </c>
      <c r="AR44" s="8">
        <v>3</v>
      </c>
      <c r="AS44" s="8">
        <v>4</v>
      </c>
      <c r="AT44" s="8">
        <v>2</v>
      </c>
      <c r="AU44" s="8">
        <v>4</v>
      </c>
      <c r="AV44" s="8">
        <v>3</v>
      </c>
      <c r="AW44" s="8">
        <v>4</v>
      </c>
      <c r="AX44" s="8" t="s">
        <v>84</v>
      </c>
      <c r="AY44" s="7" t="s">
        <v>405</v>
      </c>
      <c r="AZ44" s="10" t="str">
        <f t="shared" si="11"/>
        <v>Sí</v>
      </c>
      <c r="BA44" s="11">
        <f>IF(H44="","",IFERROR(INDEX(Parametros!$B$4:$B$9,MATCH(H44,Parametros!$A$4:$A$9,0)),""))</f>
        <v>90</v>
      </c>
      <c r="BB44" s="12">
        <f t="shared" si="12"/>
        <v>1.3666666666666667</v>
      </c>
      <c r="BC44" s="12">
        <f t="shared" si="13"/>
        <v>-88.63333333333334</v>
      </c>
      <c r="BD44" s="13">
        <f t="shared" si="14"/>
        <v>0.98481481481481492</v>
      </c>
      <c r="BE44" s="10">
        <f t="shared" si="15"/>
        <v>2</v>
      </c>
      <c r="BF44" s="10">
        <f t="shared" si="16"/>
        <v>4</v>
      </c>
      <c r="BG44" s="10">
        <f t="shared" si="17"/>
        <v>2</v>
      </c>
      <c r="BH44" s="10">
        <f t="shared" si="18"/>
        <v>3</v>
      </c>
      <c r="BI44" s="10">
        <f t="shared" si="19"/>
        <v>2</v>
      </c>
      <c r="BJ44" s="10">
        <f t="shared" si="20"/>
        <v>0</v>
      </c>
      <c r="BK44" s="10">
        <f t="shared" si="21"/>
        <v>25</v>
      </c>
    </row>
    <row r="45" spans="1:63" ht="76.5" x14ac:dyDescent="0.2">
      <c r="A45" s="5" t="s">
        <v>478</v>
      </c>
      <c r="B45" s="33">
        <v>46310.5</v>
      </c>
      <c r="C45" s="7" t="s">
        <v>375</v>
      </c>
      <c r="D45" s="8" t="s">
        <v>81</v>
      </c>
      <c r="E45" s="8" t="s">
        <v>82</v>
      </c>
      <c r="F45" s="8" t="s">
        <v>82</v>
      </c>
      <c r="G45" s="7" t="s">
        <v>318</v>
      </c>
      <c r="H45" s="8" t="s">
        <v>84</v>
      </c>
      <c r="I45" s="7" t="s">
        <v>85</v>
      </c>
      <c r="J45" s="8">
        <v>0</v>
      </c>
      <c r="K45" s="8">
        <v>0</v>
      </c>
      <c r="L45" s="8">
        <v>1</v>
      </c>
      <c r="M45" s="8">
        <v>0</v>
      </c>
      <c r="N45" s="8">
        <v>0</v>
      </c>
      <c r="O45" s="8">
        <v>0</v>
      </c>
      <c r="P45" s="8">
        <v>3</v>
      </c>
      <c r="Q45" s="8">
        <v>3</v>
      </c>
      <c r="R45" s="8">
        <v>5</v>
      </c>
      <c r="S45" s="8">
        <v>4</v>
      </c>
      <c r="T45" s="9" t="str">
        <f>INDEX(Tarjetas!$A$4:$A$59,MOD(3*(VALUE(MID(A45,3,2))-1)+0,ROWS(Tarjetas!$A$4:$A$59))+1)</f>
        <v>S15</v>
      </c>
      <c r="U45" s="9" t="str">
        <f>INDEX(Tarjetas!$A$4:$A$59,MOD(3*(VALUE(MID(A45,3,2))-1)+1,ROWS(Tarjetas!$A$4:$A$59))+1)</f>
        <v>S16</v>
      </c>
      <c r="V45" s="9" t="str">
        <f>INDEX(Tarjetas!$A$4:$A$59,MOD(3*(VALUE(MID(A45,3,2))-1)+2,ROWS(Tarjetas!$A$4:$A$59))+1)</f>
        <v>S17</v>
      </c>
      <c r="W45" s="7" t="s">
        <v>396</v>
      </c>
      <c r="X45" s="8">
        <v>83</v>
      </c>
      <c r="Y45" s="8">
        <v>3</v>
      </c>
      <c r="Z45" s="8" t="s">
        <v>82</v>
      </c>
      <c r="AA45" s="8" t="s">
        <v>82</v>
      </c>
      <c r="AB45" s="8" t="s">
        <v>90</v>
      </c>
      <c r="AC45" s="7" t="s">
        <v>398</v>
      </c>
      <c r="AD45" s="8">
        <v>107</v>
      </c>
      <c r="AE45" s="8">
        <v>2</v>
      </c>
      <c r="AF45" s="8" t="s">
        <v>82</v>
      </c>
      <c r="AG45" s="8" t="s">
        <v>82</v>
      </c>
      <c r="AH45" s="8" t="s">
        <v>90</v>
      </c>
      <c r="AI45" s="7" t="s">
        <v>399</v>
      </c>
      <c r="AJ45" s="8">
        <v>92</v>
      </c>
      <c r="AK45" s="8">
        <v>1</v>
      </c>
      <c r="AL45" s="8" t="s">
        <v>82</v>
      </c>
      <c r="AM45" s="8" t="s">
        <v>82</v>
      </c>
      <c r="AN45" s="8" t="s">
        <v>90</v>
      </c>
      <c r="AO45" s="8">
        <v>3</v>
      </c>
      <c r="AP45" s="8">
        <v>5</v>
      </c>
      <c r="AQ45" s="8">
        <v>4</v>
      </c>
      <c r="AR45" s="8">
        <v>4</v>
      </c>
      <c r="AS45" s="8">
        <v>4</v>
      </c>
      <c r="AT45" s="8">
        <v>3</v>
      </c>
      <c r="AU45" s="8">
        <v>5</v>
      </c>
      <c r="AV45" s="8">
        <v>3</v>
      </c>
      <c r="AW45" s="8">
        <v>4</v>
      </c>
      <c r="AX45" s="8" t="s">
        <v>84</v>
      </c>
      <c r="AY45" s="7" t="s">
        <v>414</v>
      </c>
      <c r="AZ45" s="10" t="str">
        <f t="shared" si="11"/>
        <v>Sí</v>
      </c>
      <c r="BA45" s="11">
        <f>IF(H45="","",IFERROR(INDEX(Parametros!$B$4:$B$9,MATCH(H45,Parametros!$A$4:$A$9,0)),""))</f>
        <v>90</v>
      </c>
      <c r="BB45" s="12">
        <f t="shared" si="12"/>
        <v>1.5666666666666667</v>
      </c>
      <c r="BC45" s="12">
        <f t="shared" si="13"/>
        <v>-88.433333333333337</v>
      </c>
      <c r="BD45" s="13">
        <f t="shared" si="14"/>
        <v>0.98259259259259268</v>
      </c>
      <c r="BE45" s="10">
        <f t="shared" si="15"/>
        <v>4</v>
      </c>
      <c r="BF45" s="10">
        <f t="shared" si="16"/>
        <v>4</v>
      </c>
      <c r="BG45" s="10">
        <f t="shared" si="17"/>
        <v>0</v>
      </c>
      <c r="BH45" s="10">
        <f t="shared" si="18"/>
        <v>3</v>
      </c>
      <c r="BI45" s="10">
        <f t="shared" si="19"/>
        <v>3</v>
      </c>
      <c r="BJ45" s="10">
        <f t="shared" si="20"/>
        <v>0</v>
      </c>
      <c r="BK45" s="10">
        <f t="shared" si="21"/>
        <v>31</v>
      </c>
    </row>
    <row r="46" spans="1:63" ht="76.5" x14ac:dyDescent="0.2">
      <c r="A46" s="5" t="s">
        <v>479</v>
      </c>
      <c r="B46" s="33">
        <v>46310.5</v>
      </c>
      <c r="C46" s="7" t="s">
        <v>375</v>
      </c>
      <c r="D46" s="8" t="s">
        <v>81</v>
      </c>
      <c r="E46" s="8" t="s">
        <v>82</v>
      </c>
      <c r="F46" s="8" t="s">
        <v>82</v>
      </c>
      <c r="G46" s="7" t="s">
        <v>320</v>
      </c>
      <c r="H46" s="8" t="s">
        <v>84</v>
      </c>
      <c r="I46" s="7" t="s">
        <v>85</v>
      </c>
      <c r="J46" s="8">
        <v>0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3</v>
      </c>
      <c r="Q46" s="8">
        <v>3</v>
      </c>
      <c r="R46" s="8">
        <v>5</v>
      </c>
      <c r="S46" s="8">
        <v>4</v>
      </c>
      <c r="T46" s="9" t="str">
        <f>INDEX(Tarjetas!$A$4:$A$59,MOD(3*(VALUE(MID(A46,3,2))-1)+0,ROWS(Tarjetas!$A$4:$A$59))+1)</f>
        <v>S18</v>
      </c>
      <c r="U46" s="9" t="str">
        <f>INDEX(Tarjetas!$A$4:$A$59,MOD(3*(VALUE(MID(A46,3,2))-1)+1,ROWS(Tarjetas!$A$4:$A$59))+1)</f>
        <v>S19</v>
      </c>
      <c r="V46" s="9" t="str">
        <f>INDEX(Tarjetas!$A$4:$A$59,MOD(3*(VALUE(MID(A46,3,2))-1)+2,ROWS(Tarjetas!$A$4:$A$59))+1)</f>
        <v>S20</v>
      </c>
      <c r="W46" s="7" t="s">
        <v>400</v>
      </c>
      <c r="X46" s="8">
        <v>73</v>
      </c>
      <c r="Y46" s="8">
        <v>1</v>
      </c>
      <c r="Z46" s="8" t="s">
        <v>82</v>
      </c>
      <c r="AA46" s="8" t="s">
        <v>92</v>
      </c>
      <c r="AB46" s="8" t="s">
        <v>90</v>
      </c>
      <c r="AC46" s="7" t="s">
        <v>402</v>
      </c>
      <c r="AD46" s="8">
        <v>180</v>
      </c>
      <c r="AE46" s="8">
        <v>3</v>
      </c>
      <c r="AF46" s="8" t="s">
        <v>82</v>
      </c>
      <c r="AG46" s="8" t="s">
        <v>92</v>
      </c>
      <c r="AH46" s="8" t="s">
        <v>82</v>
      </c>
      <c r="AI46" s="7" t="s">
        <v>403</v>
      </c>
      <c r="AJ46" s="8">
        <v>180</v>
      </c>
      <c r="AK46" s="8">
        <v>3</v>
      </c>
      <c r="AL46" s="8" t="s">
        <v>90</v>
      </c>
      <c r="AM46" s="8" t="s">
        <v>92</v>
      </c>
      <c r="AN46" s="8" t="s">
        <v>90</v>
      </c>
      <c r="AO46" s="8">
        <v>2</v>
      </c>
      <c r="AP46" s="8">
        <v>4</v>
      </c>
      <c r="AQ46" s="8">
        <v>4</v>
      </c>
      <c r="AR46" s="8">
        <v>4</v>
      </c>
      <c r="AS46" s="8">
        <v>4</v>
      </c>
      <c r="AT46" s="8">
        <v>3</v>
      </c>
      <c r="AU46" s="8">
        <v>3</v>
      </c>
      <c r="AV46" s="8">
        <v>2</v>
      </c>
      <c r="AW46" s="8">
        <v>3</v>
      </c>
      <c r="AX46" s="8" t="s">
        <v>84</v>
      </c>
      <c r="AY46" s="7" t="s">
        <v>94</v>
      </c>
      <c r="AZ46" s="10" t="str">
        <f t="shared" si="11"/>
        <v>Sí</v>
      </c>
      <c r="BA46" s="11">
        <f>IF(H46="","",IFERROR(INDEX(Parametros!$B$4:$B$9,MATCH(H46,Parametros!$A$4:$A$9,0)),""))</f>
        <v>90</v>
      </c>
      <c r="BB46" s="12">
        <f t="shared" si="12"/>
        <v>2.4055555555555559</v>
      </c>
      <c r="BC46" s="12">
        <f t="shared" si="13"/>
        <v>-87.594444444444449</v>
      </c>
      <c r="BD46" s="13">
        <f t="shared" si="14"/>
        <v>0.97327160493827169</v>
      </c>
      <c r="BE46" s="10">
        <f t="shared" si="15"/>
        <v>4</v>
      </c>
      <c r="BF46" s="10">
        <f t="shared" si="16"/>
        <v>3</v>
      </c>
      <c r="BG46" s="10">
        <f t="shared" si="17"/>
        <v>-1</v>
      </c>
      <c r="BH46" s="10">
        <f t="shared" si="18"/>
        <v>2</v>
      </c>
      <c r="BI46" s="10">
        <f t="shared" si="19"/>
        <v>0</v>
      </c>
      <c r="BJ46" s="10">
        <f t="shared" si="20"/>
        <v>1</v>
      </c>
      <c r="BK46" s="10">
        <f t="shared" si="21"/>
        <v>26</v>
      </c>
    </row>
    <row r="47" spans="1:63" ht="76.5" x14ac:dyDescent="0.2">
      <c r="A47" s="5" t="s">
        <v>480</v>
      </c>
      <c r="B47" s="33">
        <v>46310.5</v>
      </c>
      <c r="C47" s="7" t="s">
        <v>375</v>
      </c>
      <c r="D47" s="8" t="s">
        <v>314</v>
      </c>
      <c r="E47" s="8" t="s">
        <v>82</v>
      </c>
      <c r="F47" s="8" t="s">
        <v>82</v>
      </c>
      <c r="G47" s="7" t="s">
        <v>312</v>
      </c>
      <c r="H47" s="8" t="s">
        <v>319</v>
      </c>
      <c r="I47" s="7" t="s">
        <v>307</v>
      </c>
      <c r="J47" s="8">
        <v>0</v>
      </c>
      <c r="K47" s="8">
        <v>1</v>
      </c>
      <c r="L47" s="8">
        <v>1</v>
      </c>
      <c r="M47" s="8">
        <v>0</v>
      </c>
      <c r="N47" s="8">
        <v>0</v>
      </c>
      <c r="O47" s="8">
        <v>0</v>
      </c>
      <c r="P47" s="8">
        <v>1</v>
      </c>
      <c r="Q47" s="8">
        <v>2</v>
      </c>
      <c r="R47" s="8">
        <v>3</v>
      </c>
      <c r="S47" s="8">
        <v>2</v>
      </c>
      <c r="T47" s="9" t="str">
        <f>INDEX(Tarjetas!$A$4:$A$59,MOD(3*(VALUE(MID(A47,3,2))-1)+0,ROWS(Tarjetas!$A$4:$A$59))+1)</f>
        <v>S21</v>
      </c>
      <c r="U47" s="9" t="str">
        <f>INDEX(Tarjetas!$A$4:$A$59,MOD(3*(VALUE(MID(A47,3,2))-1)+1,ROWS(Tarjetas!$A$4:$A$59))+1)</f>
        <v>S22</v>
      </c>
      <c r="V47" s="9" t="str">
        <f>INDEX(Tarjetas!$A$4:$A$59,MOD(3*(VALUE(MID(A47,3,2))-1)+2,ROWS(Tarjetas!$A$4:$A$59))+1)</f>
        <v>S23</v>
      </c>
      <c r="W47" s="7" t="s">
        <v>404</v>
      </c>
      <c r="X47" s="8">
        <v>52</v>
      </c>
      <c r="Y47" s="8">
        <v>2</v>
      </c>
      <c r="Z47" s="8" t="s">
        <v>82</v>
      </c>
      <c r="AA47" s="8" t="s">
        <v>82</v>
      </c>
      <c r="AB47" s="8" t="s">
        <v>90</v>
      </c>
      <c r="AC47" s="7" t="s">
        <v>407</v>
      </c>
      <c r="AD47" s="8">
        <v>106</v>
      </c>
      <c r="AE47" s="8">
        <v>1</v>
      </c>
      <c r="AF47" s="8" t="s">
        <v>82</v>
      </c>
      <c r="AG47" s="8" t="s">
        <v>82</v>
      </c>
      <c r="AH47" s="8" t="s">
        <v>90</v>
      </c>
      <c r="AI47" s="7" t="s">
        <v>408</v>
      </c>
      <c r="AJ47" s="8">
        <v>180</v>
      </c>
      <c r="AK47" s="8">
        <v>3</v>
      </c>
      <c r="AL47" s="8" t="s">
        <v>90</v>
      </c>
      <c r="AM47" s="8" t="s">
        <v>92</v>
      </c>
      <c r="AN47" s="8" t="s">
        <v>82</v>
      </c>
      <c r="AO47" s="8">
        <v>2</v>
      </c>
      <c r="AP47" s="8">
        <v>2</v>
      </c>
      <c r="AQ47" s="8">
        <v>4</v>
      </c>
      <c r="AR47" s="8">
        <v>2</v>
      </c>
      <c r="AS47" s="8">
        <v>3</v>
      </c>
      <c r="AT47" s="8">
        <v>3</v>
      </c>
      <c r="AU47" s="8">
        <v>3</v>
      </c>
      <c r="AV47" s="8">
        <v>4</v>
      </c>
      <c r="AW47" s="8">
        <v>4</v>
      </c>
      <c r="AX47" s="8" t="s">
        <v>319</v>
      </c>
      <c r="AY47" s="7" t="s">
        <v>94</v>
      </c>
      <c r="AZ47" s="10" t="str">
        <f t="shared" si="11"/>
        <v>Sí</v>
      </c>
      <c r="BA47" s="11">
        <f>IF(H47="","",IFERROR(INDEX(Parametros!$B$4:$B$9,MATCH(H47,Parametros!$A$4:$A$9,0)),""))</f>
        <v>300</v>
      </c>
      <c r="BB47" s="12">
        <f t="shared" si="12"/>
        <v>1.8777777777777778</v>
      </c>
      <c r="BC47" s="12">
        <f t="shared" si="13"/>
        <v>-298.12222222222221</v>
      </c>
      <c r="BD47" s="13">
        <f t="shared" si="14"/>
        <v>0.9937407407407407</v>
      </c>
      <c r="BE47" s="10">
        <f t="shared" si="15"/>
        <v>2</v>
      </c>
      <c r="BF47" s="10">
        <f t="shared" si="16"/>
        <v>4</v>
      </c>
      <c r="BG47" s="10">
        <f t="shared" si="17"/>
        <v>2</v>
      </c>
      <c r="BH47" s="10">
        <f t="shared" si="18"/>
        <v>2</v>
      </c>
      <c r="BI47" s="10">
        <f t="shared" si="19"/>
        <v>2</v>
      </c>
      <c r="BJ47" s="10">
        <f t="shared" si="20"/>
        <v>1</v>
      </c>
      <c r="BK47" s="10">
        <f t="shared" si="21"/>
        <v>23</v>
      </c>
    </row>
    <row r="48" spans="1:63" ht="76.5" x14ac:dyDescent="0.2">
      <c r="A48" s="5" t="s">
        <v>481</v>
      </c>
      <c r="B48" s="33">
        <v>46310.5</v>
      </c>
      <c r="C48" s="7" t="s">
        <v>375</v>
      </c>
      <c r="D48" s="8" t="s">
        <v>306</v>
      </c>
      <c r="E48" s="8" t="s">
        <v>82</v>
      </c>
      <c r="F48" s="8" t="s">
        <v>82</v>
      </c>
      <c r="G48" s="7" t="s">
        <v>315</v>
      </c>
      <c r="H48" s="8" t="s">
        <v>317</v>
      </c>
      <c r="I48" s="7" t="s">
        <v>85</v>
      </c>
      <c r="J48" s="8">
        <v>0</v>
      </c>
      <c r="K48" s="8">
        <v>1</v>
      </c>
      <c r="L48" s="8">
        <v>1</v>
      </c>
      <c r="M48" s="8">
        <v>1</v>
      </c>
      <c r="N48" s="8">
        <v>0</v>
      </c>
      <c r="O48" s="8">
        <v>0</v>
      </c>
      <c r="P48" s="8">
        <v>2</v>
      </c>
      <c r="Q48" s="8">
        <v>3</v>
      </c>
      <c r="R48" s="8">
        <v>5</v>
      </c>
      <c r="S48" s="8">
        <v>4</v>
      </c>
      <c r="T48" s="9" t="str">
        <f>INDEX(Tarjetas!$A$4:$A$59,MOD(3*(VALUE(MID(A48,3,2))-1)+0,ROWS(Tarjetas!$A$4:$A$59))+1)</f>
        <v>S24</v>
      </c>
      <c r="U48" s="9" t="str">
        <f>INDEX(Tarjetas!$A$4:$A$59,MOD(3*(VALUE(MID(A48,3,2))-1)+1,ROWS(Tarjetas!$A$4:$A$59))+1)</f>
        <v>S25</v>
      </c>
      <c r="V48" s="9" t="str">
        <f>INDEX(Tarjetas!$A$4:$A$59,MOD(3*(VALUE(MID(A48,3,2))-1)+2,ROWS(Tarjetas!$A$4:$A$59))+1)</f>
        <v>S26</v>
      </c>
      <c r="W48" s="7" t="s">
        <v>409</v>
      </c>
      <c r="X48" s="8">
        <v>48</v>
      </c>
      <c r="Y48" s="8">
        <v>1</v>
      </c>
      <c r="Z48" s="8" t="s">
        <v>82</v>
      </c>
      <c r="AA48" s="8" t="s">
        <v>82</v>
      </c>
      <c r="AB48" s="8" t="s">
        <v>90</v>
      </c>
      <c r="AC48" s="7" t="s">
        <v>411</v>
      </c>
      <c r="AD48" s="8">
        <v>21</v>
      </c>
      <c r="AE48" s="8">
        <v>2</v>
      </c>
      <c r="AF48" s="8" t="s">
        <v>82</v>
      </c>
      <c r="AG48" s="8" t="s">
        <v>82</v>
      </c>
      <c r="AH48" s="8" t="s">
        <v>90</v>
      </c>
      <c r="AI48" s="7" t="s">
        <v>412</v>
      </c>
      <c r="AJ48" s="8">
        <v>180</v>
      </c>
      <c r="AK48" s="8">
        <v>3</v>
      </c>
      <c r="AL48" s="8" t="s">
        <v>90</v>
      </c>
      <c r="AM48" s="8" t="s">
        <v>90</v>
      </c>
      <c r="AN48" s="8" t="s">
        <v>82</v>
      </c>
      <c r="AO48" s="8">
        <v>4</v>
      </c>
      <c r="AP48" s="8">
        <v>3</v>
      </c>
      <c r="AQ48" s="8">
        <v>3</v>
      </c>
      <c r="AR48" s="8">
        <v>3</v>
      </c>
      <c r="AS48" s="8">
        <v>3</v>
      </c>
      <c r="AT48" s="8">
        <v>4</v>
      </c>
      <c r="AU48" s="8">
        <v>3</v>
      </c>
      <c r="AV48" s="8">
        <v>4</v>
      </c>
      <c r="AW48" s="8">
        <v>3</v>
      </c>
      <c r="AX48" s="8" t="s">
        <v>317</v>
      </c>
      <c r="AY48" s="7" t="s">
        <v>94</v>
      </c>
      <c r="AZ48" s="10" t="str">
        <f t="shared" si="11"/>
        <v>Sí</v>
      </c>
      <c r="BA48" s="11">
        <f>IF(H48="","",IFERROR(INDEX(Parametros!$B$4:$B$9,MATCH(H48,Parametros!$A$4:$A$9,0)),""))</f>
        <v>180</v>
      </c>
      <c r="BB48" s="12">
        <f t="shared" si="12"/>
        <v>1.3833333333333333</v>
      </c>
      <c r="BC48" s="12">
        <f t="shared" si="13"/>
        <v>-178.61666666666667</v>
      </c>
      <c r="BD48" s="13">
        <f t="shared" si="14"/>
        <v>0.99231481481481487</v>
      </c>
      <c r="BE48" s="10">
        <f t="shared" si="15"/>
        <v>4</v>
      </c>
      <c r="BF48" s="10">
        <f t="shared" si="16"/>
        <v>3</v>
      </c>
      <c r="BG48" s="10">
        <f t="shared" si="17"/>
        <v>-1</v>
      </c>
      <c r="BH48" s="10">
        <f t="shared" si="18"/>
        <v>2</v>
      </c>
      <c r="BI48" s="10">
        <f t="shared" si="19"/>
        <v>2</v>
      </c>
      <c r="BJ48" s="10">
        <f t="shared" si="20"/>
        <v>1</v>
      </c>
      <c r="BK48" s="10">
        <f t="shared" si="21"/>
        <v>27</v>
      </c>
    </row>
    <row r="49" spans="1:63" ht="63.75" x14ac:dyDescent="0.2">
      <c r="A49" s="5" t="s">
        <v>482</v>
      </c>
      <c r="B49" s="33">
        <v>46310.5</v>
      </c>
      <c r="C49" s="7" t="s">
        <v>375</v>
      </c>
      <c r="D49" s="8" t="s">
        <v>81</v>
      </c>
      <c r="E49" s="8" t="s">
        <v>82</v>
      </c>
      <c r="F49" s="8" t="s">
        <v>82</v>
      </c>
      <c r="G49" s="7" t="s">
        <v>318</v>
      </c>
      <c r="H49" s="8" t="s">
        <v>319</v>
      </c>
      <c r="I49" s="7" t="s">
        <v>316</v>
      </c>
      <c r="J49" s="8">
        <v>1</v>
      </c>
      <c r="K49" s="8">
        <v>1</v>
      </c>
      <c r="L49" s="8">
        <v>1</v>
      </c>
      <c r="M49" s="8">
        <v>1</v>
      </c>
      <c r="N49" s="8">
        <v>0</v>
      </c>
      <c r="O49" s="8">
        <v>0</v>
      </c>
      <c r="P49" s="8">
        <v>1</v>
      </c>
      <c r="Q49" s="8">
        <v>2</v>
      </c>
      <c r="R49" s="8">
        <v>1</v>
      </c>
      <c r="S49" s="8">
        <v>1</v>
      </c>
      <c r="T49" s="9" t="str">
        <f>INDEX(Tarjetas!$A$4:$A$59,MOD(3*(VALUE(MID(A49,3,2))-1)+0,ROWS(Tarjetas!$A$4:$A$59))+1)</f>
        <v>S27</v>
      </c>
      <c r="U49" s="9" t="str">
        <f>INDEX(Tarjetas!$A$4:$A$59,MOD(3*(VALUE(MID(A49,3,2))-1)+1,ROWS(Tarjetas!$A$4:$A$59))+1)</f>
        <v>S28</v>
      </c>
      <c r="V49" s="9" t="str">
        <f>INDEX(Tarjetas!$A$4:$A$59,MOD(3*(VALUE(MID(A49,3,2))-1)+2,ROWS(Tarjetas!$A$4:$A$59))+1)</f>
        <v>S29</v>
      </c>
      <c r="W49" s="7" t="s">
        <v>413</v>
      </c>
      <c r="X49" s="8">
        <v>180</v>
      </c>
      <c r="Y49" s="8">
        <v>3</v>
      </c>
      <c r="Z49" s="8" t="s">
        <v>90</v>
      </c>
      <c r="AA49" s="8" t="s">
        <v>90</v>
      </c>
      <c r="AB49" s="8" t="s">
        <v>82</v>
      </c>
      <c r="AC49" s="7" t="s">
        <v>417</v>
      </c>
      <c r="AD49" s="8">
        <v>82</v>
      </c>
      <c r="AE49" s="8">
        <v>3</v>
      </c>
      <c r="AF49" s="8" t="s">
        <v>82</v>
      </c>
      <c r="AG49" s="8" t="s">
        <v>82</v>
      </c>
      <c r="AH49" s="8" t="s">
        <v>90</v>
      </c>
      <c r="AI49" s="7" t="s">
        <v>418</v>
      </c>
      <c r="AJ49" s="8">
        <v>61</v>
      </c>
      <c r="AK49" s="8">
        <v>2</v>
      </c>
      <c r="AL49" s="8" t="s">
        <v>82</v>
      </c>
      <c r="AM49" s="8" t="s">
        <v>82</v>
      </c>
      <c r="AN49" s="8" t="s">
        <v>90</v>
      </c>
      <c r="AO49" s="8">
        <v>3</v>
      </c>
      <c r="AP49" s="8">
        <v>2</v>
      </c>
      <c r="AQ49" s="8">
        <v>2</v>
      </c>
      <c r="AR49" s="8">
        <v>4</v>
      </c>
      <c r="AS49" s="8">
        <v>3</v>
      </c>
      <c r="AT49" s="8">
        <v>2</v>
      </c>
      <c r="AU49" s="8">
        <v>2</v>
      </c>
      <c r="AV49" s="8">
        <v>4</v>
      </c>
      <c r="AW49" s="8">
        <v>3</v>
      </c>
      <c r="AX49" s="8" t="s">
        <v>319</v>
      </c>
      <c r="AY49" s="7" t="s">
        <v>414</v>
      </c>
      <c r="AZ49" s="10" t="str">
        <f t="shared" si="11"/>
        <v>Sí</v>
      </c>
      <c r="BA49" s="11">
        <f>IF(H49="","",IFERROR(INDEX(Parametros!$B$4:$B$9,MATCH(H49,Parametros!$A$4:$A$9,0)),""))</f>
        <v>300</v>
      </c>
      <c r="BB49" s="12">
        <f t="shared" si="12"/>
        <v>1.7944444444444445</v>
      </c>
      <c r="BC49" s="12">
        <f t="shared" si="13"/>
        <v>-298.20555555555558</v>
      </c>
      <c r="BD49" s="13">
        <f t="shared" si="14"/>
        <v>0.99401851851851863</v>
      </c>
      <c r="BE49" s="10">
        <f t="shared" si="15"/>
        <v>1</v>
      </c>
      <c r="BF49" s="10">
        <f t="shared" si="16"/>
        <v>3</v>
      </c>
      <c r="BG49" s="10">
        <f t="shared" si="17"/>
        <v>2</v>
      </c>
      <c r="BH49" s="10">
        <f t="shared" si="18"/>
        <v>2</v>
      </c>
      <c r="BI49" s="10">
        <f t="shared" si="19"/>
        <v>2</v>
      </c>
      <c r="BJ49" s="10">
        <f t="shared" si="20"/>
        <v>1</v>
      </c>
      <c r="BK49" s="10">
        <f t="shared" si="21"/>
        <v>22</v>
      </c>
    </row>
    <row r="50" spans="1:63" ht="63.75" x14ac:dyDescent="0.2">
      <c r="A50" s="5" t="s">
        <v>483</v>
      </c>
      <c r="B50" s="33">
        <v>46310.5</v>
      </c>
      <c r="C50" s="7" t="s">
        <v>375</v>
      </c>
      <c r="D50" s="8" t="s">
        <v>311</v>
      </c>
      <c r="E50" s="8" t="s">
        <v>82</v>
      </c>
      <c r="F50" s="8" t="s">
        <v>82</v>
      </c>
      <c r="G50" s="7" t="s">
        <v>83</v>
      </c>
      <c r="H50" s="8" t="s">
        <v>84</v>
      </c>
      <c r="I50" s="7" t="s">
        <v>313</v>
      </c>
      <c r="J50" s="8">
        <v>1</v>
      </c>
      <c r="K50" s="8">
        <v>1</v>
      </c>
      <c r="L50" s="8">
        <v>0</v>
      </c>
      <c r="M50" s="8">
        <v>1</v>
      </c>
      <c r="N50" s="8">
        <v>0</v>
      </c>
      <c r="O50" s="8">
        <v>0</v>
      </c>
      <c r="P50" s="8">
        <v>3</v>
      </c>
      <c r="Q50" s="8">
        <v>3</v>
      </c>
      <c r="R50" s="8">
        <v>2</v>
      </c>
      <c r="S50" s="8">
        <v>4</v>
      </c>
      <c r="T50" s="9" t="str">
        <f>INDEX(Tarjetas!$A$4:$A$59,MOD(3*(VALUE(MID(A50,3,2))-1)+0,ROWS(Tarjetas!$A$4:$A$59))+1)</f>
        <v>S30</v>
      </c>
      <c r="U50" s="9" t="str">
        <f>INDEX(Tarjetas!$A$4:$A$59,MOD(3*(VALUE(MID(A50,3,2))-1)+1,ROWS(Tarjetas!$A$4:$A$59))+1)</f>
        <v>S31</v>
      </c>
      <c r="V50" s="9" t="str">
        <f>INDEX(Tarjetas!$A$4:$A$59,MOD(3*(VALUE(MID(A50,3,2))-1)+2,ROWS(Tarjetas!$A$4:$A$59))+1)</f>
        <v>S32</v>
      </c>
      <c r="W50" s="7" t="s">
        <v>419</v>
      </c>
      <c r="X50" s="8">
        <v>91</v>
      </c>
      <c r="Y50" s="8">
        <v>2</v>
      </c>
      <c r="Z50" s="8" t="s">
        <v>82</v>
      </c>
      <c r="AA50" s="8" t="s">
        <v>82</v>
      </c>
      <c r="AB50" s="8" t="s">
        <v>90</v>
      </c>
      <c r="AC50" s="7" t="s">
        <v>421</v>
      </c>
      <c r="AD50" s="8">
        <v>63</v>
      </c>
      <c r="AE50" s="8">
        <v>1</v>
      </c>
      <c r="AF50" s="8" t="s">
        <v>82</v>
      </c>
      <c r="AG50" s="8" t="s">
        <v>82</v>
      </c>
      <c r="AH50" s="8" t="s">
        <v>90</v>
      </c>
      <c r="AI50" s="7" t="s">
        <v>422</v>
      </c>
      <c r="AJ50" s="8">
        <v>34</v>
      </c>
      <c r="AK50" s="8">
        <v>1</v>
      </c>
      <c r="AL50" s="8" t="s">
        <v>82</v>
      </c>
      <c r="AM50" s="8" t="s">
        <v>92</v>
      </c>
      <c r="AN50" s="8" t="s">
        <v>90</v>
      </c>
      <c r="AO50" s="8">
        <v>3</v>
      </c>
      <c r="AP50" s="8">
        <v>4</v>
      </c>
      <c r="AQ50" s="8">
        <v>3</v>
      </c>
      <c r="AR50" s="8">
        <v>4</v>
      </c>
      <c r="AS50" s="8">
        <v>2</v>
      </c>
      <c r="AT50" s="8">
        <v>5</v>
      </c>
      <c r="AU50" s="8">
        <v>5</v>
      </c>
      <c r="AV50" s="8">
        <v>5</v>
      </c>
      <c r="AW50" s="8">
        <v>5</v>
      </c>
      <c r="AX50" s="8" t="s">
        <v>84</v>
      </c>
      <c r="AY50" s="7" t="s">
        <v>94</v>
      </c>
      <c r="AZ50" s="10" t="str">
        <f t="shared" si="11"/>
        <v>Sí</v>
      </c>
      <c r="BA50" s="11">
        <f>IF(H50="","",IFERROR(INDEX(Parametros!$B$4:$B$9,MATCH(H50,Parametros!$A$4:$A$9,0)),""))</f>
        <v>90</v>
      </c>
      <c r="BB50" s="12">
        <f t="shared" si="12"/>
        <v>1.0444444444444445</v>
      </c>
      <c r="BC50" s="12">
        <f t="shared" si="13"/>
        <v>-88.955555555555549</v>
      </c>
      <c r="BD50" s="13">
        <f t="shared" si="14"/>
        <v>0.98839506172839497</v>
      </c>
      <c r="BE50" s="10">
        <f t="shared" si="15"/>
        <v>4</v>
      </c>
      <c r="BF50" s="10">
        <f t="shared" si="16"/>
        <v>5</v>
      </c>
      <c r="BG50" s="10">
        <f t="shared" si="17"/>
        <v>1</v>
      </c>
      <c r="BH50" s="10">
        <f t="shared" si="18"/>
        <v>3</v>
      </c>
      <c r="BI50" s="10">
        <f t="shared" si="19"/>
        <v>2</v>
      </c>
      <c r="BJ50" s="10">
        <f t="shared" si="20"/>
        <v>0</v>
      </c>
      <c r="BK50" s="10">
        <f t="shared" si="21"/>
        <v>31</v>
      </c>
    </row>
    <row r="51" spans="1:63" ht="63.75" x14ac:dyDescent="0.2">
      <c r="A51" s="5" t="s">
        <v>484</v>
      </c>
      <c r="B51" s="33">
        <v>46311.5</v>
      </c>
      <c r="C51" s="7" t="s">
        <v>375</v>
      </c>
      <c r="D51" s="8" t="s">
        <v>81</v>
      </c>
      <c r="E51" s="8" t="s">
        <v>82</v>
      </c>
      <c r="F51" s="8" t="s">
        <v>82</v>
      </c>
      <c r="G51" s="7" t="s">
        <v>322</v>
      </c>
      <c r="H51" s="8" t="s">
        <v>310</v>
      </c>
      <c r="I51" s="7" t="s">
        <v>316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4</v>
      </c>
      <c r="Q51" s="8">
        <v>3</v>
      </c>
      <c r="R51" s="8">
        <v>4</v>
      </c>
      <c r="S51" s="8">
        <v>3</v>
      </c>
      <c r="T51" s="9" t="str">
        <f>INDEX(Tarjetas!$A$4:$A$59,MOD(3*(VALUE(MID(A51,3,2))-1)+0,ROWS(Tarjetas!$A$4:$A$59))+1)</f>
        <v>S33</v>
      </c>
      <c r="U51" s="9" t="str">
        <f>INDEX(Tarjetas!$A$4:$A$59,MOD(3*(VALUE(MID(A51,3,2))-1)+1,ROWS(Tarjetas!$A$4:$A$59))+1)</f>
        <v>S34</v>
      </c>
      <c r="V51" s="9" t="str">
        <f>INDEX(Tarjetas!$A$4:$A$59,MOD(3*(VALUE(MID(A51,3,2))-1)+2,ROWS(Tarjetas!$A$4:$A$59))+1)</f>
        <v>S35</v>
      </c>
      <c r="W51" s="7" t="s">
        <v>423</v>
      </c>
      <c r="X51" s="8">
        <v>50</v>
      </c>
      <c r="Y51" s="8">
        <v>1</v>
      </c>
      <c r="Z51" s="8" t="s">
        <v>82</v>
      </c>
      <c r="AA51" s="8" t="s">
        <v>82</v>
      </c>
      <c r="AB51" s="8" t="s">
        <v>90</v>
      </c>
      <c r="AC51" s="7" t="s">
        <v>425</v>
      </c>
      <c r="AD51" s="8">
        <v>60</v>
      </c>
      <c r="AE51" s="8">
        <v>1</v>
      </c>
      <c r="AF51" s="8" t="s">
        <v>82</v>
      </c>
      <c r="AG51" s="8" t="s">
        <v>82</v>
      </c>
      <c r="AH51" s="8" t="s">
        <v>90</v>
      </c>
      <c r="AI51" s="7" t="s">
        <v>426</v>
      </c>
      <c r="AJ51" s="8">
        <v>180</v>
      </c>
      <c r="AK51" s="8">
        <v>3</v>
      </c>
      <c r="AL51" s="8" t="s">
        <v>90</v>
      </c>
      <c r="AM51" s="8" t="s">
        <v>92</v>
      </c>
      <c r="AN51" s="8" t="s">
        <v>90</v>
      </c>
      <c r="AO51" s="8">
        <v>4</v>
      </c>
      <c r="AP51" s="8">
        <v>4</v>
      </c>
      <c r="AQ51" s="8">
        <v>4</v>
      </c>
      <c r="AR51" s="8">
        <v>4</v>
      </c>
      <c r="AS51" s="8">
        <v>4</v>
      </c>
      <c r="AT51" s="8">
        <v>2</v>
      </c>
      <c r="AU51" s="8">
        <v>2</v>
      </c>
      <c r="AV51" s="8">
        <v>4</v>
      </c>
      <c r="AW51" s="8">
        <v>4</v>
      </c>
      <c r="AX51" s="8" t="s">
        <v>310</v>
      </c>
      <c r="AY51" s="7" t="s">
        <v>94</v>
      </c>
      <c r="AZ51" s="10" t="str">
        <f t="shared" si="11"/>
        <v>Sí</v>
      </c>
      <c r="BA51" s="11">
        <f>IF(H51="","",IFERROR(INDEX(Parametros!$B$4:$B$9,MATCH(H51,Parametros!$A$4:$A$9,0)),""))</f>
        <v>45</v>
      </c>
      <c r="BB51" s="12">
        <f t="shared" si="12"/>
        <v>1.6111111111111112</v>
      </c>
      <c r="BC51" s="12">
        <f t="shared" si="13"/>
        <v>-43.388888888888886</v>
      </c>
      <c r="BD51" s="13">
        <f t="shared" si="14"/>
        <v>0.96419753086419746</v>
      </c>
      <c r="BE51" s="10">
        <f t="shared" si="15"/>
        <v>3</v>
      </c>
      <c r="BF51" s="10">
        <f t="shared" si="16"/>
        <v>4</v>
      </c>
      <c r="BG51" s="10">
        <f t="shared" si="17"/>
        <v>1</v>
      </c>
      <c r="BH51" s="10">
        <f t="shared" si="18"/>
        <v>2</v>
      </c>
      <c r="BI51" s="10">
        <f t="shared" si="19"/>
        <v>2</v>
      </c>
      <c r="BJ51" s="10">
        <f t="shared" si="20"/>
        <v>0</v>
      </c>
      <c r="BK51" s="10">
        <f t="shared" si="21"/>
        <v>28</v>
      </c>
    </row>
    <row r="52" spans="1:63" ht="63.75" x14ac:dyDescent="0.2">
      <c r="A52" s="5" t="s">
        <v>485</v>
      </c>
      <c r="B52" s="33">
        <v>46311.5</v>
      </c>
      <c r="C52" s="7" t="s">
        <v>375</v>
      </c>
      <c r="D52" s="8" t="s">
        <v>311</v>
      </c>
      <c r="E52" s="8" t="s">
        <v>82</v>
      </c>
      <c r="F52" s="8" t="s">
        <v>82</v>
      </c>
      <c r="G52" s="7" t="s">
        <v>309</v>
      </c>
      <c r="H52" s="8" t="s">
        <v>84</v>
      </c>
      <c r="I52" s="7" t="s">
        <v>307</v>
      </c>
      <c r="J52" s="8">
        <v>0</v>
      </c>
      <c r="K52" s="8">
        <v>1</v>
      </c>
      <c r="L52" s="8">
        <v>0</v>
      </c>
      <c r="M52" s="8">
        <v>1</v>
      </c>
      <c r="N52" s="8">
        <v>0</v>
      </c>
      <c r="O52" s="8">
        <v>0</v>
      </c>
      <c r="P52" s="8">
        <v>3</v>
      </c>
      <c r="Q52" s="8">
        <v>3</v>
      </c>
      <c r="R52" s="8">
        <v>3</v>
      </c>
      <c r="S52" s="8">
        <v>3</v>
      </c>
      <c r="T52" s="9" t="str">
        <f>INDEX(Tarjetas!$A$4:$A$59,MOD(3*(VALUE(MID(A52,3,2))-1)+0,ROWS(Tarjetas!$A$4:$A$59))+1)</f>
        <v>S36</v>
      </c>
      <c r="U52" s="9" t="str">
        <f>INDEX(Tarjetas!$A$4:$A$59,MOD(3*(VALUE(MID(A52,3,2))-1)+1,ROWS(Tarjetas!$A$4:$A$59))+1)</f>
        <v>S37</v>
      </c>
      <c r="V52" s="9" t="str">
        <f>INDEX(Tarjetas!$A$4:$A$59,MOD(3*(VALUE(MID(A52,3,2))-1)+2,ROWS(Tarjetas!$A$4:$A$59))+1)</f>
        <v>S38</v>
      </c>
      <c r="W52" s="7" t="s">
        <v>427</v>
      </c>
      <c r="X52" s="8">
        <v>82</v>
      </c>
      <c r="Y52" s="8">
        <v>2</v>
      </c>
      <c r="Z52" s="8" t="s">
        <v>82</v>
      </c>
      <c r="AA52" s="8" t="s">
        <v>82</v>
      </c>
      <c r="AB52" s="8" t="s">
        <v>90</v>
      </c>
      <c r="AC52" s="7" t="s">
        <v>429</v>
      </c>
      <c r="AD52" s="8">
        <v>127</v>
      </c>
      <c r="AE52" s="8">
        <v>2</v>
      </c>
      <c r="AF52" s="8" t="s">
        <v>82</v>
      </c>
      <c r="AG52" s="8" t="s">
        <v>82</v>
      </c>
      <c r="AH52" s="8" t="s">
        <v>90</v>
      </c>
      <c r="AI52" s="7" t="s">
        <v>430</v>
      </c>
      <c r="AJ52" s="8">
        <v>116</v>
      </c>
      <c r="AK52" s="8">
        <v>2</v>
      </c>
      <c r="AL52" s="8" t="s">
        <v>82</v>
      </c>
      <c r="AM52" s="8" t="s">
        <v>82</v>
      </c>
      <c r="AN52" s="8" t="s">
        <v>90</v>
      </c>
      <c r="AO52" s="8">
        <v>3</v>
      </c>
      <c r="AP52" s="8">
        <v>4</v>
      </c>
      <c r="AQ52" s="8">
        <v>4</v>
      </c>
      <c r="AR52" s="8">
        <v>3</v>
      </c>
      <c r="AS52" s="8">
        <v>2</v>
      </c>
      <c r="AT52" s="8">
        <v>4</v>
      </c>
      <c r="AU52" s="8">
        <v>3</v>
      </c>
      <c r="AV52" s="8">
        <v>4</v>
      </c>
      <c r="AW52" s="8">
        <v>4</v>
      </c>
      <c r="AX52" s="8" t="s">
        <v>84</v>
      </c>
      <c r="AY52" s="7" t="s">
        <v>94</v>
      </c>
      <c r="AZ52" s="10" t="str">
        <f t="shared" si="11"/>
        <v>Sí</v>
      </c>
      <c r="BA52" s="11">
        <f>IF(H52="","",IFERROR(INDEX(Parametros!$B$4:$B$9,MATCH(H52,Parametros!$A$4:$A$9,0)),""))</f>
        <v>90</v>
      </c>
      <c r="BB52" s="12">
        <f t="shared" si="12"/>
        <v>1.8055555555555556</v>
      </c>
      <c r="BC52" s="12">
        <f t="shared" si="13"/>
        <v>-88.194444444444443</v>
      </c>
      <c r="BD52" s="13">
        <f t="shared" si="14"/>
        <v>0.97993827160493829</v>
      </c>
      <c r="BE52" s="10">
        <f t="shared" si="15"/>
        <v>3</v>
      </c>
      <c r="BF52" s="10">
        <f t="shared" si="16"/>
        <v>4</v>
      </c>
      <c r="BG52" s="10">
        <f t="shared" si="17"/>
        <v>1</v>
      </c>
      <c r="BH52" s="10">
        <f t="shared" si="18"/>
        <v>3</v>
      </c>
      <c r="BI52" s="10">
        <f t="shared" si="19"/>
        <v>3</v>
      </c>
      <c r="BJ52" s="10">
        <f t="shared" si="20"/>
        <v>0</v>
      </c>
      <c r="BK52" s="10">
        <f t="shared" si="21"/>
        <v>27</v>
      </c>
    </row>
    <row r="53" spans="1:63" ht="76.5" x14ac:dyDescent="0.2">
      <c r="A53" s="5" t="s">
        <v>486</v>
      </c>
      <c r="B53" s="33">
        <v>46311.5</v>
      </c>
      <c r="C53" s="7" t="s">
        <v>375</v>
      </c>
      <c r="D53" s="8" t="s">
        <v>306</v>
      </c>
      <c r="E53" s="8" t="s">
        <v>82</v>
      </c>
      <c r="F53" s="8" t="s">
        <v>82</v>
      </c>
      <c r="G53" s="7" t="s">
        <v>323</v>
      </c>
      <c r="H53" s="8" t="s">
        <v>308</v>
      </c>
      <c r="I53" s="7" t="s">
        <v>307</v>
      </c>
      <c r="J53" s="8">
        <v>0</v>
      </c>
      <c r="K53" s="8">
        <v>0</v>
      </c>
      <c r="L53" s="8">
        <v>0</v>
      </c>
      <c r="M53" s="8">
        <v>0</v>
      </c>
      <c r="N53" s="8">
        <v>1</v>
      </c>
      <c r="O53" s="8">
        <v>0</v>
      </c>
      <c r="P53" s="8">
        <v>3</v>
      </c>
      <c r="Q53" s="8">
        <v>3</v>
      </c>
      <c r="R53" s="8">
        <v>4</v>
      </c>
      <c r="S53" s="8">
        <v>4</v>
      </c>
      <c r="T53" s="9" t="str">
        <f>INDEX(Tarjetas!$A$4:$A$59,MOD(3*(VALUE(MID(A53,3,2))-1)+0,ROWS(Tarjetas!$A$4:$A$59))+1)</f>
        <v>S39</v>
      </c>
      <c r="U53" s="9" t="str">
        <f>INDEX(Tarjetas!$A$4:$A$59,MOD(3*(VALUE(MID(A53,3,2))-1)+1,ROWS(Tarjetas!$A$4:$A$59))+1)</f>
        <v>S40</v>
      </c>
      <c r="V53" s="9" t="str">
        <f>INDEX(Tarjetas!$A$4:$A$59,MOD(3*(VALUE(MID(A53,3,2))-1)+2,ROWS(Tarjetas!$A$4:$A$59))+1)</f>
        <v>S41</v>
      </c>
      <c r="W53" s="7" t="s">
        <v>431</v>
      </c>
      <c r="X53" s="8">
        <v>180</v>
      </c>
      <c r="Y53" s="8">
        <v>3</v>
      </c>
      <c r="Z53" s="8" t="s">
        <v>90</v>
      </c>
      <c r="AA53" s="8" t="s">
        <v>90</v>
      </c>
      <c r="AB53" s="8" t="s">
        <v>82</v>
      </c>
      <c r="AC53" s="7" t="s">
        <v>433</v>
      </c>
      <c r="AD53" s="8">
        <v>115</v>
      </c>
      <c r="AE53" s="8">
        <v>1</v>
      </c>
      <c r="AF53" s="8" t="s">
        <v>82</v>
      </c>
      <c r="AG53" s="8" t="s">
        <v>82</v>
      </c>
      <c r="AH53" s="8" t="s">
        <v>90</v>
      </c>
      <c r="AI53" s="7" t="s">
        <v>434</v>
      </c>
      <c r="AJ53" s="8">
        <v>120</v>
      </c>
      <c r="AK53" s="8">
        <v>1</v>
      </c>
      <c r="AL53" s="8" t="s">
        <v>82</v>
      </c>
      <c r="AM53" s="8" t="s">
        <v>82</v>
      </c>
      <c r="AN53" s="8" t="s">
        <v>90</v>
      </c>
      <c r="AO53" s="8">
        <v>2</v>
      </c>
      <c r="AP53" s="8">
        <v>3</v>
      </c>
      <c r="AQ53" s="8">
        <v>4</v>
      </c>
      <c r="AR53" s="8">
        <v>4</v>
      </c>
      <c r="AS53" s="8">
        <v>3</v>
      </c>
      <c r="AT53" s="8">
        <v>3</v>
      </c>
      <c r="AU53" s="8">
        <v>3</v>
      </c>
      <c r="AV53" s="8">
        <v>4</v>
      </c>
      <c r="AW53" s="8">
        <v>4</v>
      </c>
      <c r="AX53" s="8" t="s">
        <v>308</v>
      </c>
      <c r="AY53" s="7" t="s">
        <v>94</v>
      </c>
      <c r="AZ53" s="10" t="str">
        <f t="shared" si="11"/>
        <v>Sí</v>
      </c>
      <c r="BA53" s="11">
        <f>IF(H53="","",IFERROR(INDEX(Parametros!$B$4:$B$9,MATCH(H53,Parametros!$A$4:$A$9,0)),""))</f>
        <v>22.5</v>
      </c>
      <c r="BB53" s="12">
        <f t="shared" si="12"/>
        <v>2.3055555555555558</v>
      </c>
      <c r="BC53" s="12">
        <f t="shared" si="13"/>
        <v>-20.194444444444443</v>
      </c>
      <c r="BD53" s="13">
        <f t="shared" si="14"/>
        <v>0.89753086419753081</v>
      </c>
      <c r="BE53" s="10">
        <f t="shared" si="15"/>
        <v>4</v>
      </c>
      <c r="BF53" s="10">
        <f t="shared" si="16"/>
        <v>4</v>
      </c>
      <c r="BG53" s="10">
        <f t="shared" si="17"/>
        <v>0</v>
      </c>
      <c r="BH53" s="10">
        <f t="shared" si="18"/>
        <v>2</v>
      </c>
      <c r="BI53" s="10">
        <f t="shared" si="19"/>
        <v>2</v>
      </c>
      <c r="BJ53" s="10">
        <f t="shared" si="20"/>
        <v>1</v>
      </c>
      <c r="BK53" s="10">
        <f t="shared" si="21"/>
        <v>26</v>
      </c>
    </row>
    <row r="54" spans="1:63" ht="76.5" x14ac:dyDescent="0.2">
      <c r="A54" s="5" t="s">
        <v>487</v>
      </c>
      <c r="B54" s="33">
        <v>46311.5</v>
      </c>
      <c r="C54" s="7" t="s">
        <v>375</v>
      </c>
      <c r="D54" s="8" t="s">
        <v>81</v>
      </c>
      <c r="E54" s="8" t="s">
        <v>82</v>
      </c>
      <c r="F54" s="8" t="s">
        <v>82</v>
      </c>
      <c r="G54" s="7" t="s">
        <v>83</v>
      </c>
      <c r="H54" s="8" t="s">
        <v>310</v>
      </c>
      <c r="I54" s="7" t="s">
        <v>85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>
        <v>3</v>
      </c>
      <c r="Q54" s="8">
        <v>4</v>
      </c>
      <c r="R54" s="8">
        <v>4</v>
      </c>
      <c r="S54" s="8">
        <v>4</v>
      </c>
      <c r="T54" s="9" t="str">
        <f>INDEX(Tarjetas!$A$4:$A$59,MOD(3*(VALUE(MID(A54,3,2))-1)+0,ROWS(Tarjetas!$A$4:$A$59))+1)</f>
        <v>S42</v>
      </c>
      <c r="U54" s="9" t="str">
        <f>INDEX(Tarjetas!$A$4:$A$59,MOD(3*(VALUE(MID(A54,3,2))-1)+1,ROWS(Tarjetas!$A$4:$A$59))+1)</f>
        <v>S43</v>
      </c>
      <c r="V54" s="9" t="str">
        <f>INDEX(Tarjetas!$A$4:$A$59,MOD(3*(VALUE(MID(A54,3,2))-1)+2,ROWS(Tarjetas!$A$4:$A$59))+1)</f>
        <v>S44</v>
      </c>
      <c r="W54" s="7" t="s">
        <v>435</v>
      </c>
      <c r="X54" s="8">
        <v>180</v>
      </c>
      <c r="Y54" s="8">
        <v>3</v>
      </c>
      <c r="Z54" s="8" t="s">
        <v>90</v>
      </c>
      <c r="AA54" s="8" t="s">
        <v>92</v>
      </c>
      <c r="AB54" s="8" t="s">
        <v>90</v>
      </c>
      <c r="AC54" s="7" t="s">
        <v>437</v>
      </c>
      <c r="AD54" s="8">
        <v>180</v>
      </c>
      <c r="AE54" s="8">
        <v>3</v>
      </c>
      <c r="AF54" s="8" t="s">
        <v>90</v>
      </c>
      <c r="AG54" s="8" t="s">
        <v>92</v>
      </c>
      <c r="AH54" s="8" t="s">
        <v>90</v>
      </c>
      <c r="AI54" s="7" t="s">
        <v>438</v>
      </c>
      <c r="AJ54" s="8">
        <v>90</v>
      </c>
      <c r="AK54" s="8">
        <v>2</v>
      </c>
      <c r="AL54" s="8" t="s">
        <v>82</v>
      </c>
      <c r="AM54" s="8" t="s">
        <v>92</v>
      </c>
      <c r="AN54" s="8" t="s">
        <v>90</v>
      </c>
      <c r="AO54" s="8">
        <v>2</v>
      </c>
      <c r="AP54" s="8">
        <v>4</v>
      </c>
      <c r="AQ54" s="8">
        <v>4</v>
      </c>
      <c r="AR54" s="8">
        <v>3</v>
      </c>
      <c r="AS54" s="8">
        <v>4</v>
      </c>
      <c r="AT54" s="8">
        <v>3</v>
      </c>
      <c r="AU54" s="8">
        <v>3</v>
      </c>
      <c r="AV54" s="8">
        <v>4</v>
      </c>
      <c r="AW54" s="8">
        <v>3</v>
      </c>
      <c r="AX54" s="8" t="s">
        <v>310</v>
      </c>
      <c r="AY54" s="7" t="s">
        <v>405</v>
      </c>
      <c r="AZ54" s="10" t="str">
        <f t="shared" si="11"/>
        <v>Sí</v>
      </c>
      <c r="BA54" s="11">
        <f>IF(H54="","",IFERROR(INDEX(Parametros!$B$4:$B$9,MATCH(H54,Parametros!$A$4:$A$9,0)),""))</f>
        <v>45</v>
      </c>
      <c r="BB54" s="12">
        <f t="shared" si="12"/>
        <v>2.5</v>
      </c>
      <c r="BC54" s="12">
        <f t="shared" si="13"/>
        <v>-42.5</v>
      </c>
      <c r="BD54" s="13">
        <f t="shared" si="14"/>
        <v>0.94444444444444442</v>
      </c>
      <c r="BE54" s="10">
        <f t="shared" si="15"/>
        <v>4</v>
      </c>
      <c r="BF54" s="10">
        <f t="shared" si="16"/>
        <v>3</v>
      </c>
      <c r="BG54" s="10">
        <f t="shared" si="17"/>
        <v>-1</v>
      </c>
      <c r="BH54" s="10">
        <f t="shared" si="18"/>
        <v>1</v>
      </c>
      <c r="BI54" s="10">
        <f t="shared" si="19"/>
        <v>0</v>
      </c>
      <c r="BJ54" s="10">
        <f t="shared" si="20"/>
        <v>0</v>
      </c>
      <c r="BK54" s="10">
        <f t="shared" si="21"/>
        <v>27</v>
      </c>
    </row>
    <row r="55" spans="1:63" ht="76.5" x14ac:dyDescent="0.2">
      <c r="A55" s="5" t="s">
        <v>488</v>
      </c>
      <c r="B55" s="33">
        <v>46311.5</v>
      </c>
      <c r="C55" s="7" t="s">
        <v>375</v>
      </c>
      <c r="D55" s="8" t="s">
        <v>81</v>
      </c>
      <c r="E55" s="8" t="s">
        <v>82</v>
      </c>
      <c r="F55" s="8" t="s">
        <v>82</v>
      </c>
      <c r="G55" s="7" t="s">
        <v>322</v>
      </c>
      <c r="H55" s="8" t="s">
        <v>305</v>
      </c>
      <c r="I55" s="7" t="s">
        <v>85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4</v>
      </c>
      <c r="Q55" s="8">
        <v>3</v>
      </c>
      <c r="R55" s="8">
        <v>3</v>
      </c>
      <c r="S55" s="8">
        <v>3</v>
      </c>
      <c r="T55" s="9" t="str">
        <f>INDEX(Tarjetas!$A$4:$A$59,MOD(3*(VALUE(MID(A55,3,2))-1)+0,ROWS(Tarjetas!$A$4:$A$59))+1)</f>
        <v>S45</v>
      </c>
      <c r="U55" s="9" t="str">
        <f>INDEX(Tarjetas!$A$4:$A$59,MOD(3*(VALUE(MID(A55,3,2))-1)+1,ROWS(Tarjetas!$A$4:$A$59))+1)</f>
        <v>S46</v>
      </c>
      <c r="V55" s="9" t="str">
        <f>INDEX(Tarjetas!$A$4:$A$59,MOD(3*(VALUE(MID(A55,3,2))-1)+2,ROWS(Tarjetas!$A$4:$A$59))+1)</f>
        <v>S47</v>
      </c>
      <c r="W55" s="7" t="s">
        <v>439</v>
      </c>
      <c r="X55" s="8">
        <v>64</v>
      </c>
      <c r="Y55" s="8">
        <v>3</v>
      </c>
      <c r="Z55" s="8" t="s">
        <v>82</v>
      </c>
      <c r="AA55" s="8" t="s">
        <v>82</v>
      </c>
      <c r="AB55" s="8" t="s">
        <v>90</v>
      </c>
      <c r="AC55" s="7" t="s">
        <v>441</v>
      </c>
      <c r="AD55" s="8">
        <v>57</v>
      </c>
      <c r="AE55" s="8">
        <v>1</v>
      </c>
      <c r="AF55" s="8" t="s">
        <v>82</v>
      </c>
      <c r="AG55" s="8" t="s">
        <v>82</v>
      </c>
      <c r="AH55" s="8" t="s">
        <v>90</v>
      </c>
      <c r="AI55" s="7" t="s">
        <v>442</v>
      </c>
      <c r="AJ55" s="8">
        <v>63</v>
      </c>
      <c r="AK55" s="8">
        <v>1</v>
      </c>
      <c r="AL55" s="8" t="s">
        <v>82</v>
      </c>
      <c r="AM55" s="8" t="s">
        <v>82</v>
      </c>
      <c r="AN55" s="8" t="s">
        <v>90</v>
      </c>
      <c r="AO55" s="8">
        <v>3</v>
      </c>
      <c r="AP55" s="8">
        <v>4</v>
      </c>
      <c r="AQ55" s="8">
        <v>4</v>
      </c>
      <c r="AR55" s="8">
        <v>5</v>
      </c>
      <c r="AS55" s="8">
        <v>2</v>
      </c>
      <c r="AT55" s="8">
        <v>5</v>
      </c>
      <c r="AU55" s="8">
        <v>3</v>
      </c>
      <c r="AV55" s="8">
        <v>3</v>
      </c>
      <c r="AW55" s="8">
        <v>3</v>
      </c>
      <c r="AX55" s="8" t="s">
        <v>305</v>
      </c>
      <c r="AY55" s="7" t="s">
        <v>405</v>
      </c>
      <c r="AZ55" s="10" t="str">
        <f t="shared" si="11"/>
        <v>Sí</v>
      </c>
      <c r="BA55" s="11">
        <f>IF(H55="","",IFERROR(INDEX(Parametros!$B$4:$B$9,MATCH(H55,Parametros!$A$4:$A$9,0)),""))</f>
        <v>7.5</v>
      </c>
      <c r="BB55" s="12">
        <f t="shared" si="12"/>
        <v>1.0222222222222224</v>
      </c>
      <c r="BC55" s="12">
        <f t="shared" si="13"/>
        <v>-6.4777777777777779</v>
      </c>
      <c r="BD55" s="13">
        <f t="shared" si="14"/>
        <v>0.86370370370370375</v>
      </c>
      <c r="BE55" s="10">
        <f t="shared" si="15"/>
        <v>3</v>
      </c>
      <c r="BF55" s="10">
        <f t="shared" si="16"/>
        <v>3</v>
      </c>
      <c r="BG55" s="10">
        <f t="shared" si="17"/>
        <v>0</v>
      </c>
      <c r="BH55" s="10">
        <f t="shared" si="18"/>
        <v>3</v>
      </c>
      <c r="BI55" s="10">
        <f t="shared" si="19"/>
        <v>3</v>
      </c>
      <c r="BJ55" s="10">
        <f t="shared" si="20"/>
        <v>0</v>
      </c>
      <c r="BK55" s="10">
        <f t="shared" si="21"/>
        <v>29</v>
      </c>
    </row>
    <row r="56" spans="1:63" ht="89.25" x14ac:dyDescent="0.2">
      <c r="A56" s="5" t="s">
        <v>489</v>
      </c>
      <c r="B56" s="33">
        <v>46311.5</v>
      </c>
      <c r="C56" s="7" t="s">
        <v>375</v>
      </c>
      <c r="D56" s="8" t="s">
        <v>81</v>
      </c>
      <c r="E56" s="8" t="s">
        <v>82</v>
      </c>
      <c r="F56" s="8" t="s">
        <v>82</v>
      </c>
      <c r="G56" s="7" t="s">
        <v>83</v>
      </c>
      <c r="H56" s="8" t="s">
        <v>310</v>
      </c>
      <c r="I56" s="7" t="s">
        <v>316</v>
      </c>
      <c r="J56" s="8">
        <v>1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2</v>
      </c>
      <c r="Q56" s="8">
        <v>1</v>
      </c>
      <c r="R56" s="8">
        <v>2</v>
      </c>
      <c r="S56" s="8">
        <v>2</v>
      </c>
      <c r="T56" s="9" t="str">
        <f>INDEX(Tarjetas!$A$4:$A$59,MOD(3*(VALUE(MID(A56,3,2))-1)+0,ROWS(Tarjetas!$A$4:$A$59))+1)</f>
        <v>S48</v>
      </c>
      <c r="U56" s="9" t="str">
        <f>INDEX(Tarjetas!$A$4:$A$59,MOD(3*(VALUE(MID(A56,3,2))-1)+1,ROWS(Tarjetas!$A$4:$A$59))+1)</f>
        <v>S49</v>
      </c>
      <c r="V56" s="9" t="str">
        <f>INDEX(Tarjetas!$A$4:$A$59,MOD(3*(VALUE(MID(A56,3,2))-1)+2,ROWS(Tarjetas!$A$4:$A$59))+1)</f>
        <v>S50</v>
      </c>
      <c r="W56" s="7" t="s">
        <v>443</v>
      </c>
      <c r="X56" s="8">
        <v>23</v>
      </c>
      <c r="Y56" s="8">
        <v>2</v>
      </c>
      <c r="Z56" s="8" t="s">
        <v>82</v>
      </c>
      <c r="AA56" s="8" t="s">
        <v>92</v>
      </c>
      <c r="AB56" s="8" t="s">
        <v>90</v>
      </c>
      <c r="AC56" s="7" t="s">
        <v>445</v>
      </c>
      <c r="AD56" s="8">
        <v>180</v>
      </c>
      <c r="AE56" s="8">
        <v>3</v>
      </c>
      <c r="AF56" s="8" t="s">
        <v>90</v>
      </c>
      <c r="AG56" s="8" t="s">
        <v>92</v>
      </c>
      <c r="AH56" s="8" t="s">
        <v>90</v>
      </c>
      <c r="AI56" s="7" t="s">
        <v>446</v>
      </c>
      <c r="AJ56" s="8">
        <v>58</v>
      </c>
      <c r="AK56" s="8">
        <v>1</v>
      </c>
      <c r="AL56" s="8" t="s">
        <v>82</v>
      </c>
      <c r="AM56" s="8" t="s">
        <v>82</v>
      </c>
      <c r="AN56" s="8" t="s">
        <v>90</v>
      </c>
      <c r="AO56" s="8">
        <v>4</v>
      </c>
      <c r="AP56" s="8">
        <v>4</v>
      </c>
      <c r="AQ56" s="8">
        <v>4</v>
      </c>
      <c r="AR56" s="8">
        <v>2</v>
      </c>
      <c r="AS56" s="8">
        <v>3</v>
      </c>
      <c r="AT56" s="8">
        <v>4</v>
      </c>
      <c r="AU56" s="8">
        <v>4</v>
      </c>
      <c r="AV56" s="8">
        <v>3</v>
      </c>
      <c r="AW56" s="8">
        <v>3</v>
      </c>
      <c r="AX56" s="8" t="s">
        <v>310</v>
      </c>
      <c r="AY56" s="7" t="s">
        <v>94</v>
      </c>
      <c r="AZ56" s="10" t="str">
        <f t="shared" si="11"/>
        <v>Sí</v>
      </c>
      <c r="BA56" s="11">
        <f>IF(H56="","",IFERROR(INDEX(Parametros!$B$4:$B$9,MATCH(H56,Parametros!$A$4:$A$9,0)),""))</f>
        <v>45</v>
      </c>
      <c r="BB56" s="12">
        <f t="shared" si="12"/>
        <v>1.45</v>
      </c>
      <c r="BC56" s="12">
        <f t="shared" si="13"/>
        <v>-43.55</v>
      </c>
      <c r="BD56" s="13">
        <f t="shared" si="14"/>
        <v>0.96777777777777774</v>
      </c>
      <c r="BE56" s="10">
        <f t="shared" si="15"/>
        <v>2</v>
      </c>
      <c r="BF56" s="10">
        <f t="shared" si="16"/>
        <v>3</v>
      </c>
      <c r="BG56" s="10">
        <f t="shared" si="17"/>
        <v>1</v>
      </c>
      <c r="BH56" s="10">
        <f t="shared" si="18"/>
        <v>2</v>
      </c>
      <c r="BI56" s="10">
        <f t="shared" si="19"/>
        <v>1</v>
      </c>
      <c r="BJ56" s="10">
        <f t="shared" si="20"/>
        <v>0</v>
      </c>
      <c r="BK56" s="10">
        <f t="shared" si="21"/>
        <v>28</v>
      </c>
    </row>
    <row r="57" spans="1:63" ht="89.25" x14ac:dyDescent="0.2">
      <c r="A57" s="5" t="s">
        <v>490</v>
      </c>
      <c r="B57" s="33">
        <v>46311.5</v>
      </c>
      <c r="C57" s="7" t="s">
        <v>375</v>
      </c>
      <c r="D57" s="8" t="s">
        <v>306</v>
      </c>
      <c r="E57" s="8" t="s">
        <v>82</v>
      </c>
      <c r="F57" s="8" t="s">
        <v>82</v>
      </c>
      <c r="G57" s="7" t="s">
        <v>312</v>
      </c>
      <c r="H57" s="8" t="s">
        <v>84</v>
      </c>
      <c r="I57" s="7" t="s">
        <v>307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3</v>
      </c>
      <c r="Q57" s="8">
        <v>5</v>
      </c>
      <c r="R57" s="8">
        <v>5</v>
      </c>
      <c r="S57" s="8">
        <v>4</v>
      </c>
      <c r="T57" s="9" t="str">
        <f>INDEX(Tarjetas!$A$4:$A$59,MOD(3*(VALUE(MID(A57,3,2))-1)+0,ROWS(Tarjetas!$A$4:$A$59))+1)</f>
        <v>S51</v>
      </c>
      <c r="U57" s="9" t="str">
        <f>INDEX(Tarjetas!$A$4:$A$59,MOD(3*(VALUE(MID(A57,3,2))-1)+1,ROWS(Tarjetas!$A$4:$A$59))+1)</f>
        <v>S52</v>
      </c>
      <c r="V57" s="9" t="str">
        <f>INDEX(Tarjetas!$A$4:$A$59,MOD(3*(VALUE(MID(A57,3,2))-1)+2,ROWS(Tarjetas!$A$4:$A$59))+1)</f>
        <v>S53</v>
      </c>
      <c r="W57" s="7" t="s">
        <v>447</v>
      </c>
      <c r="X57" s="8">
        <v>68</v>
      </c>
      <c r="Y57" s="8">
        <v>2</v>
      </c>
      <c r="Z57" s="8" t="s">
        <v>82</v>
      </c>
      <c r="AA57" s="8" t="s">
        <v>82</v>
      </c>
      <c r="AB57" s="8" t="s">
        <v>90</v>
      </c>
      <c r="AC57" s="7" t="s">
        <v>449</v>
      </c>
      <c r="AD57" s="8">
        <v>109</v>
      </c>
      <c r="AE57" s="8">
        <v>2</v>
      </c>
      <c r="AF57" s="8" t="s">
        <v>82</v>
      </c>
      <c r="AG57" s="8" t="s">
        <v>82</v>
      </c>
      <c r="AH57" s="8" t="s">
        <v>90</v>
      </c>
      <c r="AI57" s="7" t="s">
        <v>450</v>
      </c>
      <c r="AJ57" s="8">
        <v>101</v>
      </c>
      <c r="AK57" s="8">
        <v>2</v>
      </c>
      <c r="AL57" s="8" t="s">
        <v>82</v>
      </c>
      <c r="AM57" s="8" t="s">
        <v>82</v>
      </c>
      <c r="AN57" s="8" t="s">
        <v>90</v>
      </c>
      <c r="AO57" s="8">
        <v>4</v>
      </c>
      <c r="AP57" s="8">
        <v>5</v>
      </c>
      <c r="AQ57" s="8">
        <v>3</v>
      </c>
      <c r="AR57" s="8">
        <v>4</v>
      </c>
      <c r="AS57" s="8">
        <v>4</v>
      </c>
      <c r="AT57" s="8">
        <v>3</v>
      </c>
      <c r="AU57" s="8">
        <v>4</v>
      </c>
      <c r="AV57" s="8">
        <v>2</v>
      </c>
      <c r="AW57" s="8">
        <v>4</v>
      </c>
      <c r="AX57" s="8" t="s">
        <v>84</v>
      </c>
      <c r="AY57" s="7" t="s">
        <v>94</v>
      </c>
      <c r="AZ57" s="10" t="str">
        <f t="shared" si="11"/>
        <v>Sí</v>
      </c>
      <c r="BA57" s="11">
        <f>IF(H57="","",IFERROR(INDEX(Parametros!$B$4:$B$9,MATCH(H57,Parametros!$A$4:$A$9,0)),""))</f>
        <v>90</v>
      </c>
      <c r="BB57" s="12">
        <f t="shared" si="12"/>
        <v>1.5444444444444445</v>
      </c>
      <c r="BC57" s="12">
        <f t="shared" si="13"/>
        <v>-88.455555555555549</v>
      </c>
      <c r="BD57" s="13">
        <f t="shared" si="14"/>
        <v>0.98283950617283944</v>
      </c>
      <c r="BE57" s="10">
        <f t="shared" si="15"/>
        <v>4</v>
      </c>
      <c r="BF57" s="10">
        <f t="shared" si="16"/>
        <v>4</v>
      </c>
      <c r="BG57" s="10">
        <f t="shared" si="17"/>
        <v>0</v>
      </c>
      <c r="BH57" s="10">
        <f t="shared" si="18"/>
        <v>3</v>
      </c>
      <c r="BI57" s="10">
        <f t="shared" si="19"/>
        <v>3</v>
      </c>
      <c r="BJ57" s="10">
        <f t="shared" si="20"/>
        <v>0</v>
      </c>
      <c r="BK57" s="10">
        <f t="shared" si="21"/>
        <v>29</v>
      </c>
    </row>
    <row r="58" spans="1:63" ht="76.5" x14ac:dyDescent="0.2">
      <c r="A58" s="5" t="s">
        <v>491</v>
      </c>
      <c r="B58" s="33">
        <v>46311.5</v>
      </c>
      <c r="C58" s="7" t="s">
        <v>375</v>
      </c>
      <c r="D58" s="8" t="s">
        <v>306</v>
      </c>
      <c r="E58" s="8" t="s">
        <v>82</v>
      </c>
      <c r="F58" s="8" t="s">
        <v>82</v>
      </c>
      <c r="G58" s="7" t="s">
        <v>315</v>
      </c>
      <c r="H58" s="8" t="s">
        <v>308</v>
      </c>
      <c r="I58" s="7" t="s">
        <v>85</v>
      </c>
      <c r="J58" s="8">
        <v>0</v>
      </c>
      <c r="K58" s="8">
        <v>0</v>
      </c>
      <c r="L58" s="8">
        <v>0</v>
      </c>
      <c r="M58" s="8">
        <v>0</v>
      </c>
      <c r="N58" s="8">
        <v>1</v>
      </c>
      <c r="O58" s="8">
        <v>0</v>
      </c>
      <c r="P58" s="8">
        <v>3</v>
      </c>
      <c r="Q58" s="8">
        <v>4</v>
      </c>
      <c r="R58" s="8">
        <v>4</v>
      </c>
      <c r="S58" s="8">
        <v>2</v>
      </c>
      <c r="T58" s="9" t="str">
        <f>INDEX(Tarjetas!$A$4:$A$59,MOD(3*(VALUE(MID(A58,3,2))-1)+0,ROWS(Tarjetas!$A$4:$A$59))+1)</f>
        <v>S54</v>
      </c>
      <c r="U58" s="9" t="str">
        <f>INDEX(Tarjetas!$A$4:$A$59,MOD(3*(VALUE(MID(A58,3,2))-1)+1,ROWS(Tarjetas!$A$4:$A$59))+1)</f>
        <v>S55</v>
      </c>
      <c r="V58" s="9" t="str">
        <f>INDEX(Tarjetas!$A$4:$A$59,MOD(3*(VALUE(MID(A58,3,2))-1)+2,ROWS(Tarjetas!$A$4:$A$59))+1)</f>
        <v>S56</v>
      </c>
      <c r="W58" s="7" t="s">
        <v>451</v>
      </c>
      <c r="X58" s="8">
        <v>128</v>
      </c>
      <c r="Y58" s="8">
        <v>2</v>
      </c>
      <c r="Z58" s="8" t="s">
        <v>82</v>
      </c>
      <c r="AA58" s="8" t="s">
        <v>92</v>
      </c>
      <c r="AB58" s="8" t="s">
        <v>90</v>
      </c>
      <c r="AC58" s="7" t="s">
        <v>453</v>
      </c>
      <c r="AD58" s="8">
        <v>86</v>
      </c>
      <c r="AE58" s="8">
        <v>1</v>
      </c>
      <c r="AF58" s="8" t="s">
        <v>82</v>
      </c>
      <c r="AG58" s="8" t="s">
        <v>82</v>
      </c>
      <c r="AH58" s="8" t="s">
        <v>90</v>
      </c>
      <c r="AI58" s="7" t="s">
        <v>454</v>
      </c>
      <c r="AJ58" s="8">
        <v>180</v>
      </c>
      <c r="AK58" s="8">
        <v>3</v>
      </c>
      <c r="AL58" s="8" t="s">
        <v>90</v>
      </c>
      <c r="AM58" s="8" t="s">
        <v>90</v>
      </c>
      <c r="AN58" s="8" t="s">
        <v>82</v>
      </c>
      <c r="AO58" s="8">
        <v>3</v>
      </c>
      <c r="AP58" s="8">
        <v>5</v>
      </c>
      <c r="AQ58" s="8">
        <v>4</v>
      </c>
      <c r="AR58" s="8">
        <v>3</v>
      </c>
      <c r="AS58" s="8">
        <v>2</v>
      </c>
      <c r="AT58" s="8">
        <v>4</v>
      </c>
      <c r="AU58" s="8">
        <v>3</v>
      </c>
      <c r="AV58" s="8">
        <v>3</v>
      </c>
      <c r="AW58" s="8">
        <v>3</v>
      </c>
      <c r="AX58" s="8" t="s">
        <v>308</v>
      </c>
      <c r="AY58" s="7" t="s">
        <v>94</v>
      </c>
      <c r="AZ58" s="10" t="str">
        <f t="shared" si="11"/>
        <v>Sí</v>
      </c>
      <c r="BA58" s="11">
        <f>IF(H58="","",IFERROR(INDEX(Parametros!$B$4:$B$9,MATCH(H58,Parametros!$A$4:$A$9,0)),""))</f>
        <v>22.5</v>
      </c>
      <c r="BB58" s="12">
        <f t="shared" si="12"/>
        <v>2.1888888888888891</v>
      </c>
      <c r="BC58" s="12">
        <f t="shared" si="13"/>
        <v>-20.31111111111111</v>
      </c>
      <c r="BD58" s="13">
        <f t="shared" si="14"/>
        <v>0.90271604938271599</v>
      </c>
      <c r="BE58" s="10">
        <f t="shared" si="15"/>
        <v>2</v>
      </c>
      <c r="BF58" s="10">
        <f t="shared" si="16"/>
        <v>3</v>
      </c>
      <c r="BG58" s="10">
        <f t="shared" si="17"/>
        <v>1</v>
      </c>
      <c r="BH58" s="10">
        <f t="shared" si="18"/>
        <v>2</v>
      </c>
      <c r="BI58" s="10">
        <f t="shared" si="19"/>
        <v>1</v>
      </c>
      <c r="BJ58" s="10">
        <f t="shared" si="20"/>
        <v>1</v>
      </c>
      <c r="BK58" s="10">
        <f t="shared" si="21"/>
        <v>27</v>
      </c>
    </row>
    <row r="59" spans="1:63" ht="76.5" x14ac:dyDescent="0.2">
      <c r="A59" s="5" t="s">
        <v>492</v>
      </c>
      <c r="B59" s="33">
        <v>46311.5</v>
      </c>
      <c r="C59" s="7" t="s">
        <v>375</v>
      </c>
      <c r="D59" s="8" t="s">
        <v>81</v>
      </c>
      <c r="E59" s="8" t="s">
        <v>82</v>
      </c>
      <c r="F59" s="8" t="s">
        <v>82</v>
      </c>
      <c r="G59" s="7" t="s">
        <v>83</v>
      </c>
      <c r="H59" s="8" t="s">
        <v>317</v>
      </c>
      <c r="I59" s="7" t="s">
        <v>313</v>
      </c>
      <c r="J59" s="8">
        <v>0</v>
      </c>
      <c r="K59" s="8">
        <v>1</v>
      </c>
      <c r="L59" s="8">
        <v>1</v>
      </c>
      <c r="M59" s="8">
        <v>0</v>
      </c>
      <c r="N59" s="8">
        <v>0</v>
      </c>
      <c r="O59" s="8">
        <v>0</v>
      </c>
      <c r="P59" s="8">
        <v>1</v>
      </c>
      <c r="Q59" s="8">
        <v>2</v>
      </c>
      <c r="R59" s="8">
        <v>2</v>
      </c>
      <c r="S59" s="8">
        <v>1</v>
      </c>
      <c r="T59" s="9" t="str">
        <f>INDEX(Tarjetas!$A$4:$A$59,MOD(3*(VALUE(MID(A59,3,2))-1)+0,ROWS(Tarjetas!$A$4:$A$59))+1)</f>
        <v>S01</v>
      </c>
      <c r="U59" s="9" t="str">
        <f>INDEX(Tarjetas!$A$4:$A$59,MOD(3*(VALUE(MID(A59,3,2))-1)+1,ROWS(Tarjetas!$A$4:$A$59))+1)</f>
        <v>S02</v>
      </c>
      <c r="V59" s="9" t="str">
        <f>INDEX(Tarjetas!$A$4:$A$59,MOD(3*(VALUE(MID(A59,3,2))-1)+2,ROWS(Tarjetas!$A$4:$A$59))+1)</f>
        <v>S03</v>
      </c>
      <c r="W59" s="7" t="s">
        <v>376</v>
      </c>
      <c r="X59" s="8">
        <v>55</v>
      </c>
      <c r="Y59" s="8">
        <v>3</v>
      </c>
      <c r="Z59" s="8" t="s">
        <v>82</v>
      </c>
      <c r="AA59" s="8" t="s">
        <v>82</v>
      </c>
      <c r="AB59" s="8" t="s">
        <v>90</v>
      </c>
      <c r="AC59" s="7" t="s">
        <v>377</v>
      </c>
      <c r="AD59" s="8">
        <v>68</v>
      </c>
      <c r="AE59" s="8">
        <v>1</v>
      </c>
      <c r="AF59" s="8" t="s">
        <v>82</v>
      </c>
      <c r="AG59" s="8" t="s">
        <v>82</v>
      </c>
      <c r="AH59" s="8" t="s">
        <v>90</v>
      </c>
      <c r="AI59" s="7" t="s">
        <v>378</v>
      </c>
      <c r="AJ59" s="8">
        <v>180</v>
      </c>
      <c r="AK59" s="8">
        <v>3</v>
      </c>
      <c r="AL59" s="8" t="s">
        <v>90</v>
      </c>
      <c r="AM59" s="8" t="s">
        <v>92</v>
      </c>
      <c r="AN59" s="8" t="s">
        <v>82</v>
      </c>
      <c r="AO59" s="8">
        <v>4</v>
      </c>
      <c r="AP59" s="8">
        <v>4</v>
      </c>
      <c r="AQ59" s="8">
        <v>4</v>
      </c>
      <c r="AR59" s="8">
        <v>4</v>
      </c>
      <c r="AS59" s="8">
        <v>2</v>
      </c>
      <c r="AT59" s="8">
        <v>2</v>
      </c>
      <c r="AU59" s="8">
        <v>4</v>
      </c>
      <c r="AV59" s="8">
        <v>4</v>
      </c>
      <c r="AW59" s="8">
        <v>3</v>
      </c>
      <c r="AX59" s="8" t="s">
        <v>317</v>
      </c>
      <c r="AY59" s="7" t="s">
        <v>414</v>
      </c>
      <c r="AZ59" s="10" t="str">
        <f t="shared" si="11"/>
        <v>Sí</v>
      </c>
      <c r="BA59" s="11">
        <f>IF(H59="","",IFERROR(INDEX(Parametros!$B$4:$B$9,MATCH(H59,Parametros!$A$4:$A$9,0)),""))</f>
        <v>180</v>
      </c>
      <c r="BB59" s="12">
        <f t="shared" si="12"/>
        <v>1.6833333333333333</v>
      </c>
      <c r="BC59" s="12">
        <f t="shared" si="13"/>
        <v>-178.31666666666666</v>
      </c>
      <c r="BD59" s="13">
        <f t="shared" si="14"/>
        <v>0.99064814814814817</v>
      </c>
      <c r="BE59" s="10">
        <f t="shared" si="15"/>
        <v>1</v>
      </c>
      <c r="BF59" s="10">
        <f t="shared" si="16"/>
        <v>3</v>
      </c>
      <c r="BG59" s="10">
        <f t="shared" si="17"/>
        <v>2</v>
      </c>
      <c r="BH59" s="10">
        <f t="shared" si="18"/>
        <v>2</v>
      </c>
      <c r="BI59" s="10">
        <f t="shared" si="19"/>
        <v>2</v>
      </c>
      <c r="BJ59" s="10">
        <f t="shared" si="20"/>
        <v>1</v>
      </c>
      <c r="BK59" s="10">
        <f t="shared" si="21"/>
        <v>28</v>
      </c>
    </row>
    <row r="60" spans="1:63" ht="89.25" x14ac:dyDescent="0.2">
      <c r="A60" s="5" t="s">
        <v>493</v>
      </c>
      <c r="B60" s="33">
        <v>46311.5</v>
      </c>
      <c r="C60" s="7" t="s">
        <v>375</v>
      </c>
      <c r="D60" s="8" t="s">
        <v>306</v>
      </c>
      <c r="E60" s="8" t="s">
        <v>82</v>
      </c>
      <c r="F60" s="8" t="s">
        <v>82</v>
      </c>
      <c r="G60" s="7" t="s">
        <v>83</v>
      </c>
      <c r="H60" s="8" t="s">
        <v>319</v>
      </c>
      <c r="I60" s="7" t="s">
        <v>316</v>
      </c>
      <c r="J60" s="8">
        <v>0</v>
      </c>
      <c r="K60" s="8">
        <v>0</v>
      </c>
      <c r="L60" s="8">
        <v>1</v>
      </c>
      <c r="M60" s="8">
        <v>1</v>
      </c>
      <c r="N60" s="8">
        <v>0</v>
      </c>
      <c r="O60" s="8">
        <v>0</v>
      </c>
      <c r="P60" s="8">
        <v>1</v>
      </c>
      <c r="Q60" s="8">
        <v>4</v>
      </c>
      <c r="R60" s="8">
        <v>3</v>
      </c>
      <c r="S60" s="8">
        <v>2</v>
      </c>
      <c r="T60" s="9" t="str">
        <f>INDEX(Tarjetas!$A$4:$A$59,MOD(3*(VALUE(MID(A60,3,2))-1)+0,ROWS(Tarjetas!$A$4:$A$59))+1)</f>
        <v>S04</v>
      </c>
      <c r="U60" s="9" t="str">
        <f>INDEX(Tarjetas!$A$4:$A$59,MOD(3*(VALUE(MID(A60,3,2))-1)+1,ROWS(Tarjetas!$A$4:$A$59))+1)</f>
        <v>S05</v>
      </c>
      <c r="V60" s="9" t="str">
        <f>INDEX(Tarjetas!$A$4:$A$59,MOD(3*(VALUE(MID(A60,3,2))-1)+2,ROWS(Tarjetas!$A$4:$A$59))+1)</f>
        <v>S06</v>
      </c>
      <c r="W60" s="7" t="s">
        <v>380</v>
      </c>
      <c r="X60" s="8">
        <v>106</v>
      </c>
      <c r="Y60" s="8">
        <v>1</v>
      </c>
      <c r="Z60" s="8" t="s">
        <v>82</v>
      </c>
      <c r="AA60" s="8" t="s">
        <v>82</v>
      </c>
      <c r="AB60" s="8" t="s">
        <v>90</v>
      </c>
      <c r="AC60" s="7" t="s">
        <v>381</v>
      </c>
      <c r="AD60" s="8">
        <v>98</v>
      </c>
      <c r="AE60" s="8">
        <v>2</v>
      </c>
      <c r="AF60" s="8" t="s">
        <v>82</v>
      </c>
      <c r="AG60" s="8" t="s">
        <v>82</v>
      </c>
      <c r="AH60" s="8" t="s">
        <v>90</v>
      </c>
      <c r="AI60" s="7" t="s">
        <v>382</v>
      </c>
      <c r="AJ60" s="8">
        <v>76</v>
      </c>
      <c r="AK60" s="8">
        <v>1</v>
      </c>
      <c r="AL60" s="8" t="s">
        <v>82</v>
      </c>
      <c r="AM60" s="8" t="s">
        <v>82</v>
      </c>
      <c r="AN60" s="8" t="s">
        <v>90</v>
      </c>
      <c r="AO60" s="8">
        <v>3</v>
      </c>
      <c r="AP60" s="8">
        <v>3</v>
      </c>
      <c r="AQ60" s="8">
        <v>4</v>
      </c>
      <c r="AR60" s="8">
        <v>3</v>
      </c>
      <c r="AS60" s="8">
        <v>3</v>
      </c>
      <c r="AT60" s="8">
        <v>3</v>
      </c>
      <c r="AU60" s="8">
        <v>3</v>
      </c>
      <c r="AV60" s="8">
        <v>4</v>
      </c>
      <c r="AW60" s="8">
        <v>3</v>
      </c>
      <c r="AX60" s="8" t="s">
        <v>319</v>
      </c>
      <c r="AY60" s="7" t="s">
        <v>94</v>
      </c>
      <c r="AZ60" s="10" t="str">
        <f t="shared" si="11"/>
        <v>Sí</v>
      </c>
      <c r="BA60" s="11">
        <f>IF(H60="","",IFERROR(INDEX(Parametros!$B$4:$B$9,MATCH(H60,Parametros!$A$4:$A$9,0)),""))</f>
        <v>300</v>
      </c>
      <c r="BB60" s="12">
        <f t="shared" si="12"/>
        <v>1.5555555555555556</v>
      </c>
      <c r="BC60" s="12">
        <f t="shared" si="13"/>
        <v>-298.44444444444446</v>
      </c>
      <c r="BD60" s="13">
        <f t="shared" si="14"/>
        <v>0.99481481481481482</v>
      </c>
      <c r="BE60" s="10">
        <f t="shared" si="15"/>
        <v>2</v>
      </c>
      <c r="BF60" s="10">
        <f t="shared" si="16"/>
        <v>3</v>
      </c>
      <c r="BG60" s="10">
        <f t="shared" si="17"/>
        <v>1</v>
      </c>
      <c r="BH60" s="10">
        <f t="shared" si="18"/>
        <v>3</v>
      </c>
      <c r="BI60" s="10">
        <f t="shared" si="19"/>
        <v>3</v>
      </c>
      <c r="BJ60" s="10">
        <f t="shared" si="20"/>
        <v>0</v>
      </c>
      <c r="BK60" s="10">
        <f t="shared" si="21"/>
        <v>26</v>
      </c>
    </row>
    <row r="61" spans="1:63" ht="63.75" x14ac:dyDescent="0.2">
      <c r="A61" s="5" t="s">
        <v>494</v>
      </c>
      <c r="B61" s="33">
        <v>46311.5</v>
      </c>
      <c r="C61" s="7" t="s">
        <v>375</v>
      </c>
      <c r="D61" s="8" t="s">
        <v>306</v>
      </c>
      <c r="E61" s="8" t="s">
        <v>82</v>
      </c>
      <c r="F61" s="8" t="s">
        <v>82</v>
      </c>
      <c r="G61" s="7" t="s">
        <v>312</v>
      </c>
      <c r="H61" s="8" t="s">
        <v>319</v>
      </c>
      <c r="I61" s="7" t="s">
        <v>313</v>
      </c>
      <c r="J61" s="8">
        <v>1</v>
      </c>
      <c r="K61" s="8">
        <v>1</v>
      </c>
      <c r="L61" s="8">
        <v>1</v>
      </c>
      <c r="M61" s="8">
        <v>0</v>
      </c>
      <c r="N61" s="8">
        <v>0</v>
      </c>
      <c r="O61" s="8">
        <v>0</v>
      </c>
      <c r="P61" s="8">
        <v>1</v>
      </c>
      <c r="Q61" s="8">
        <v>3</v>
      </c>
      <c r="R61" s="8">
        <v>3</v>
      </c>
      <c r="S61" s="8">
        <v>2</v>
      </c>
      <c r="T61" s="9" t="str">
        <f>INDEX(Tarjetas!$A$4:$A$59,MOD(3*(VALUE(MID(A61,3,2))-1)+0,ROWS(Tarjetas!$A$4:$A$59))+1)</f>
        <v>S07</v>
      </c>
      <c r="U61" s="9" t="str">
        <f>INDEX(Tarjetas!$A$4:$A$59,MOD(3*(VALUE(MID(A61,3,2))-1)+1,ROWS(Tarjetas!$A$4:$A$59))+1)</f>
        <v>S08</v>
      </c>
      <c r="V61" s="9" t="str">
        <f>INDEX(Tarjetas!$A$4:$A$59,MOD(3*(VALUE(MID(A61,3,2))-1)+2,ROWS(Tarjetas!$A$4:$A$59))+1)</f>
        <v>S09</v>
      </c>
      <c r="W61" s="7" t="s">
        <v>385</v>
      </c>
      <c r="X61" s="8">
        <v>180</v>
      </c>
      <c r="Y61" s="8">
        <v>3</v>
      </c>
      <c r="Z61" s="8" t="s">
        <v>90</v>
      </c>
      <c r="AA61" s="8" t="s">
        <v>90</v>
      </c>
      <c r="AB61" s="8" t="s">
        <v>90</v>
      </c>
      <c r="AC61" s="7" t="s">
        <v>386</v>
      </c>
      <c r="AD61" s="8">
        <v>180</v>
      </c>
      <c r="AE61" s="8">
        <v>3</v>
      </c>
      <c r="AF61" s="8" t="s">
        <v>90</v>
      </c>
      <c r="AG61" s="8" t="s">
        <v>90</v>
      </c>
      <c r="AH61" s="8" t="s">
        <v>90</v>
      </c>
      <c r="AI61" s="7" t="s">
        <v>387</v>
      </c>
      <c r="AJ61" s="8">
        <v>180</v>
      </c>
      <c r="AK61" s="8">
        <v>3</v>
      </c>
      <c r="AL61" s="8" t="s">
        <v>90</v>
      </c>
      <c r="AM61" s="8" t="s">
        <v>92</v>
      </c>
      <c r="AN61" s="8" t="s">
        <v>82</v>
      </c>
      <c r="AO61" s="8">
        <v>2</v>
      </c>
      <c r="AP61" s="8">
        <v>2</v>
      </c>
      <c r="AQ61" s="8">
        <v>4</v>
      </c>
      <c r="AR61" s="8">
        <v>3</v>
      </c>
      <c r="AS61" s="8">
        <v>2</v>
      </c>
      <c r="AT61" s="8">
        <v>4</v>
      </c>
      <c r="AU61" s="8">
        <v>4</v>
      </c>
      <c r="AV61" s="8">
        <v>4</v>
      </c>
      <c r="AW61" s="8">
        <v>2</v>
      </c>
      <c r="AX61" s="8" t="s">
        <v>319</v>
      </c>
      <c r="AY61" s="7" t="s">
        <v>94</v>
      </c>
      <c r="AZ61" s="10" t="str">
        <f t="shared" si="11"/>
        <v>Sí</v>
      </c>
      <c r="BA61" s="11">
        <f>IF(H61="","",IFERROR(INDEX(Parametros!$B$4:$B$9,MATCH(H61,Parametros!$A$4:$A$9,0)),""))</f>
        <v>300</v>
      </c>
      <c r="BB61" s="12">
        <f t="shared" si="12"/>
        <v>3</v>
      </c>
      <c r="BC61" s="12">
        <f t="shared" si="13"/>
        <v>-297</v>
      </c>
      <c r="BD61" s="13">
        <f t="shared" si="14"/>
        <v>0.99</v>
      </c>
      <c r="BE61" s="10">
        <f t="shared" si="15"/>
        <v>2</v>
      </c>
      <c r="BF61" s="10">
        <f t="shared" si="16"/>
        <v>2</v>
      </c>
      <c r="BG61" s="10">
        <f t="shared" si="17"/>
        <v>0</v>
      </c>
      <c r="BH61" s="10">
        <f t="shared" si="18"/>
        <v>0</v>
      </c>
      <c r="BI61" s="10">
        <f t="shared" si="19"/>
        <v>0</v>
      </c>
      <c r="BJ61" s="10">
        <f t="shared" si="20"/>
        <v>1</v>
      </c>
      <c r="BK61" s="10">
        <f t="shared" si="21"/>
        <v>25</v>
      </c>
    </row>
    <row r="62" spans="1:63" ht="76.5" x14ac:dyDescent="0.2">
      <c r="A62" s="5" t="s">
        <v>495</v>
      </c>
      <c r="B62" s="33">
        <v>46311.5</v>
      </c>
      <c r="C62" s="7" t="s">
        <v>375</v>
      </c>
      <c r="D62" s="8" t="s">
        <v>306</v>
      </c>
      <c r="E62" s="8" t="s">
        <v>82</v>
      </c>
      <c r="F62" s="8" t="s">
        <v>82</v>
      </c>
      <c r="G62" s="7" t="s">
        <v>323</v>
      </c>
      <c r="H62" s="8" t="s">
        <v>305</v>
      </c>
      <c r="I62" s="7" t="s">
        <v>307</v>
      </c>
      <c r="J62" s="8">
        <v>0</v>
      </c>
      <c r="K62" s="8">
        <v>0</v>
      </c>
      <c r="L62" s="8">
        <v>0</v>
      </c>
      <c r="M62" s="8">
        <v>0</v>
      </c>
      <c r="N62" s="8">
        <v>1</v>
      </c>
      <c r="O62" s="8">
        <v>0</v>
      </c>
      <c r="P62" s="8">
        <v>3</v>
      </c>
      <c r="Q62" s="8">
        <v>3</v>
      </c>
      <c r="R62" s="8">
        <v>4</v>
      </c>
      <c r="S62" s="8">
        <v>4</v>
      </c>
      <c r="T62" s="9" t="str">
        <f>INDEX(Tarjetas!$A$4:$A$59,MOD(3*(VALUE(MID(A62,3,2))-1)+0,ROWS(Tarjetas!$A$4:$A$59))+1)</f>
        <v>S10</v>
      </c>
      <c r="U62" s="9" t="str">
        <f>INDEX(Tarjetas!$A$4:$A$59,MOD(3*(VALUE(MID(A62,3,2))-1)+1,ROWS(Tarjetas!$A$4:$A$59))+1)</f>
        <v>S11</v>
      </c>
      <c r="V62" s="9" t="str">
        <f>INDEX(Tarjetas!$A$4:$A$59,MOD(3*(VALUE(MID(A62,3,2))-1)+2,ROWS(Tarjetas!$A$4:$A$59))+1)</f>
        <v>S12</v>
      </c>
      <c r="W62" s="7" t="s">
        <v>390</v>
      </c>
      <c r="X62" s="8">
        <v>180</v>
      </c>
      <c r="Y62" s="8">
        <v>3</v>
      </c>
      <c r="Z62" s="8" t="s">
        <v>90</v>
      </c>
      <c r="AA62" s="8" t="s">
        <v>90</v>
      </c>
      <c r="AB62" s="8" t="s">
        <v>90</v>
      </c>
      <c r="AC62" s="7" t="s">
        <v>391</v>
      </c>
      <c r="AD62" s="8">
        <v>180</v>
      </c>
      <c r="AE62" s="8">
        <v>3</v>
      </c>
      <c r="AF62" s="8" t="s">
        <v>90</v>
      </c>
      <c r="AG62" s="8" t="s">
        <v>92</v>
      </c>
      <c r="AH62" s="8" t="s">
        <v>90</v>
      </c>
      <c r="AI62" s="7" t="s">
        <v>392</v>
      </c>
      <c r="AJ62" s="8">
        <v>51</v>
      </c>
      <c r="AK62" s="8">
        <v>1</v>
      </c>
      <c r="AL62" s="8" t="s">
        <v>82</v>
      </c>
      <c r="AM62" s="8" t="s">
        <v>82</v>
      </c>
      <c r="AN62" s="8" t="s">
        <v>90</v>
      </c>
      <c r="AO62" s="8">
        <v>2</v>
      </c>
      <c r="AP62" s="8">
        <v>3</v>
      </c>
      <c r="AQ62" s="8">
        <v>2</v>
      </c>
      <c r="AR62" s="8">
        <v>4</v>
      </c>
      <c r="AS62" s="8">
        <v>3</v>
      </c>
      <c r="AT62" s="8">
        <v>3</v>
      </c>
      <c r="AU62" s="8">
        <v>4</v>
      </c>
      <c r="AV62" s="8">
        <v>3</v>
      </c>
      <c r="AW62" s="8">
        <v>2</v>
      </c>
      <c r="AX62" s="8" t="s">
        <v>305</v>
      </c>
      <c r="AY62" s="7" t="s">
        <v>94</v>
      </c>
      <c r="AZ62" s="10" t="str">
        <f t="shared" si="11"/>
        <v>Sí</v>
      </c>
      <c r="BA62" s="11">
        <f>IF(H62="","",IFERROR(INDEX(Parametros!$B$4:$B$9,MATCH(H62,Parametros!$A$4:$A$9,0)),""))</f>
        <v>7.5</v>
      </c>
      <c r="BB62" s="12">
        <f t="shared" si="12"/>
        <v>2.2833333333333332</v>
      </c>
      <c r="BC62" s="12">
        <f t="shared" si="13"/>
        <v>-5.2166666666666668</v>
      </c>
      <c r="BD62" s="13">
        <f t="shared" si="14"/>
        <v>0.69555555555555559</v>
      </c>
      <c r="BE62" s="10">
        <f t="shared" si="15"/>
        <v>4</v>
      </c>
      <c r="BF62" s="10">
        <f t="shared" si="16"/>
        <v>2</v>
      </c>
      <c r="BG62" s="10">
        <f t="shared" si="17"/>
        <v>-2</v>
      </c>
      <c r="BH62" s="10">
        <f t="shared" si="18"/>
        <v>1</v>
      </c>
      <c r="BI62" s="10">
        <f t="shared" si="19"/>
        <v>1</v>
      </c>
      <c r="BJ62" s="10">
        <f t="shared" si="20"/>
        <v>0</v>
      </c>
      <c r="BK62" s="10">
        <f t="shared" si="21"/>
        <v>24</v>
      </c>
    </row>
    <row r="63" spans="1:63" x14ac:dyDescent="0.2">
      <c r="A63" s="5" t="s">
        <v>63</v>
      </c>
      <c r="B63" s="6"/>
      <c r="C63" s="7"/>
      <c r="D63" s="8"/>
      <c r="E63" s="8"/>
      <c r="F63" s="8"/>
      <c r="G63" s="7"/>
      <c r="H63" s="8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9" t="str">
        <f>INDEX(Tarjetas!$A$4:$A$59,MOD(3*(VALUE(MID(A63,3,2))-1)+0,ROWS(Tarjetas!$A$4:$A$59))+1)</f>
        <v>S13</v>
      </c>
      <c r="U63" s="9" t="str">
        <f>INDEX(Tarjetas!$A$4:$A$59,MOD(3*(VALUE(MID(A63,3,2))-1)+1,ROWS(Tarjetas!$A$4:$A$59))+1)</f>
        <v>S14</v>
      </c>
      <c r="V63" s="9" t="str">
        <f>INDEX(Tarjetas!$A$4:$A$59,MOD(3*(VALUE(MID(A63,3,2))-1)+2,ROWS(Tarjetas!$A$4:$A$59))+1)</f>
        <v>S15</v>
      </c>
      <c r="W63" s="7"/>
      <c r="X63" s="8"/>
      <c r="Y63" s="8"/>
      <c r="Z63" s="8"/>
      <c r="AA63" s="8"/>
      <c r="AB63" s="8"/>
      <c r="AC63" s="7"/>
      <c r="AD63" s="8"/>
      <c r="AE63" s="8"/>
      <c r="AF63" s="8"/>
      <c r="AG63" s="8"/>
      <c r="AH63" s="8"/>
      <c r="AI63" s="7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7"/>
      <c r="AZ63" s="10" t="str">
        <f t="shared" si="11"/>
        <v/>
      </c>
      <c r="BA63" s="11" t="str">
        <f>IF(H63="","",IFERROR(INDEX(Parametros!$B$4:$B$9,MATCH(H63,Parametros!$A$4:$A$9,0)),""))</f>
        <v/>
      </c>
      <c r="BB63" s="12" t="str">
        <f t="shared" si="12"/>
        <v/>
      </c>
      <c r="BC63" s="12" t="str">
        <f t="shared" si="13"/>
        <v/>
      </c>
      <c r="BD63" s="13" t="str">
        <f t="shared" si="14"/>
        <v/>
      </c>
      <c r="BE63" s="10" t="str">
        <f t="shared" si="15"/>
        <v/>
      </c>
      <c r="BF63" s="10" t="str">
        <f t="shared" si="16"/>
        <v/>
      </c>
      <c r="BG63" s="10" t="str">
        <f t="shared" si="17"/>
        <v/>
      </c>
      <c r="BH63" s="10" t="str">
        <f t="shared" si="18"/>
        <v/>
      </c>
      <c r="BI63" s="10" t="str">
        <f t="shared" si="19"/>
        <v/>
      </c>
      <c r="BJ63" s="10" t="str">
        <f t="shared" si="20"/>
        <v/>
      </c>
      <c r="BK63" s="10" t="str">
        <f t="shared" si="21"/>
        <v/>
      </c>
    </row>
    <row r="64" spans="1:63" x14ac:dyDescent="0.2">
      <c r="A64" s="5" t="s">
        <v>64</v>
      </c>
      <c r="B64" s="6"/>
      <c r="C64" s="7"/>
      <c r="D64" s="8"/>
      <c r="E64" s="8"/>
      <c r="F64" s="8"/>
      <c r="G64" s="7"/>
      <c r="H64" s="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9" t="str">
        <f>INDEX(Tarjetas!$A$4:$A$59,MOD(3*(VALUE(MID(A64,3,2))-1)+0,ROWS(Tarjetas!$A$4:$A$59))+1)</f>
        <v>S16</v>
      </c>
      <c r="U64" s="9" t="str">
        <f>INDEX(Tarjetas!$A$4:$A$59,MOD(3*(VALUE(MID(A64,3,2))-1)+1,ROWS(Tarjetas!$A$4:$A$59))+1)</f>
        <v>S17</v>
      </c>
      <c r="V64" s="9" t="str">
        <f>INDEX(Tarjetas!$A$4:$A$59,MOD(3*(VALUE(MID(A64,3,2))-1)+2,ROWS(Tarjetas!$A$4:$A$59))+1)</f>
        <v>S18</v>
      </c>
      <c r="W64" s="7"/>
      <c r="X64" s="8"/>
      <c r="Y64" s="8"/>
      <c r="Z64" s="8"/>
      <c r="AA64" s="8"/>
      <c r="AB64" s="8"/>
      <c r="AC64" s="7"/>
      <c r="AD64" s="8"/>
      <c r="AE64" s="8"/>
      <c r="AF64" s="8"/>
      <c r="AG64" s="8"/>
      <c r="AH64" s="8"/>
      <c r="AI64" s="7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7"/>
      <c r="AZ64" s="10" t="str">
        <f t="shared" si="11"/>
        <v/>
      </c>
      <c r="BA64" s="11" t="str">
        <f>IF(H64="","",IFERROR(INDEX(Parametros!$B$4:$B$9,MATCH(H64,Parametros!$A$4:$A$9,0)),""))</f>
        <v/>
      </c>
      <c r="BB64" s="12" t="str">
        <f t="shared" si="12"/>
        <v/>
      </c>
      <c r="BC64" s="12" t="str">
        <f t="shared" si="13"/>
        <v/>
      </c>
      <c r="BD64" s="13" t="str">
        <f t="shared" si="14"/>
        <v/>
      </c>
      <c r="BE64" s="10" t="str">
        <f t="shared" si="15"/>
        <v/>
      </c>
      <c r="BF64" s="10" t="str">
        <f t="shared" si="16"/>
        <v/>
      </c>
      <c r="BG64" s="10" t="str">
        <f t="shared" si="17"/>
        <v/>
      </c>
      <c r="BH64" s="10" t="str">
        <f t="shared" si="18"/>
        <v/>
      </c>
      <c r="BI64" s="10" t="str">
        <f t="shared" si="19"/>
        <v/>
      </c>
      <c r="BJ64" s="10" t="str">
        <f t="shared" si="20"/>
        <v/>
      </c>
      <c r="BK64" s="10" t="str">
        <f t="shared" si="21"/>
        <v/>
      </c>
    </row>
    <row r="65" spans="1:63" x14ac:dyDescent="0.2">
      <c r="A65" s="5" t="s">
        <v>65</v>
      </c>
      <c r="B65" s="6"/>
      <c r="C65" s="7"/>
      <c r="D65" s="8"/>
      <c r="E65" s="8"/>
      <c r="F65" s="8"/>
      <c r="G65" s="7"/>
      <c r="H65" s="8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9" t="str">
        <f>INDEX(Tarjetas!$A$4:$A$59,MOD(3*(VALUE(MID(A65,3,2))-1)+0,ROWS(Tarjetas!$A$4:$A$59))+1)</f>
        <v>S19</v>
      </c>
      <c r="U65" s="9" t="str">
        <f>INDEX(Tarjetas!$A$4:$A$59,MOD(3*(VALUE(MID(A65,3,2))-1)+1,ROWS(Tarjetas!$A$4:$A$59))+1)</f>
        <v>S20</v>
      </c>
      <c r="V65" s="9" t="str">
        <f>INDEX(Tarjetas!$A$4:$A$59,MOD(3*(VALUE(MID(A65,3,2))-1)+2,ROWS(Tarjetas!$A$4:$A$59))+1)</f>
        <v>S21</v>
      </c>
      <c r="W65" s="7"/>
      <c r="X65" s="8"/>
      <c r="Y65" s="8"/>
      <c r="Z65" s="8"/>
      <c r="AA65" s="8"/>
      <c r="AB65" s="8"/>
      <c r="AC65" s="7"/>
      <c r="AD65" s="8"/>
      <c r="AE65" s="8"/>
      <c r="AF65" s="8"/>
      <c r="AG65" s="8"/>
      <c r="AH65" s="8"/>
      <c r="AI65" s="7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7"/>
      <c r="AZ65" s="10" t="str">
        <f t="shared" si="11"/>
        <v/>
      </c>
      <c r="BA65" s="11" t="str">
        <f>IF(H65="","",IFERROR(INDEX(Parametros!$B$4:$B$9,MATCH(H65,Parametros!$A$4:$A$9,0)),""))</f>
        <v/>
      </c>
      <c r="BB65" s="12" t="str">
        <f t="shared" si="12"/>
        <v/>
      </c>
      <c r="BC65" s="12" t="str">
        <f t="shared" si="13"/>
        <v/>
      </c>
      <c r="BD65" s="13" t="str">
        <f t="shared" si="14"/>
        <v/>
      </c>
      <c r="BE65" s="10" t="str">
        <f t="shared" si="15"/>
        <v/>
      </c>
      <c r="BF65" s="10" t="str">
        <f t="shared" si="16"/>
        <v/>
      </c>
      <c r="BG65" s="10" t="str">
        <f t="shared" si="17"/>
        <v/>
      </c>
      <c r="BH65" s="10" t="str">
        <f t="shared" si="18"/>
        <v/>
      </c>
      <c r="BI65" s="10" t="str">
        <f t="shared" si="19"/>
        <v/>
      </c>
      <c r="BJ65" s="10" t="str">
        <f t="shared" si="20"/>
        <v/>
      </c>
      <c r="BK65" s="10" t="str">
        <f t="shared" si="21"/>
        <v/>
      </c>
    </row>
    <row r="66" spans="1:63" x14ac:dyDescent="0.2">
      <c r="A66" s="5" t="s">
        <v>66</v>
      </c>
      <c r="B66" s="6"/>
      <c r="C66" s="7"/>
      <c r="D66" s="8"/>
      <c r="E66" s="8"/>
      <c r="F66" s="8"/>
      <c r="G66" s="7"/>
      <c r="H66" s="8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9" t="str">
        <f>INDEX(Tarjetas!$A$4:$A$59,MOD(3*(VALUE(MID(A66,3,2))-1)+0,ROWS(Tarjetas!$A$4:$A$59))+1)</f>
        <v>S22</v>
      </c>
      <c r="U66" s="9" t="str">
        <f>INDEX(Tarjetas!$A$4:$A$59,MOD(3*(VALUE(MID(A66,3,2))-1)+1,ROWS(Tarjetas!$A$4:$A$59))+1)</f>
        <v>S23</v>
      </c>
      <c r="V66" s="9" t="str">
        <f>INDEX(Tarjetas!$A$4:$A$59,MOD(3*(VALUE(MID(A66,3,2))-1)+2,ROWS(Tarjetas!$A$4:$A$59))+1)</f>
        <v>S24</v>
      </c>
      <c r="W66" s="7"/>
      <c r="X66" s="8"/>
      <c r="Y66" s="8"/>
      <c r="Z66" s="8"/>
      <c r="AA66" s="8"/>
      <c r="AB66" s="8"/>
      <c r="AC66" s="7"/>
      <c r="AD66" s="8"/>
      <c r="AE66" s="8"/>
      <c r="AF66" s="8"/>
      <c r="AG66" s="8"/>
      <c r="AH66" s="8"/>
      <c r="AI66" s="7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7"/>
      <c r="AZ66" s="10" t="str">
        <f t="shared" si="11"/>
        <v/>
      </c>
      <c r="BA66" s="11" t="str">
        <f>IF(H66="","",IFERROR(INDEX(Parametros!$B$4:$B$9,MATCH(H66,Parametros!$A$4:$A$9,0)),""))</f>
        <v/>
      </c>
      <c r="BB66" s="12" t="str">
        <f t="shared" si="12"/>
        <v/>
      </c>
      <c r="BC66" s="12" t="str">
        <f t="shared" si="13"/>
        <v/>
      </c>
      <c r="BD66" s="13" t="str">
        <f t="shared" si="14"/>
        <v/>
      </c>
      <c r="BE66" s="10" t="str">
        <f t="shared" si="15"/>
        <v/>
      </c>
      <c r="BF66" s="10" t="str">
        <f t="shared" si="16"/>
        <v/>
      </c>
      <c r="BG66" s="10" t="str">
        <f t="shared" si="17"/>
        <v/>
      </c>
      <c r="BH66" s="10" t="str">
        <f t="shared" si="18"/>
        <v/>
      </c>
      <c r="BI66" s="10" t="str">
        <f t="shared" si="19"/>
        <v/>
      </c>
      <c r="BJ66" s="10" t="str">
        <f t="shared" si="20"/>
        <v/>
      </c>
      <c r="BK66" s="10" t="str">
        <f t="shared" si="21"/>
        <v/>
      </c>
    </row>
    <row r="67" spans="1:63" x14ac:dyDescent="0.2">
      <c r="A67" s="5" t="s">
        <v>67</v>
      </c>
      <c r="B67" s="6"/>
      <c r="C67" s="7"/>
      <c r="D67" s="8"/>
      <c r="E67" s="8"/>
      <c r="F67" s="8"/>
      <c r="G67" s="7"/>
      <c r="H67" s="8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9" t="str">
        <f>INDEX(Tarjetas!$A$4:$A$59,MOD(3*(VALUE(MID(A67,3,2))-1)+0,ROWS(Tarjetas!$A$4:$A$59))+1)</f>
        <v>S25</v>
      </c>
      <c r="U67" s="9" t="str">
        <f>INDEX(Tarjetas!$A$4:$A$59,MOD(3*(VALUE(MID(A67,3,2))-1)+1,ROWS(Tarjetas!$A$4:$A$59))+1)</f>
        <v>S26</v>
      </c>
      <c r="V67" s="9" t="str">
        <f>INDEX(Tarjetas!$A$4:$A$59,MOD(3*(VALUE(MID(A67,3,2))-1)+2,ROWS(Tarjetas!$A$4:$A$59))+1)</f>
        <v>S27</v>
      </c>
      <c r="W67" s="7"/>
      <c r="X67" s="8"/>
      <c r="Y67" s="8"/>
      <c r="Z67" s="8"/>
      <c r="AA67" s="8"/>
      <c r="AB67" s="8"/>
      <c r="AC67" s="7"/>
      <c r="AD67" s="8"/>
      <c r="AE67" s="8"/>
      <c r="AF67" s="8"/>
      <c r="AG67" s="8"/>
      <c r="AH67" s="8"/>
      <c r="AI67" s="7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7"/>
      <c r="AZ67" s="10" t="str">
        <f t="shared" ref="AZ67:AZ77" si="22">IF(COUNTA(B67,F67)=0,"",IF(AND(F67="Sí",H67&lt;&gt;"",S67&lt;&gt;"",COUNT(X67,AD67,AJ67)=3,COUNT(AO67:AV67)=8,AW67&lt;&gt;""),"Sí","No"))</f>
        <v/>
      </c>
      <c r="BA67" s="11" t="str">
        <f>IF(H67="","",IFERROR(INDEX(Parametros!$B$4:$B$9,MATCH(H67,Parametros!$A$4:$A$9,0)),""))</f>
        <v/>
      </c>
      <c r="BB67" s="12" t="str">
        <f t="shared" ref="BB67:BB77" si="23">IF(COUNT(X67,AD67,AJ67)=3,AVERAGE(X67,AD67,AJ67)/60,"")</f>
        <v/>
      </c>
      <c r="BC67" s="12" t="str">
        <f t="shared" ref="BC67:BC98" si="24">IF(AND(ISNUMBER(BA67),ISNUMBER(BB67)),BB67-BA67,"")</f>
        <v/>
      </c>
      <c r="BD67" s="13" t="str">
        <f t="shared" ref="BD67:BD77" si="25">IF(AND(ISNUMBER(BA67),ISNUMBER(BB67)),IF(BA67&gt;0,(BA67-BB67)/BA67,""),"")</f>
        <v/>
      </c>
      <c r="BE67" s="10" t="str">
        <f t="shared" ref="BE67:BE77" si="26">IF(S67="","",S67)</f>
        <v/>
      </c>
      <c r="BF67" s="10" t="str">
        <f t="shared" ref="BF67:BF77" si="27">IF(AW67="","",AW67)</f>
        <v/>
      </c>
      <c r="BG67" s="10" t="str">
        <f t="shared" ref="BG67:BG98" si="28">IF(AND(ISNUMBER(BE67),ISNUMBER(BF67)),BF67-BE67,"")</f>
        <v/>
      </c>
      <c r="BH67" s="10" t="str">
        <f t="shared" ref="BH67:BH77" si="29">IF(COUNTA(Z67,AF67,AL67)=0,"",(Z67="Sí")+(AF67="Sí")+(AL67="Sí"))</f>
        <v/>
      </c>
      <c r="BI67" s="10" t="str">
        <f t="shared" ref="BI67:BI77" si="30">IF(COUNTA(AA67,AG67,AM67)=0,"",(AA67="Sí")+(AG67="Sí")+(AM67="Sí"))</f>
        <v/>
      </c>
      <c r="BJ67" s="10" t="str">
        <f t="shared" ref="BJ67:BJ77" si="31">IF(COUNTA(AB67,AH67,AN67)=0,"",(AB67="Sí")+(AH67="Sí")+(AN67="Sí"))</f>
        <v/>
      </c>
      <c r="BK67" s="10" t="str">
        <f t="shared" ref="BK67:BK77" si="32">IF(COUNT(AO67:AV67)=8,SUM(AO67:AV67),"")</f>
        <v/>
      </c>
    </row>
    <row r="68" spans="1:63" x14ac:dyDescent="0.2">
      <c r="A68" s="5" t="s">
        <v>68</v>
      </c>
      <c r="B68" s="6"/>
      <c r="C68" s="7"/>
      <c r="D68" s="8"/>
      <c r="E68" s="8"/>
      <c r="F68" s="8"/>
      <c r="G68" s="7"/>
      <c r="H68" s="8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9" t="str">
        <f>INDEX(Tarjetas!$A$4:$A$59,MOD(3*(VALUE(MID(A68,3,2))-1)+0,ROWS(Tarjetas!$A$4:$A$59))+1)</f>
        <v>S28</v>
      </c>
      <c r="U68" s="9" t="str">
        <f>INDEX(Tarjetas!$A$4:$A$59,MOD(3*(VALUE(MID(A68,3,2))-1)+1,ROWS(Tarjetas!$A$4:$A$59))+1)</f>
        <v>S29</v>
      </c>
      <c r="V68" s="9" t="str">
        <f>INDEX(Tarjetas!$A$4:$A$59,MOD(3*(VALUE(MID(A68,3,2))-1)+2,ROWS(Tarjetas!$A$4:$A$59))+1)</f>
        <v>S30</v>
      </c>
      <c r="W68" s="7"/>
      <c r="X68" s="8"/>
      <c r="Y68" s="8"/>
      <c r="Z68" s="8"/>
      <c r="AA68" s="8"/>
      <c r="AB68" s="8"/>
      <c r="AC68" s="7"/>
      <c r="AD68" s="8"/>
      <c r="AE68" s="8"/>
      <c r="AF68" s="8"/>
      <c r="AG68" s="8"/>
      <c r="AH68" s="8"/>
      <c r="AI68" s="7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7"/>
      <c r="AZ68" s="10" t="str">
        <f t="shared" si="22"/>
        <v/>
      </c>
      <c r="BA68" s="11" t="str">
        <f>IF(H68="","",IFERROR(INDEX(Parametros!$B$4:$B$9,MATCH(H68,Parametros!$A$4:$A$9,0)),""))</f>
        <v/>
      </c>
      <c r="BB68" s="12" t="str">
        <f t="shared" si="23"/>
        <v/>
      </c>
      <c r="BC68" s="12" t="str">
        <f t="shared" si="24"/>
        <v/>
      </c>
      <c r="BD68" s="13" t="str">
        <f t="shared" si="25"/>
        <v/>
      </c>
      <c r="BE68" s="10" t="str">
        <f t="shared" si="26"/>
        <v/>
      </c>
      <c r="BF68" s="10" t="str">
        <f t="shared" si="27"/>
        <v/>
      </c>
      <c r="BG68" s="10" t="str">
        <f t="shared" si="28"/>
        <v/>
      </c>
      <c r="BH68" s="10" t="str">
        <f t="shared" si="29"/>
        <v/>
      </c>
      <c r="BI68" s="10" t="str">
        <f t="shared" si="30"/>
        <v/>
      </c>
      <c r="BJ68" s="10" t="str">
        <f t="shared" si="31"/>
        <v/>
      </c>
      <c r="BK68" s="10" t="str">
        <f t="shared" si="32"/>
        <v/>
      </c>
    </row>
    <row r="69" spans="1:63" x14ac:dyDescent="0.2">
      <c r="A69" s="5" t="s">
        <v>69</v>
      </c>
      <c r="B69" s="6"/>
      <c r="C69" s="7"/>
      <c r="D69" s="8"/>
      <c r="E69" s="8"/>
      <c r="F69" s="8"/>
      <c r="G69" s="7"/>
      <c r="H69" s="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9" t="str">
        <f>INDEX(Tarjetas!$A$4:$A$59,MOD(3*(VALUE(MID(A69,3,2))-1)+0,ROWS(Tarjetas!$A$4:$A$59))+1)</f>
        <v>S31</v>
      </c>
      <c r="U69" s="9" t="str">
        <f>INDEX(Tarjetas!$A$4:$A$59,MOD(3*(VALUE(MID(A69,3,2))-1)+1,ROWS(Tarjetas!$A$4:$A$59))+1)</f>
        <v>S32</v>
      </c>
      <c r="V69" s="9" t="str">
        <f>INDEX(Tarjetas!$A$4:$A$59,MOD(3*(VALUE(MID(A69,3,2))-1)+2,ROWS(Tarjetas!$A$4:$A$59))+1)</f>
        <v>S33</v>
      </c>
      <c r="W69" s="7"/>
      <c r="X69" s="8"/>
      <c r="Y69" s="8"/>
      <c r="Z69" s="8"/>
      <c r="AA69" s="8"/>
      <c r="AB69" s="8"/>
      <c r="AC69" s="7"/>
      <c r="AD69" s="8"/>
      <c r="AE69" s="8"/>
      <c r="AF69" s="8"/>
      <c r="AG69" s="8"/>
      <c r="AH69" s="8"/>
      <c r="AI69" s="7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7"/>
      <c r="AZ69" s="10" t="str">
        <f t="shared" si="22"/>
        <v/>
      </c>
      <c r="BA69" s="11" t="str">
        <f>IF(H69="","",IFERROR(INDEX(Parametros!$B$4:$B$9,MATCH(H69,Parametros!$A$4:$A$9,0)),""))</f>
        <v/>
      </c>
      <c r="BB69" s="12" t="str">
        <f t="shared" si="23"/>
        <v/>
      </c>
      <c r="BC69" s="12" t="str">
        <f t="shared" si="24"/>
        <v/>
      </c>
      <c r="BD69" s="13" t="str">
        <f t="shared" si="25"/>
        <v/>
      </c>
      <c r="BE69" s="10" t="str">
        <f t="shared" si="26"/>
        <v/>
      </c>
      <c r="BF69" s="10" t="str">
        <f t="shared" si="27"/>
        <v/>
      </c>
      <c r="BG69" s="10" t="str">
        <f t="shared" si="28"/>
        <v/>
      </c>
      <c r="BH69" s="10" t="str">
        <f t="shared" si="29"/>
        <v/>
      </c>
      <c r="BI69" s="10" t="str">
        <f t="shared" si="30"/>
        <v/>
      </c>
      <c r="BJ69" s="10" t="str">
        <f t="shared" si="31"/>
        <v/>
      </c>
      <c r="BK69" s="10" t="str">
        <f t="shared" si="32"/>
        <v/>
      </c>
    </row>
    <row r="70" spans="1:63" x14ac:dyDescent="0.2">
      <c r="A70" s="5" t="s">
        <v>70</v>
      </c>
      <c r="B70" s="6"/>
      <c r="C70" s="7"/>
      <c r="D70" s="8"/>
      <c r="E70" s="8"/>
      <c r="F70" s="8"/>
      <c r="G70" s="7"/>
      <c r="H70" s="8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9" t="str">
        <f>INDEX(Tarjetas!$A$4:$A$59,MOD(3*(VALUE(MID(A70,3,2))-1)+0,ROWS(Tarjetas!$A$4:$A$59))+1)</f>
        <v>S34</v>
      </c>
      <c r="U70" s="9" t="str">
        <f>INDEX(Tarjetas!$A$4:$A$59,MOD(3*(VALUE(MID(A70,3,2))-1)+1,ROWS(Tarjetas!$A$4:$A$59))+1)</f>
        <v>S35</v>
      </c>
      <c r="V70" s="9" t="str">
        <f>INDEX(Tarjetas!$A$4:$A$59,MOD(3*(VALUE(MID(A70,3,2))-1)+2,ROWS(Tarjetas!$A$4:$A$59))+1)</f>
        <v>S36</v>
      </c>
      <c r="W70" s="7"/>
      <c r="X70" s="8"/>
      <c r="Y70" s="8"/>
      <c r="Z70" s="8"/>
      <c r="AA70" s="8"/>
      <c r="AB70" s="8"/>
      <c r="AC70" s="7"/>
      <c r="AD70" s="8"/>
      <c r="AE70" s="8"/>
      <c r="AF70" s="8"/>
      <c r="AG70" s="8"/>
      <c r="AH70" s="8"/>
      <c r="AI70" s="7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7"/>
      <c r="AZ70" s="10" t="str">
        <f t="shared" si="22"/>
        <v/>
      </c>
      <c r="BA70" s="11" t="str">
        <f>IF(H70="","",IFERROR(INDEX(Parametros!$B$4:$B$9,MATCH(H70,Parametros!$A$4:$A$9,0)),""))</f>
        <v/>
      </c>
      <c r="BB70" s="12" t="str">
        <f t="shared" si="23"/>
        <v/>
      </c>
      <c r="BC70" s="12" t="str">
        <f t="shared" si="24"/>
        <v/>
      </c>
      <c r="BD70" s="13" t="str">
        <f t="shared" si="25"/>
        <v/>
      </c>
      <c r="BE70" s="10" t="str">
        <f t="shared" si="26"/>
        <v/>
      </c>
      <c r="BF70" s="10" t="str">
        <f t="shared" si="27"/>
        <v/>
      </c>
      <c r="BG70" s="10" t="str">
        <f t="shared" si="28"/>
        <v/>
      </c>
      <c r="BH70" s="10" t="str">
        <f t="shared" si="29"/>
        <v/>
      </c>
      <c r="BI70" s="10" t="str">
        <f t="shared" si="30"/>
        <v/>
      </c>
      <c r="BJ70" s="10" t="str">
        <f t="shared" si="31"/>
        <v/>
      </c>
      <c r="BK70" s="10" t="str">
        <f t="shared" si="32"/>
        <v/>
      </c>
    </row>
    <row r="71" spans="1:63" x14ac:dyDescent="0.2">
      <c r="A71" s="5" t="s">
        <v>71</v>
      </c>
      <c r="B71" s="6"/>
      <c r="C71" s="7"/>
      <c r="D71" s="8"/>
      <c r="E71" s="8"/>
      <c r="F71" s="8"/>
      <c r="G71" s="7"/>
      <c r="H71" s="8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9" t="str">
        <f>INDEX(Tarjetas!$A$4:$A$59,MOD(3*(VALUE(MID(A71,3,2))-1)+0,ROWS(Tarjetas!$A$4:$A$59))+1)</f>
        <v>S37</v>
      </c>
      <c r="U71" s="9" t="str">
        <f>INDEX(Tarjetas!$A$4:$A$59,MOD(3*(VALUE(MID(A71,3,2))-1)+1,ROWS(Tarjetas!$A$4:$A$59))+1)</f>
        <v>S38</v>
      </c>
      <c r="V71" s="9" t="str">
        <f>INDEX(Tarjetas!$A$4:$A$59,MOD(3*(VALUE(MID(A71,3,2))-1)+2,ROWS(Tarjetas!$A$4:$A$59))+1)</f>
        <v>S39</v>
      </c>
      <c r="W71" s="7"/>
      <c r="X71" s="8"/>
      <c r="Y71" s="8"/>
      <c r="Z71" s="8"/>
      <c r="AA71" s="8"/>
      <c r="AB71" s="8"/>
      <c r="AC71" s="7"/>
      <c r="AD71" s="8"/>
      <c r="AE71" s="8"/>
      <c r="AF71" s="8"/>
      <c r="AG71" s="8"/>
      <c r="AH71" s="8"/>
      <c r="AI71" s="7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7"/>
      <c r="AZ71" s="10" t="str">
        <f t="shared" si="22"/>
        <v/>
      </c>
      <c r="BA71" s="11" t="str">
        <f>IF(H71="","",IFERROR(INDEX(Parametros!$B$4:$B$9,MATCH(H71,Parametros!$A$4:$A$9,0)),""))</f>
        <v/>
      </c>
      <c r="BB71" s="12" t="str">
        <f t="shared" si="23"/>
        <v/>
      </c>
      <c r="BC71" s="12" t="str">
        <f t="shared" si="24"/>
        <v/>
      </c>
      <c r="BD71" s="13" t="str">
        <f t="shared" si="25"/>
        <v/>
      </c>
      <c r="BE71" s="10" t="str">
        <f t="shared" si="26"/>
        <v/>
      </c>
      <c r="BF71" s="10" t="str">
        <f t="shared" si="27"/>
        <v/>
      </c>
      <c r="BG71" s="10" t="str">
        <f t="shared" si="28"/>
        <v/>
      </c>
      <c r="BH71" s="10" t="str">
        <f t="shared" si="29"/>
        <v/>
      </c>
      <c r="BI71" s="10" t="str">
        <f t="shared" si="30"/>
        <v/>
      </c>
      <c r="BJ71" s="10" t="str">
        <f t="shared" si="31"/>
        <v/>
      </c>
      <c r="BK71" s="10" t="str">
        <f t="shared" si="32"/>
        <v/>
      </c>
    </row>
    <row r="72" spans="1:63" x14ac:dyDescent="0.2">
      <c r="A72" s="5" t="s">
        <v>72</v>
      </c>
      <c r="B72" s="6"/>
      <c r="C72" s="7"/>
      <c r="D72" s="8"/>
      <c r="E72" s="8"/>
      <c r="F72" s="8"/>
      <c r="G72" s="7"/>
      <c r="H72" s="8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9" t="str">
        <f>INDEX(Tarjetas!$A$4:$A$59,MOD(3*(VALUE(MID(A72,3,2))-1)+0,ROWS(Tarjetas!$A$4:$A$59))+1)</f>
        <v>S40</v>
      </c>
      <c r="U72" s="9" t="str">
        <f>INDEX(Tarjetas!$A$4:$A$59,MOD(3*(VALUE(MID(A72,3,2))-1)+1,ROWS(Tarjetas!$A$4:$A$59))+1)</f>
        <v>S41</v>
      </c>
      <c r="V72" s="9" t="str">
        <f>INDEX(Tarjetas!$A$4:$A$59,MOD(3*(VALUE(MID(A72,3,2))-1)+2,ROWS(Tarjetas!$A$4:$A$59))+1)</f>
        <v>S42</v>
      </c>
      <c r="W72" s="7"/>
      <c r="X72" s="8"/>
      <c r="Y72" s="8"/>
      <c r="Z72" s="8"/>
      <c r="AA72" s="8"/>
      <c r="AB72" s="8"/>
      <c r="AC72" s="7"/>
      <c r="AD72" s="8"/>
      <c r="AE72" s="8"/>
      <c r="AF72" s="8"/>
      <c r="AG72" s="8"/>
      <c r="AH72" s="8"/>
      <c r="AI72" s="7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7"/>
      <c r="AZ72" s="10" t="str">
        <f t="shared" si="22"/>
        <v/>
      </c>
      <c r="BA72" s="11" t="str">
        <f>IF(H72="","",IFERROR(INDEX(Parametros!$B$4:$B$9,MATCH(H72,Parametros!$A$4:$A$9,0)),""))</f>
        <v/>
      </c>
      <c r="BB72" s="12" t="str">
        <f t="shared" si="23"/>
        <v/>
      </c>
      <c r="BC72" s="12" t="str">
        <f t="shared" si="24"/>
        <v/>
      </c>
      <c r="BD72" s="13" t="str">
        <f t="shared" si="25"/>
        <v/>
      </c>
      <c r="BE72" s="10" t="str">
        <f t="shared" si="26"/>
        <v/>
      </c>
      <c r="BF72" s="10" t="str">
        <f t="shared" si="27"/>
        <v/>
      </c>
      <c r="BG72" s="10" t="str">
        <f t="shared" si="28"/>
        <v/>
      </c>
      <c r="BH72" s="10" t="str">
        <f t="shared" si="29"/>
        <v/>
      </c>
      <c r="BI72" s="10" t="str">
        <f t="shared" si="30"/>
        <v/>
      </c>
      <c r="BJ72" s="10" t="str">
        <f t="shared" si="31"/>
        <v/>
      </c>
      <c r="BK72" s="10" t="str">
        <f t="shared" si="32"/>
        <v/>
      </c>
    </row>
    <row r="73" spans="1:63" x14ac:dyDescent="0.2">
      <c r="A73" s="5" t="s">
        <v>73</v>
      </c>
      <c r="B73" s="6"/>
      <c r="C73" s="7"/>
      <c r="D73" s="8"/>
      <c r="E73" s="8"/>
      <c r="F73" s="8"/>
      <c r="G73" s="7"/>
      <c r="H73" s="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9" t="str">
        <f>INDEX(Tarjetas!$A$4:$A$59,MOD(3*(VALUE(MID(A73,3,2))-1)+0,ROWS(Tarjetas!$A$4:$A$59))+1)</f>
        <v>S43</v>
      </c>
      <c r="U73" s="9" t="str">
        <f>INDEX(Tarjetas!$A$4:$A$59,MOD(3*(VALUE(MID(A73,3,2))-1)+1,ROWS(Tarjetas!$A$4:$A$59))+1)</f>
        <v>S44</v>
      </c>
      <c r="V73" s="9" t="str">
        <f>INDEX(Tarjetas!$A$4:$A$59,MOD(3*(VALUE(MID(A73,3,2))-1)+2,ROWS(Tarjetas!$A$4:$A$59))+1)</f>
        <v>S45</v>
      </c>
      <c r="W73" s="7"/>
      <c r="X73" s="8"/>
      <c r="Y73" s="8"/>
      <c r="Z73" s="8"/>
      <c r="AA73" s="8"/>
      <c r="AB73" s="8"/>
      <c r="AC73" s="7"/>
      <c r="AD73" s="8"/>
      <c r="AE73" s="8"/>
      <c r="AF73" s="8"/>
      <c r="AG73" s="8"/>
      <c r="AH73" s="8"/>
      <c r="AI73" s="7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7"/>
      <c r="AZ73" s="10" t="str">
        <f t="shared" si="22"/>
        <v/>
      </c>
      <c r="BA73" s="11" t="str">
        <f>IF(H73="","",IFERROR(INDEX(Parametros!$B$4:$B$9,MATCH(H73,Parametros!$A$4:$A$9,0)),""))</f>
        <v/>
      </c>
      <c r="BB73" s="12" t="str">
        <f t="shared" si="23"/>
        <v/>
      </c>
      <c r="BC73" s="12" t="str">
        <f t="shared" si="24"/>
        <v/>
      </c>
      <c r="BD73" s="13" t="str">
        <f t="shared" si="25"/>
        <v/>
      </c>
      <c r="BE73" s="10" t="str">
        <f t="shared" si="26"/>
        <v/>
      </c>
      <c r="BF73" s="10" t="str">
        <f t="shared" si="27"/>
        <v/>
      </c>
      <c r="BG73" s="10" t="str">
        <f t="shared" si="28"/>
        <v/>
      </c>
      <c r="BH73" s="10" t="str">
        <f t="shared" si="29"/>
        <v/>
      </c>
      <c r="BI73" s="10" t="str">
        <f t="shared" si="30"/>
        <v/>
      </c>
      <c r="BJ73" s="10" t="str">
        <f t="shared" si="31"/>
        <v/>
      </c>
      <c r="BK73" s="10" t="str">
        <f t="shared" si="32"/>
        <v/>
      </c>
    </row>
    <row r="74" spans="1:63" x14ac:dyDescent="0.2">
      <c r="A74" s="5" t="s">
        <v>74</v>
      </c>
      <c r="B74" s="6"/>
      <c r="C74" s="7"/>
      <c r="D74" s="8"/>
      <c r="E74" s="8"/>
      <c r="F74" s="8"/>
      <c r="G74" s="7"/>
      <c r="H74" s="8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9" t="str">
        <f>INDEX(Tarjetas!$A$4:$A$59,MOD(3*(VALUE(MID(A74,3,2))-1)+0,ROWS(Tarjetas!$A$4:$A$59))+1)</f>
        <v>S46</v>
      </c>
      <c r="U74" s="9" t="str">
        <f>INDEX(Tarjetas!$A$4:$A$59,MOD(3*(VALUE(MID(A74,3,2))-1)+1,ROWS(Tarjetas!$A$4:$A$59))+1)</f>
        <v>S47</v>
      </c>
      <c r="V74" s="9" t="str">
        <f>INDEX(Tarjetas!$A$4:$A$59,MOD(3*(VALUE(MID(A74,3,2))-1)+2,ROWS(Tarjetas!$A$4:$A$59))+1)</f>
        <v>S48</v>
      </c>
      <c r="W74" s="7"/>
      <c r="X74" s="8"/>
      <c r="Y74" s="8"/>
      <c r="Z74" s="8"/>
      <c r="AA74" s="8"/>
      <c r="AB74" s="8"/>
      <c r="AC74" s="7"/>
      <c r="AD74" s="8"/>
      <c r="AE74" s="8"/>
      <c r="AF74" s="8"/>
      <c r="AG74" s="8"/>
      <c r="AH74" s="8"/>
      <c r="AI74" s="7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7"/>
      <c r="AZ74" s="10" t="str">
        <f t="shared" si="22"/>
        <v/>
      </c>
      <c r="BA74" s="11" t="str">
        <f>IF(H74="","",IFERROR(INDEX(Parametros!$B$4:$B$9,MATCH(H74,Parametros!$A$4:$A$9,0)),""))</f>
        <v/>
      </c>
      <c r="BB74" s="12" t="str">
        <f t="shared" si="23"/>
        <v/>
      </c>
      <c r="BC74" s="12" t="str">
        <f t="shared" si="24"/>
        <v/>
      </c>
      <c r="BD74" s="13" t="str">
        <f t="shared" si="25"/>
        <v/>
      </c>
      <c r="BE74" s="10" t="str">
        <f t="shared" si="26"/>
        <v/>
      </c>
      <c r="BF74" s="10" t="str">
        <f t="shared" si="27"/>
        <v/>
      </c>
      <c r="BG74" s="10" t="str">
        <f t="shared" si="28"/>
        <v/>
      </c>
      <c r="BH74" s="10" t="str">
        <f t="shared" si="29"/>
        <v/>
      </c>
      <c r="BI74" s="10" t="str">
        <f t="shared" si="30"/>
        <v/>
      </c>
      <c r="BJ74" s="10" t="str">
        <f t="shared" si="31"/>
        <v/>
      </c>
      <c r="BK74" s="10" t="str">
        <f t="shared" si="32"/>
        <v/>
      </c>
    </row>
    <row r="75" spans="1:63" x14ac:dyDescent="0.2">
      <c r="A75" s="5" t="s">
        <v>75</v>
      </c>
      <c r="B75" s="6"/>
      <c r="C75" s="7"/>
      <c r="D75" s="8"/>
      <c r="E75" s="8"/>
      <c r="F75" s="8"/>
      <c r="G75" s="7"/>
      <c r="H75" s="8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9" t="str">
        <f>INDEX(Tarjetas!$A$4:$A$59,MOD(3*(VALUE(MID(A75,3,2))-1)+0,ROWS(Tarjetas!$A$4:$A$59))+1)</f>
        <v>S49</v>
      </c>
      <c r="U75" s="9" t="str">
        <f>INDEX(Tarjetas!$A$4:$A$59,MOD(3*(VALUE(MID(A75,3,2))-1)+1,ROWS(Tarjetas!$A$4:$A$59))+1)</f>
        <v>S50</v>
      </c>
      <c r="V75" s="9" t="str">
        <f>INDEX(Tarjetas!$A$4:$A$59,MOD(3*(VALUE(MID(A75,3,2))-1)+2,ROWS(Tarjetas!$A$4:$A$59))+1)</f>
        <v>S51</v>
      </c>
      <c r="W75" s="7"/>
      <c r="X75" s="8"/>
      <c r="Y75" s="8"/>
      <c r="Z75" s="8"/>
      <c r="AA75" s="8"/>
      <c r="AB75" s="8"/>
      <c r="AC75" s="7"/>
      <c r="AD75" s="8"/>
      <c r="AE75" s="8"/>
      <c r="AF75" s="8"/>
      <c r="AG75" s="8"/>
      <c r="AH75" s="8"/>
      <c r="AI75" s="7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7"/>
      <c r="AZ75" s="10" t="str">
        <f t="shared" si="22"/>
        <v/>
      </c>
      <c r="BA75" s="11" t="str">
        <f>IF(H75="","",IFERROR(INDEX(Parametros!$B$4:$B$9,MATCH(H75,Parametros!$A$4:$A$9,0)),""))</f>
        <v/>
      </c>
      <c r="BB75" s="12" t="str">
        <f t="shared" si="23"/>
        <v/>
      </c>
      <c r="BC75" s="12" t="str">
        <f t="shared" si="24"/>
        <v/>
      </c>
      <c r="BD75" s="13" t="str">
        <f t="shared" si="25"/>
        <v/>
      </c>
      <c r="BE75" s="10" t="str">
        <f t="shared" si="26"/>
        <v/>
      </c>
      <c r="BF75" s="10" t="str">
        <f t="shared" si="27"/>
        <v/>
      </c>
      <c r="BG75" s="10" t="str">
        <f t="shared" si="28"/>
        <v/>
      </c>
      <c r="BH75" s="10" t="str">
        <f t="shared" si="29"/>
        <v/>
      </c>
      <c r="BI75" s="10" t="str">
        <f t="shared" si="30"/>
        <v/>
      </c>
      <c r="BJ75" s="10" t="str">
        <f t="shared" si="31"/>
        <v/>
      </c>
      <c r="BK75" s="10" t="str">
        <f t="shared" si="32"/>
        <v/>
      </c>
    </row>
    <row r="76" spans="1:63" x14ac:dyDescent="0.2">
      <c r="A76" s="5" t="s">
        <v>76</v>
      </c>
      <c r="B76" s="6"/>
      <c r="C76" s="7"/>
      <c r="D76" s="8"/>
      <c r="E76" s="8"/>
      <c r="F76" s="8"/>
      <c r="G76" s="7"/>
      <c r="H76" s="8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9" t="str">
        <f>INDEX(Tarjetas!$A$4:$A$59,MOD(3*(VALUE(MID(A76,3,2))-1)+0,ROWS(Tarjetas!$A$4:$A$59))+1)</f>
        <v>S52</v>
      </c>
      <c r="U76" s="9" t="str">
        <f>INDEX(Tarjetas!$A$4:$A$59,MOD(3*(VALUE(MID(A76,3,2))-1)+1,ROWS(Tarjetas!$A$4:$A$59))+1)</f>
        <v>S53</v>
      </c>
      <c r="V76" s="9" t="str">
        <f>INDEX(Tarjetas!$A$4:$A$59,MOD(3*(VALUE(MID(A76,3,2))-1)+2,ROWS(Tarjetas!$A$4:$A$59))+1)</f>
        <v>S54</v>
      </c>
      <c r="W76" s="7"/>
      <c r="X76" s="8"/>
      <c r="Y76" s="8"/>
      <c r="Z76" s="8"/>
      <c r="AA76" s="8"/>
      <c r="AB76" s="8"/>
      <c r="AC76" s="7"/>
      <c r="AD76" s="8"/>
      <c r="AE76" s="8"/>
      <c r="AF76" s="8"/>
      <c r="AG76" s="8"/>
      <c r="AH76" s="8"/>
      <c r="AI76" s="7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7"/>
      <c r="AZ76" s="10" t="str">
        <f t="shared" si="22"/>
        <v/>
      </c>
      <c r="BA76" s="11" t="str">
        <f>IF(H76="","",IFERROR(INDEX(Parametros!$B$4:$B$9,MATCH(H76,Parametros!$A$4:$A$9,0)),""))</f>
        <v/>
      </c>
      <c r="BB76" s="12" t="str">
        <f t="shared" si="23"/>
        <v/>
      </c>
      <c r="BC76" s="12" t="str">
        <f t="shared" si="24"/>
        <v/>
      </c>
      <c r="BD76" s="13" t="str">
        <f t="shared" si="25"/>
        <v/>
      </c>
      <c r="BE76" s="10" t="str">
        <f t="shared" si="26"/>
        <v/>
      </c>
      <c r="BF76" s="10" t="str">
        <f t="shared" si="27"/>
        <v/>
      </c>
      <c r="BG76" s="10" t="str">
        <f t="shared" si="28"/>
        <v/>
      </c>
      <c r="BH76" s="10" t="str">
        <f t="shared" si="29"/>
        <v/>
      </c>
      <c r="BI76" s="10" t="str">
        <f t="shared" si="30"/>
        <v/>
      </c>
      <c r="BJ76" s="10" t="str">
        <f t="shared" si="31"/>
        <v/>
      </c>
      <c r="BK76" s="10" t="str">
        <f t="shared" si="32"/>
        <v/>
      </c>
    </row>
    <row r="77" spans="1:63" x14ac:dyDescent="0.2">
      <c r="A77" s="5" t="s">
        <v>77</v>
      </c>
      <c r="B77" s="6"/>
      <c r="C77" s="7"/>
      <c r="D77" s="8"/>
      <c r="E77" s="8"/>
      <c r="F77" s="8"/>
      <c r="G77" s="7"/>
      <c r="H77" s="8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9" t="str">
        <f>INDEX(Tarjetas!$A$4:$A$59,MOD(3*(VALUE(MID(A77,3,2))-1)+0,ROWS(Tarjetas!$A$4:$A$59))+1)</f>
        <v>S55</v>
      </c>
      <c r="U77" s="9" t="str">
        <f>INDEX(Tarjetas!$A$4:$A$59,MOD(3*(VALUE(MID(A77,3,2))-1)+1,ROWS(Tarjetas!$A$4:$A$59))+1)</f>
        <v>S56</v>
      </c>
      <c r="V77" s="9" t="str">
        <f>INDEX(Tarjetas!$A$4:$A$59,MOD(3*(VALUE(MID(A77,3,2))-1)+2,ROWS(Tarjetas!$A$4:$A$59))+1)</f>
        <v>S01</v>
      </c>
      <c r="W77" s="7"/>
      <c r="X77" s="8"/>
      <c r="Y77" s="8"/>
      <c r="Z77" s="8"/>
      <c r="AA77" s="8"/>
      <c r="AB77" s="8"/>
      <c r="AC77" s="7"/>
      <c r="AD77" s="8"/>
      <c r="AE77" s="8"/>
      <c r="AF77" s="8"/>
      <c r="AG77" s="8"/>
      <c r="AH77" s="8"/>
      <c r="AI77" s="7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7"/>
      <c r="AZ77" s="10" t="str">
        <f t="shared" si="22"/>
        <v/>
      </c>
      <c r="BA77" s="11" t="str">
        <f>IF(H77="","",IFERROR(INDEX(Parametros!$B$4:$B$9,MATCH(H77,Parametros!$A$4:$A$9,0)),""))</f>
        <v/>
      </c>
      <c r="BB77" s="12" t="str">
        <f t="shared" si="23"/>
        <v/>
      </c>
      <c r="BC77" s="12" t="str">
        <f t="shared" si="24"/>
        <v/>
      </c>
      <c r="BD77" s="13" t="str">
        <f t="shared" si="25"/>
        <v/>
      </c>
      <c r="BE77" s="10" t="str">
        <f t="shared" si="26"/>
        <v/>
      </c>
      <c r="BF77" s="10" t="str">
        <f t="shared" si="27"/>
        <v/>
      </c>
      <c r="BG77" s="10" t="str">
        <f t="shared" si="28"/>
        <v/>
      </c>
      <c r="BH77" s="10" t="str">
        <f t="shared" si="29"/>
        <v/>
      </c>
      <c r="BI77" s="10" t="str">
        <f t="shared" si="30"/>
        <v/>
      </c>
      <c r="BJ77" s="10" t="str">
        <f t="shared" si="31"/>
        <v/>
      </c>
      <c r="BK77" s="10" t="str">
        <f t="shared" si="32"/>
        <v/>
      </c>
    </row>
    <row r="79" spans="1:63" x14ac:dyDescent="0.2">
      <c r="A79" s="14" t="s">
        <v>78</v>
      </c>
    </row>
    <row r="80" spans="1:63" ht="24" x14ac:dyDescent="0.2">
      <c r="A80" s="15" t="s">
        <v>79</v>
      </c>
      <c r="B80" s="16">
        <v>46307</v>
      </c>
      <c r="C80" s="15" t="s">
        <v>80</v>
      </c>
      <c r="D80" s="15" t="s">
        <v>81</v>
      </c>
      <c r="E80" s="15" t="s">
        <v>82</v>
      </c>
      <c r="F80" s="15" t="s">
        <v>82</v>
      </c>
      <c r="G80" s="17" t="s">
        <v>83</v>
      </c>
      <c r="H80" s="15" t="s">
        <v>84</v>
      </c>
      <c r="I80" s="17" t="s">
        <v>85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2</v>
      </c>
      <c r="Q80" s="15">
        <v>2</v>
      </c>
      <c r="R80" s="15">
        <v>3</v>
      </c>
      <c r="S80" s="15">
        <v>3</v>
      </c>
      <c r="T80" s="15" t="s">
        <v>86</v>
      </c>
      <c r="U80" s="15" t="s">
        <v>87</v>
      </c>
      <c r="V80" s="15" t="s">
        <v>88</v>
      </c>
      <c r="W80" s="17" t="s">
        <v>89</v>
      </c>
      <c r="X80" s="15">
        <v>42</v>
      </c>
      <c r="Y80" s="15">
        <v>1</v>
      </c>
      <c r="Z80" s="15" t="s">
        <v>82</v>
      </c>
      <c r="AA80" s="15" t="s">
        <v>82</v>
      </c>
      <c r="AB80" s="15" t="s">
        <v>90</v>
      </c>
      <c r="AC80" s="17" t="s">
        <v>91</v>
      </c>
      <c r="AD80" s="15">
        <v>65</v>
      </c>
      <c r="AE80" s="15">
        <v>2</v>
      </c>
      <c r="AF80" s="15" t="s">
        <v>82</v>
      </c>
      <c r="AG80" s="15" t="s">
        <v>92</v>
      </c>
      <c r="AH80" s="15" t="s">
        <v>90</v>
      </c>
      <c r="AI80" s="17" t="s">
        <v>93</v>
      </c>
      <c r="AJ80" s="15">
        <v>180</v>
      </c>
      <c r="AK80" s="15">
        <v>3</v>
      </c>
      <c r="AL80" s="15" t="s">
        <v>90</v>
      </c>
      <c r="AM80" s="15" t="s">
        <v>90</v>
      </c>
      <c r="AN80" s="15" t="s">
        <v>82</v>
      </c>
      <c r="AO80" s="15">
        <v>4</v>
      </c>
      <c r="AP80" s="15">
        <v>5</v>
      </c>
      <c r="AQ80" s="15">
        <v>4</v>
      </c>
      <c r="AR80" s="15">
        <v>3</v>
      </c>
      <c r="AS80" s="15">
        <v>4</v>
      </c>
      <c r="AT80" s="15">
        <v>3</v>
      </c>
      <c r="AU80" s="15">
        <v>4</v>
      </c>
      <c r="AV80" s="15">
        <v>4</v>
      </c>
      <c r="AW80" s="15">
        <v>4</v>
      </c>
      <c r="AX80" s="15" t="s">
        <v>84</v>
      </c>
      <c r="AY80" s="17" t="s">
        <v>94</v>
      </c>
      <c r="AZ80" s="15" t="s">
        <v>82</v>
      </c>
      <c r="BA80" s="15">
        <v>90</v>
      </c>
      <c r="BB80" s="15">
        <v>1.6</v>
      </c>
      <c r="BC80" s="15">
        <v>-88.4</v>
      </c>
      <c r="BD80" s="18">
        <v>0.98228395061728402</v>
      </c>
      <c r="BE80" s="15">
        <v>3</v>
      </c>
      <c r="BF80" s="15">
        <v>4</v>
      </c>
      <c r="BG80" s="15">
        <v>1</v>
      </c>
      <c r="BH80" s="15">
        <v>2</v>
      </c>
      <c r="BI80" s="15">
        <v>1</v>
      </c>
      <c r="BJ80" s="15">
        <v>1</v>
      </c>
      <c r="BK80" s="15">
        <v>31</v>
      </c>
    </row>
  </sheetData>
  <mergeCells count="1">
    <mergeCell ref="A1:BK1"/>
  </mergeCells>
  <conditionalFormatting sqref="AZ3:AZ77">
    <cfRule type="cellIs" dxfId="2" priority="2" operator="equal">
      <formula>"Sí"</formula>
    </cfRule>
    <cfRule type="cellIs" dxfId="1" priority="3" operator="equal">
      <formula>"No"</formula>
    </cfRule>
  </conditionalFormatting>
  <dataValidations count="5">
    <dataValidation type="whole" allowBlank="1" showErrorMessage="1" errorTitle="Valor no válido" error="Escribe un número entero de 1 a 5." sqref="P3:S77 AO3:AW77" xr:uid="{00000000-0002-0000-0000-000010000000}">
      <formula1>1</formula1>
      <formula2>5</formula2>
    </dataValidation>
    <dataValidation type="whole" allowBlank="1" showErrorMessage="1" errorTitle="Valor no válido" error="Escribe 1 si la dificultad fue marcada; déjalo vacío o 0 si no." sqref="J3:O77" xr:uid="{00000000-0002-0000-0000-000011000000}">
      <formula1>0</formula1>
      <formula2>1</formula2>
    </dataValidation>
    <dataValidation type="decimal" allowBlank="1" showErrorMessage="1" errorTitle="Valor no válido" error="Escribe los segundos (0 a 600)." sqref="X3:X77 AD3:AD77 AJ3:AJ77" xr:uid="{00000000-0002-0000-0000-000012000000}">
      <formula1>0</formula1>
      <formula2>600</formula2>
    </dataValidation>
    <dataValidation type="whole" allowBlank="1" showErrorMessage="1" errorTitle="Valor no válido" error="Escribe un número entero de mensajes." sqref="Y3:Y77 AE3:AE77 AK3:AK77" xr:uid="{00000000-0002-0000-0000-000013000000}">
      <formula1>1</formula1>
      <formula2>10</formula2>
    </dataValidation>
    <dataValidation type="date" operator="greaterThan" allowBlank="1" showErrorMessage="1" errorTitle="Fecha" error="Escribe una fecha válida." sqref="B3:B77" xr:uid="{00000000-0002-0000-0000-000014000000}">
      <formula1>36526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no válido" error="Elige un valor de la lista." xr:uid="{00000000-0002-0000-0000-000000000000}">
          <x14:formula1>
            <xm:f>Parametros!$G$4:$G$5</xm:f>
          </x14:formula1>
          <x14:formula2>
            <xm:f>0</xm:f>
          </x14:formula2>
          <xm:sqref>AN3:AN77 AL3:AL77 AH3:AH77 AF3:AF77 AB3:AB77 Z3:Z77 E3:F77</xm:sqref>
        </x14:dataValidation>
        <x14:dataValidation type="list" allowBlank="1" showErrorMessage="1" errorTitle="Valor no válido" error="Elige un valor de la lista." xr:uid="{00000000-0002-0000-0000-000004000000}">
          <x14:formula1>
            <xm:f>Parametros!$J$4:$J$6</xm:f>
          </x14:formula1>
          <x14:formula2>
            <xm:f>0</xm:f>
          </x14:formula2>
          <xm:sqref>AA3:AA77 AM3:AM77 AG3:AG77</xm:sqref>
        </x14:dataValidation>
        <x14:dataValidation type="list" allowBlank="1" showErrorMessage="1" errorTitle="Valor no válido" error="Elige un valor de la lista." xr:uid="{00000000-0002-0000-0000-00000B000000}">
          <x14:formula1>
            <xm:f>Parametros!$F$4:$F$7</xm:f>
          </x14:formula1>
          <x14:formula2>
            <xm:f>0</xm:f>
          </x14:formula2>
          <xm:sqref>D3:D77</xm:sqref>
        </x14:dataValidation>
        <x14:dataValidation type="list" allowBlank="1" showErrorMessage="1" errorTitle="Valor no válido" error="Elige un valor de la lista." xr:uid="{00000000-0002-0000-0000-00000C000000}">
          <x14:formula1>
            <xm:f>Parametros!$H$4:$H$11</xm:f>
          </x14:formula1>
          <x14:formula2>
            <xm:f>0</xm:f>
          </x14:formula2>
          <xm:sqref>G3:G77</xm:sqref>
        </x14:dataValidation>
        <x14:dataValidation type="list" allowBlank="1" showErrorMessage="1" errorTitle="Valor no válido" error="Elige un valor de la lista." xr:uid="{00000000-0002-0000-0000-00000D000000}">
          <x14:formula1>
            <xm:f>Parametros!$A$4:$A$9</xm:f>
          </x14:formula1>
          <x14:formula2>
            <xm:f>0</xm:f>
          </x14:formula2>
          <xm:sqref>H3:H77 AX3:AX77</xm:sqref>
        </x14:dataValidation>
        <x14:dataValidation type="list" allowBlank="1" showErrorMessage="1" errorTitle="Valor no válido" error="Elige un valor de la lista." xr:uid="{00000000-0002-0000-0000-00000F000000}">
          <x14:formula1>
            <xm:f>Parametros!$I$4:$I$7</xm:f>
          </x14:formula1>
          <x14:formula2>
            <xm:f>0</xm:f>
          </x14:formula2>
          <xm:sqref>I3:I77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7109375" defaultRowHeight="12.75" x14ac:dyDescent="0.2"/>
  <cols>
    <col min="1" max="1" width="54" customWidth="1"/>
    <col min="2" max="2" width="18" customWidth="1"/>
    <col min="3" max="3" width="70" customWidth="1"/>
  </cols>
  <sheetData>
    <row r="1" spans="1:3" ht="18" x14ac:dyDescent="0.25">
      <c r="A1" s="3" t="s">
        <v>95</v>
      </c>
    </row>
    <row r="2" spans="1:3" ht="30" customHeight="1" x14ac:dyDescent="0.2">
      <c r="A2" s="1" t="s">
        <v>96</v>
      </c>
      <c r="B2" s="1"/>
      <c r="C2" s="1"/>
    </row>
    <row r="4" spans="1:3" ht="15" x14ac:dyDescent="0.25">
      <c r="A4" s="19" t="s">
        <v>97</v>
      </c>
      <c r="B4" s="20"/>
      <c r="C4" s="20"/>
    </row>
    <row r="5" spans="1:3" ht="27" customHeight="1" x14ac:dyDescent="0.2">
      <c r="A5" s="21" t="s">
        <v>98</v>
      </c>
      <c r="B5" s="9">
        <f>COUNTA(Sesiones!$B$3:$B$77)</f>
        <v>60</v>
      </c>
      <c r="C5" s="22"/>
    </row>
    <row r="6" spans="1:3" ht="27" customHeight="1" x14ac:dyDescent="0.2">
      <c r="A6" s="21" t="s">
        <v>99</v>
      </c>
      <c r="B6" s="9">
        <f>COUNTIF(Sesiones!$AZ$3:$AZ$77,"Sí")</f>
        <v>60</v>
      </c>
      <c r="C6" s="22"/>
    </row>
    <row r="7" spans="1:3" ht="27" customHeight="1" x14ac:dyDescent="0.2">
      <c r="A7" s="21" t="s">
        <v>100</v>
      </c>
      <c r="B7" s="9">
        <f>COUNTIF(Sesiones!$F$3:$F$77,"No")</f>
        <v>0</v>
      </c>
      <c r="C7" s="22"/>
    </row>
    <row r="8" spans="1:3" ht="27" customHeight="1" x14ac:dyDescent="0.2">
      <c r="A8" s="21" t="s">
        <v>101</v>
      </c>
      <c r="B8" s="9">
        <f>COUNTIFS(Sesiones!$F$3:$F$77,"Sí",Sesiones!$AZ$3:$AZ$77,"No")</f>
        <v>0</v>
      </c>
      <c r="C8" s="22" t="s">
        <v>102</v>
      </c>
    </row>
    <row r="9" spans="1:3" ht="27" customHeight="1" x14ac:dyDescent="0.2">
      <c r="A9" s="21" t="s">
        <v>103</v>
      </c>
      <c r="B9" s="9">
        <f>Parametros!$B$14</f>
        <v>60</v>
      </c>
      <c r="C9" s="22"/>
    </row>
    <row r="10" spans="1:3" ht="27" customHeight="1" x14ac:dyDescent="0.2">
      <c r="A10" s="21" t="s">
        <v>104</v>
      </c>
      <c r="B10" s="10">
        <f>MAX(0,B9-B6)</f>
        <v>0</v>
      </c>
      <c r="C10" s="22"/>
    </row>
    <row r="11" spans="1:3" ht="27" customHeight="1" x14ac:dyDescent="0.2">
      <c r="A11" s="21" t="s">
        <v>105</v>
      </c>
      <c r="B11" s="5" t="str">
        <f>IF(B6&gt;=B9,"Meta alcanzada",IF(B6&gt;0,"Parcial (n = "&amp;B6&amp;")","Sin datos"))</f>
        <v>Meta alcanzada</v>
      </c>
      <c r="C11" s="22" t="s">
        <v>106</v>
      </c>
    </row>
    <row r="13" spans="1:3" ht="15" x14ac:dyDescent="0.25">
      <c r="A13" s="19" t="s">
        <v>107</v>
      </c>
      <c r="B13" s="20"/>
      <c r="C13" s="20"/>
    </row>
    <row r="14" spans="1:3" ht="27" customHeight="1" x14ac:dyDescent="0.2">
      <c r="A14" s="21" t="s">
        <v>108</v>
      </c>
      <c r="B14" s="11">
        <f>IFERROR(AVERAGEIFS(Sesiones!$BA$3:$BA$77,Sesiones!$AZ$3:$AZ$77,"Sí"),"")</f>
        <v>100.25</v>
      </c>
      <c r="C14" s="22" t="s">
        <v>109</v>
      </c>
    </row>
    <row r="15" spans="1:3" ht="27" customHeight="1" x14ac:dyDescent="0.2">
      <c r="A15" s="21" t="s">
        <v>110</v>
      </c>
      <c r="B15" s="11">
        <f>IFERROR(AVERAGEIFS(Sesiones!$BB$3:$BB$77,Sesiones!$AZ$3:$AZ$77,"Sí"),"")</f>
        <v>1.8719444444444446</v>
      </c>
      <c r="C15" s="22" t="s">
        <v>111</v>
      </c>
    </row>
    <row r="16" spans="1:3" ht="27" customHeight="1" x14ac:dyDescent="0.2">
      <c r="A16" s="21" t="s">
        <v>112</v>
      </c>
      <c r="B16" s="13">
        <f>IFERROR((B14-B15)/B14,"")</f>
        <v>0.98132723746190087</v>
      </c>
      <c r="C16" s="22" t="str">
        <f>IF(B16="","","Meta ≥ "&amp;TEXT(Parametros!$B$15,"0%")&amp;": "&amp;IF(B16&gt;=Parametros!$B$15,"cumple","no cumple"))</f>
        <v>Meta ≥ 60%: cumple</v>
      </c>
    </row>
    <row r="17" spans="1:3" ht="27" customHeight="1" x14ac:dyDescent="0.2">
      <c r="A17" s="21" t="s">
        <v>113</v>
      </c>
      <c r="B17" s="23">
        <f>IFERROR(AVERAGEIFS(Sesiones!$BD$3:$BD$77,Sesiones!$AZ$3:$AZ$77,"Sí"),"")</f>
        <v>0.94805833333333334</v>
      </c>
      <c r="C17" s="22" t="s">
        <v>114</v>
      </c>
    </row>
    <row r="19" spans="1:3" ht="15" x14ac:dyDescent="0.25">
      <c r="A19" s="19" t="s">
        <v>115</v>
      </c>
      <c r="B19" s="20"/>
      <c r="C19" s="20"/>
    </row>
    <row r="20" spans="1:3" ht="27" customHeight="1" x14ac:dyDescent="0.2">
      <c r="A20" s="21" t="s">
        <v>116</v>
      </c>
      <c r="B20" s="24">
        <f>IFERROR(AVERAGEIFS(Sesiones!$BE$3:$BE$77,Sesiones!$AZ$3:$AZ$77,"Sí"),"")</f>
        <v>2.7833333333333332</v>
      </c>
      <c r="C20" s="22"/>
    </row>
    <row r="21" spans="1:3" ht="27" customHeight="1" x14ac:dyDescent="0.2">
      <c r="A21" s="21" t="s">
        <v>117</v>
      </c>
      <c r="B21" s="24">
        <f>IFERROR(AVERAGEIFS(Sesiones!$BF$3:$BF$77,Sesiones!$AZ$3:$AZ$77,"Sí"),"")</f>
        <v>3.35</v>
      </c>
      <c r="C21" s="22"/>
    </row>
    <row r="22" spans="1:3" ht="27" customHeight="1" x14ac:dyDescent="0.2">
      <c r="A22" s="21" t="s">
        <v>118</v>
      </c>
      <c r="B22" s="25">
        <f>IFERROR(B21-B20,"")</f>
        <v>0.56666666666666687</v>
      </c>
      <c r="C22" s="22"/>
    </row>
    <row r="23" spans="1:3" ht="27" customHeight="1" x14ac:dyDescent="0.2">
      <c r="A23" s="21" t="s">
        <v>119</v>
      </c>
      <c r="B23" s="24">
        <f>IFERROR(AVERAGEIFS(Sesiones!$BK$3:$BK$77,Sesiones!$AZ$3:$AZ$77,"Sí")/COLUMNS(Calc!$B$3:$I$3),"")</f>
        <v>3.25</v>
      </c>
      <c r="C23" s="22" t="str">
        <f>IF(B23="","","Meta ≥ "&amp;Parametros!$B$16&amp;": "&amp;IF(B23&gt;=Parametros!$B$16,"cumple","no cumple"))</f>
        <v>Meta ≥ 4: no cumple</v>
      </c>
    </row>
    <row r="24" spans="1:3" ht="27" customHeight="1" x14ac:dyDescent="0.2">
      <c r="A24" s="21" t="s">
        <v>120</v>
      </c>
      <c r="B24" s="25">
        <f>IFERROR((COLUMNS(Calc!$B$3:$I$3)/(COLUMNS(Calc!$B$3:$I$3)-1))*(1-(VAR(Calc!B4:B78)+VAR(Calc!C4:C78)+VAR(Calc!D4:D78)+VAR(Calc!E4:E78)+VAR(Calc!F4:F78)+VAR(Calc!G4:G78)+VAR(Calc!H4:H78)+VAR(Calc!I4:I78))/VAR(Calc!$J$4:$J$78)),"")</f>
        <v>0.54878253568429913</v>
      </c>
      <c r="C24" s="22" t="str">
        <f>IF(B24="","","Mínimo "&amp;Parametros!$B$17&amp;": "&amp;IF(B24&gt;=Parametros!$B$17,"cumple","no cumple"))</f>
        <v>Mínimo 0,7: no cumple</v>
      </c>
    </row>
    <row r="26" spans="1:3" ht="15" x14ac:dyDescent="0.25">
      <c r="A26" s="19" t="s">
        <v>121</v>
      </c>
      <c r="B26" s="20"/>
      <c r="C26" s="20"/>
    </row>
    <row r="27" spans="1:3" ht="27" customHeight="1" x14ac:dyDescent="0.2">
      <c r="A27" s="21" t="s">
        <v>122</v>
      </c>
      <c r="B27" s="10">
        <f>3*B6</f>
        <v>180</v>
      </c>
      <c r="C27" s="22"/>
    </row>
    <row r="28" spans="1:3" ht="27" customHeight="1" x14ac:dyDescent="0.2">
      <c r="A28" s="21" t="s">
        <v>123</v>
      </c>
      <c r="B28" s="23">
        <f>IFERROR(SUMIFS(Sesiones!$BH$3:$BH$77,Sesiones!$AZ$3:$AZ$77,"Sí")/B27,"")</f>
        <v>0.67777777777777781</v>
      </c>
      <c r="C28" s="22"/>
    </row>
    <row r="29" spans="1:3" ht="27" customHeight="1" x14ac:dyDescent="0.2">
      <c r="A29" s="21" t="s">
        <v>124</v>
      </c>
      <c r="B29" s="23">
        <f>IFERROR(SUMIFS(Sesiones!$BI$3:$BI$77,Sesiones!$AZ$3:$AZ$77,"Sí")/B27,"")</f>
        <v>0.5166666666666667</v>
      </c>
      <c r="C29" s="22" t="s">
        <v>125</v>
      </c>
    </row>
    <row r="30" spans="1:3" ht="27" customHeight="1" x14ac:dyDescent="0.2">
      <c r="A30" s="21" t="s">
        <v>126</v>
      </c>
      <c r="B30" s="23">
        <f>IFERROR(SUMIFS(Sesiones!$BJ$3:$BJ$77,Sesiones!$AZ$3:$AZ$77,"Sí")/B27,"")</f>
        <v>0.15555555555555556</v>
      </c>
      <c r="C30" s="22"/>
    </row>
    <row r="31" spans="1:3" ht="27" customHeight="1" x14ac:dyDescent="0.2">
      <c r="A31" s="21" t="s">
        <v>127</v>
      </c>
      <c r="B31" s="11">
        <f>IFERROR((SUMIFS(Sesiones!$Y$3:$Y$77,Sesiones!$AZ$3:$AZ$77,"Sí")+SUMIFS(Sesiones!$AE$3:$AE$77,Sesiones!$AZ$3:$AZ$77,"Sí")+SUMIFS(Sesiones!$AK$3:$AK$77,Sesiones!$AZ$3:$AZ$77,"Sí"))/B27,"")</f>
        <v>2.1555555555555554</v>
      </c>
      <c r="C31" s="22"/>
    </row>
    <row r="32" spans="1:3" ht="27" customHeight="1" x14ac:dyDescent="0.2">
      <c r="A32" s="21" t="s">
        <v>128</v>
      </c>
      <c r="B32" s="9">
        <f>MIN(Tarjetas!$D$4:$D$59)</f>
        <v>3</v>
      </c>
      <c r="C32" s="22" t="s">
        <v>129</v>
      </c>
    </row>
  </sheetData>
  <mergeCells count="1">
    <mergeCell ref="A2:C2"/>
  </mergeCells>
  <conditionalFormatting sqref="B11">
    <cfRule type="cellIs" dxfId="0" priority="2" operator="equal">
      <formula>"Meta alcanzada"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workbookViewId="0">
      <pane ySplit="3" topLeftCell="A4" activePane="bottomLeft" state="frozen"/>
      <selection pane="bottomLeft"/>
    </sheetView>
  </sheetViews>
  <sheetFormatPr baseColWidth="10" defaultColWidth="8.7109375" defaultRowHeight="12.75" x14ac:dyDescent="0.2"/>
  <cols>
    <col min="1" max="1" width="10" customWidth="1"/>
    <col min="2" max="2" width="32" customWidth="1"/>
    <col min="3" max="3" width="100" customWidth="1"/>
    <col min="4" max="4" width="18" customWidth="1"/>
  </cols>
  <sheetData>
    <row r="1" spans="1:4" ht="18" x14ac:dyDescent="0.25">
      <c r="A1" s="3" t="s">
        <v>130</v>
      </c>
    </row>
    <row r="2" spans="1:4" ht="30" customHeight="1" x14ac:dyDescent="0.2">
      <c r="A2" s="1" t="s">
        <v>131</v>
      </c>
      <c r="B2" s="1"/>
      <c r="C2" s="1"/>
      <c r="D2" s="1"/>
    </row>
    <row r="3" spans="1:4" ht="39.75" customHeight="1" x14ac:dyDescent="0.2">
      <c r="A3" s="4" t="s">
        <v>132</v>
      </c>
      <c r="B3" s="4" t="s">
        <v>133</v>
      </c>
      <c r="C3" s="4" t="s">
        <v>134</v>
      </c>
      <c r="D3" s="4" t="s">
        <v>122</v>
      </c>
    </row>
    <row r="4" spans="1:4" ht="25.5" x14ac:dyDescent="0.2">
      <c r="A4" s="26" t="s">
        <v>86</v>
      </c>
      <c r="B4" s="27" t="s">
        <v>135</v>
      </c>
      <c r="C4" s="27" t="s">
        <v>136</v>
      </c>
      <c r="D4" s="9">
        <f>COUNTIFS(Sesiones!$T$3:$T$77,A4,Sesiones!$AZ$3:$AZ$77,"Sí")+COUNTIFS(Sesiones!$U$3:$U$77,A4,Sesiones!$AZ$3:$AZ$77,"Sí")+COUNTIFS(Sesiones!$V$3:$V$77,A4,Sesiones!$AZ$3:$AZ$77,"Sí")</f>
        <v>4</v>
      </c>
    </row>
    <row r="5" spans="1:4" ht="25.5" x14ac:dyDescent="0.2">
      <c r="A5" s="26" t="s">
        <v>87</v>
      </c>
      <c r="B5" s="27" t="s">
        <v>137</v>
      </c>
      <c r="C5" s="27" t="s">
        <v>138</v>
      </c>
      <c r="D5" s="9">
        <f>COUNTIFS(Sesiones!$T$3:$T$77,A5,Sesiones!$AZ$3:$AZ$77,"Sí")+COUNTIFS(Sesiones!$U$3:$U$77,A5,Sesiones!$AZ$3:$AZ$77,"Sí")+COUNTIFS(Sesiones!$V$3:$V$77,A5,Sesiones!$AZ$3:$AZ$77,"Sí")</f>
        <v>4</v>
      </c>
    </row>
    <row r="6" spans="1:4" x14ac:dyDescent="0.2">
      <c r="A6" s="26" t="s">
        <v>88</v>
      </c>
      <c r="B6" s="27" t="s">
        <v>139</v>
      </c>
      <c r="C6" s="27" t="s">
        <v>140</v>
      </c>
      <c r="D6" s="9">
        <f>COUNTIFS(Sesiones!$T$3:$T$77,A6,Sesiones!$AZ$3:$AZ$77,"Sí")+COUNTIFS(Sesiones!$U$3:$U$77,A6,Sesiones!$AZ$3:$AZ$77,"Sí")+COUNTIFS(Sesiones!$V$3:$V$77,A6,Sesiones!$AZ$3:$AZ$77,"Sí")</f>
        <v>4</v>
      </c>
    </row>
    <row r="7" spans="1:4" ht="25.5" x14ac:dyDescent="0.2">
      <c r="A7" s="26" t="s">
        <v>141</v>
      </c>
      <c r="B7" s="27" t="s">
        <v>142</v>
      </c>
      <c r="C7" s="27" t="s">
        <v>143</v>
      </c>
      <c r="D7" s="9">
        <f>COUNTIFS(Sesiones!$T$3:$T$77,A7,Sesiones!$AZ$3:$AZ$77,"Sí")+COUNTIFS(Sesiones!$U$3:$U$77,A7,Sesiones!$AZ$3:$AZ$77,"Sí")+COUNTIFS(Sesiones!$V$3:$V$77,A7,Sesiones!$AZ$3:$AZ$77,"Sí")</f>
        <v>4</v>
      </c>
    </row>
    <row r="8" spans="1:4" x14ac:dyDescent="0.2">
      <c r="A8" s="26" t="s">
        <v>144</v>
      </c>
      <c r="B8" s="27" t="s">
        <v>145</v>
      </c>
      <c r="C8" s="27" t="s">
        <v>146</v>
      </c>
      <c r="D8" s="9">
        <f>COUNTIFS(Sesiones!$T$3:$T$77,A8,Sesiones!$AZ$3:$AZ$77,"Sí")+COUNTIFS(Sesiones!$U$3:$U$77,A8,Sesiones!$AZ$3:$AZ$77,"Sí")+COUNTIFS(Sesiones!$V$3:$V$77,A8,Sesiones!$AZ$3:$AZ$77,"Sí")</f>
        <v>4</v>
      </c>
    </row>
    <row r="9" spans="1:4" ht="25.5" x14ac:dyDescent="0.2">
      <c r="A9" s="26" t="s">
        <v>147</v>
      </c>
      <c r="B9" s="27" t="s">
        <v>148</v>
      </c>
      <c r="C9" s="27" t="s">
        <v>149</v>
      </c>
      <c r="D9" s="9">
        <f>COUNTIFS(Sesiones!$T$3:$T$77,A9,Sesiones!$AZ$3:$AZ$77,"Sí")+COUNTIFS(Sesiones!$U$3:$U$77,A9,Sesiones!$AZ$3:$AZ$77,"Sí")+COUNTIFS(Sesiones!$V$3:$V$77,A9,Sesiones!$AZ$3:$AZ$77,"Sí")</f>
        <v>4</v>
      </c>
    </row>
    <row r="10" spans="1:4" x14ac:dyDescent="0.2">
      <c r="A10" s="26" t="s">
        <v>150</v>
      </c>
      <c r="B10" s="27" t="s">
        <v>151</v>
      </c>
      <c r="C10" s="27" t="s">
        <v>152</v>
      </c>
      <c r="D10" s="9">
        <f>COUNTIFS(Sesiones!$T$3:$T$77,A10,Sesiones!$AZ$3:$AZ$77,"Sí")+COUNTIFS(Sesiones!$U$3:$U$77,A10,Sesiones!$AZ$3:$AZ$77,"Sí")+COUNTIFS(Sesiones!$V$3:$V$77,A10,Sesiones!$AZ$3:$AZ$77,"Sí")</f>
        <v>4</v>
      </c>
    </row>
    <row r="11" spans="1:4" x14ac:dyDescent="0.2">
      <c r="A11" s="26" t="s">
        <v>153</v>
      </c>
      <c r="B11" s="27" t="s">
        <v>154</v>
      </c>
      <c r="C11" s="27" t="s">
        <v>155</v>
      </c>
      <c r="D11" s="9">
        <f>COUNTIFS(Sesiones!$T$3:$T$77,A11,Sesiones!$AZ$3:$AZ$77,"Sí")+COUNTIFS(Sesiones!$U$3:$U$77,A11,Sesiones!$AZ$3:$AZ$77,"Sí")+COUNTIFS(Sesiones!$V$3:$V$77,A11,Sesiones!$AZ$3:$AZ$77,"Sí")</f>
        <v>4</v>
      </c>
    </row>
    <row r="12" spans="1:4" x14ac:dyDescent="0.2">
      <c r="A12" s="26" t="s">
        <v>156</v>
      </c>
      <c r="B12" s="27" t="s">
        <v>157</v>
      </c>
      <c r="C12" s="27" t="s">
        <v>158</v>
      </c>
      <c r="D12" s="9">
        <f>COUNTIFS(Sesiones!$T$3:$T$77,A12,Sesiones!$AZ$3:$AZ$77,"Sí")+COUNTIFS(Sesiones!$U$3:$U$77,A12,Sesiones!$AZ$3:$AZ$77,"Sí")+COUNTIFS(Sesiones!$V$3:$V$77,A12,Sesiones!$AZ$3:$AZ$77,"Sí")</f>
        <v>4</v>
      </c>
    </row>
    <row r="13" spans="1:4" ht="25.5" x14ac:dyDescent="0.2">
      <c r="A13" s="26" t="s">
        <v>159</v>
      </c>
      <c r="B13" s="27" t="s">
        <v>160</v>
      </c>
      <c r="C13" s="27" t="s">
        <v>161</v>
      </c>
      <c r="D13" s="9">
        <f>COUNTIFS(Sesiones!$T$3:$T$77,A13,Sesiones!$AZ$3:$AZ$77,"Sí")+COUNTIFS(Sesiones!$U$3:$U$77,A13,Sesiones!$AZ$3:$AZ$77,"Sí")+COUNTIFS(Sesiones!$V$3:$V$77,A13,Sesiones!$AZ$3:$AZ$77,"Sí")</f>
        <v>4</v>
      </c>
    </row>
    <row r="14" spans="1:4" ht="25.5" x14ac:dyDescent="0.2">
      <c r="A14" s="26" t="s">
        <v>162</v>
      </c>
      <c r="B14" s="27" t="s">
        <v>163</v>
      </c>
      <c r="C14" s="27" t="s">
        <v>164</v>
      </c>
      <c r="D14" s="9">
        <f>COUNTIFS(Sesiones!$T$3:$T$77,A14,Sesiones!$AZ$3:$AZ$77,"Sí")+COUNTIFS(Sesiones!$U$3:$U$77,A14,Sesiones!$AZ$3:$AZ$77,"Sí")+COUNTIFS(Sesiones!$V$3:$V$77,A14,Sesiones!$AZ$3:$AZ$77,"Sí")</f>
        <v>4</v>
      </c>
    </row>
    <row r="15" spans="1:4" x14ac:dyDescent="0.2">
      <c r="A15" s="26" t="s">
        <v>165</v>
      </c>
      <c r="B15" s="27" t="s">
        <v>166</v>
      </c>
      <c r="C15" s="27" t="s">
        <v>167</v>
      </c>
      <c r="D15" s="9">
        <f>COUNTIFS(Sesiones!$T$3:$T$77,A15,Sesiones!$AZ$3:$AZ$77,"Sí")+COUNTIFS(Sesiones!$U$3:$U$77,A15,Sesiones!$AZ$3:$AZ$77,"Sí")+COUNTIFS(Sesiones!$V$3:$V$77,A15,Sesiones!$AZ$3:$AZ$77,"Sí")</f>
        <v>4</v>
      </c>
    </row>
    <row r="16" spans="1:4" x14ac:dyDescent="0.2">
      <c r="A16" s="26" t="s">
        <v>168</v>
      </c>
      <c r="B16" s="27" t="s">
        <v>169</v>
      </c>
      <c r="C16" s="27" t="s">
        <v>170</v>
      </c>
      <c r="D16" s="9">
        <f>COUNTIFS(Sesiones!$T$3:$T$77,A16,Sesiones!$AZ$3:$AZ$77,"Sí")+COUNTIFS(Sesiones!$U$3:$U$77,A16,Sesiones!$AZ$3:$AZ$77,"Sí")+COUNTIFS(Sesiones!$V$3:$V$77,A16,Sesiones!$AZ$3:$AZ$77,"Sí")</f>
        <v>3</v>
      </c>
    </row>
    <row r="17" spans="1:4" x14ac:dyDescent="0.2">
      <c r="A17" s="26" t="s">
        <v>171</v>
      </c>
      <c r="B17" s="27" t="s">
        <v>172</v>
      </c>
      <c r="C17" s="27" t="s">
        <v>173</v>
      </c>
      <c r="D17" s="9">
        <f>COUNTIFS(Sesiones!$T$3:$T$77,A17,Sesiones!$AZ$3:$AZ$77,"Sí")+COUNTIFS(Sesiones!$U$3:$U$77,A17,Sesiones!$AZ$3:$AZ$77,"Sí")+COUNTIFS(Sesiones!$V$3:$V$77,A17,Sesiones!$AZ$3:$AZ$77,"Sí")</f>
        <v>3</v>
      </c>
    </row>
    <row r="18" spans="1:4" x14ac:dyDescent="0.2">
      <c r="A18" s="26" t="s">
        <v>174</v>
      </c>
      <c r="B18" s="27" t="s">
        <v>175</v>
      </c>
      <c r="C18" s="27" t="s">
        <v>176</v>
      </c>
      <c r="D18" s="9">
        <f>COUNTIFS(Sesiones!$T$3:$T$77,A18,Sesiones!$AZ$3:$AZ$77,"Sí")+COUNTIFS(Sesiones!$U$3:$U$77,A18,Sesiones!$AZ$3:$AZ$77,"Sí")+COUNTIFS(Sesiones!$V$3:$V$77,A18,Sesiones!$AZ$3:$AZ$77,"Sí")</f>
        <v>3</v>
      </c>
    </row>
    <row r="19" spans="1:4" x14ac:dyDescent="0.2">
      <c r="A19" s="26" t="s">
        <v>177</v>
      </c>
      <c r="B19" s="27" t="s">
        <v>178</v>
      </c>
      <c r="C19" s="27" t="s">
        <v>179</v>
      </c>
      <c r="D19" s="9">
        <f>COUNTIFS(Sesiones!$T$3:$T$77,A19,Sesiones!$AZ$3:$AZ$77,"Sí")+COUNTIFS(Sesiones!$U$3:$U$77,A19,Sesiones!$AZ$3:$AZ$77,"Sí")+COUNTIFS(Sesiones!$V$3:$V$77,A19,Sesiones!$AZ$3:$AZ$77,"Sí")</f>
        <v>3</v>
      </c>
    </row>
    <row r="20" spans="1:4" ht="25.5" x14ac:dyDescent="0.2">
      <c r="A20" s="26" t="s">
        <v>180</v>
      </c>
      <c r="B20" s="27" t="s">
        <v>181</v>
      </c>
      <c r="C20" s="27" t="s">
        <v>182</v>
      </c>
      <c r="D20" s="9">
        <f>COUNTIFS(Sesiones!$T$3:$T$77,A20,Sesiones!$AZ$3:$AZ$77,"Sí")+COUNTIFS(Sesiones!$U$3:$U$77,A20,Sesiones!$AZ$3:$AZ$77,"Sí")+COUNTIFS(Sesiones!$V$3:$V$77,A20,Sesiones!$AZ$3:$AZ$77,"Sí")</f>
        <v>3</v>
      </c>
    </row>
    <row r="21" spans="1:4" x14ac:dyDescent="0.2">
      <c r="A21" s="26" t="s">
        <v>183</v>
      </c>
      <c r="B21" s="27" t="s">
        <v>184</v>
      </c>
      <c r="C21" s="27" t="s">
        <v>185</v>
      </c>
      <c r="D21" s="9">
        <f>COUNTIFS(Sesiones!$T$3:$T$77,A21,Sesiones!$AZ$3:$AZ$77,"Sí")+COUNTIFS(Sesiones!$U$3:$U$77,A21,Sesiones!$AZ$3:$AZ$77,"Sí")+COUNTIFS(Sesiones!$V$3:$V$77,A21,Sesiones!$AZ$3:$AZ$77,"Sí")</f>
        <v>3</v>
      </c>
    </row>
    <row r="22" spans="1:4" x14ac:dyDescent="0.2">
      <c r="A22" s="26" t="s">
        <v>186</v>
      </c>
      <c r="B22" s="27" t="s">
        <v>187</v>
      </c>
      <c r="C22" s="27" t="s">
        <v>188</v>
      </c>
      <c r="D22" s="9">
        <f>COUNTIFS(Sesiones!$T$3:$T$77,A22,Sesiones!$AZ$3:$AZ$77,"Sí")+COUNTIFS(Sesiones!$U$3:$U$77,A22,Sesiones!$AZ$3:$AZ$77,"Sí")+COUNTIFS(Sesiones!$V$3:$V$77,A22,Sesiones!$AZ$3:$AZ$77,"Sí")</f>
        <v>3</v>
      </c>
    </row>
    <row r="23" spans="1:4" ht="25.5" x14ac:dyDescent="0.2">
      <c r="A23" s="26" t="s">
        <v>189</v>
      </c>
      <c r="B23" s="27" t="s">
        <v>190</v>
      </c>
      <c r="C23" s="27" t="s">
        <v>191</v>
      </c>
      <c r="D23" s="9">
        <f>COUNTIFS(Sesiones!$T$3:$T$77,A23,Sesiones!$AZ$3:$AZ$77,"Sí")+COUNTIFS(Sesiones!$U$3:$U$77,A23,Sesiones!$AZ$3:$AZ$77,"Sí")+COUNTIFS(Sesiones!$V$3:$V$77,A23,Sesiones!$AZ$3:$AZ$77,"Sí")</f>
        <v>3</v>
      </c>
    </row>
    <row r="24" spans="1:4" x14ac:dyDescent="0.2">
      <c r="A24" s="26" t="s">
        <v>192</v>
      </c>
      <c r="B24" s="27" t="s">
        <v>193</v>
      </c>
      <c r="C24" s="27" t="s">
        <v>194</v>
      </c>
      <c r="D24" s="9">
        <f>COUNTIFS(Sesiones!$T$3:$T$77,A24,Sesiones!$AZ$3:$AZ$77,"Sí")+COUNTIFS(Sesiones!$U$3:$U$77,A24,Sesiones!$AZ$3:$AZ$77,"Sí")+COUNTIFS(Sesiones!$V$3:$V$77,A24,Sesiones!$AZ$3:$AZ$77,"Sí")</f>
        <v>3</v>
      </c>
    </row>
    <row r="25" spans="1:4" x14ac:dyDescent="0.2">
      <c r="A25" s="26" t="s">
        <v>195</v>
      </c>
      <c r="B25" s="27" t="s">
        <v>196</v>
      </c>
      <c r="C25" s="27" t="s">
        <v>197</v>
      </c>
      <c r="D25" s="9">
        <f>COUNTIFS(Sesiones!$T$3:$T$77,A25,Sesiones!$AZ$3:$AZ$77,"Sí")+COUNTIFS(Sesiones!$U$3:$U$77,A25,Sesiones!$AZ$3:$AZ$77,"Sí")+COUNTIFS(Sesiones!$V$3:$V$77,A25,Sesiones!$AZ$3:$AZ$77,"Sí")</f>
        <v>3</v>
      </c>
    </row>
    <row r="26" spans="1:4" x14ac:dyDescent="0.2">
      <c r="A26" s="26" t="s">
        <v>198</v>
      </c>
      <c r="B26" s="27" t="s">
        <v>199</v>
      </c>
      <c r="C26" s="27" t="s">
        <v>200</v>
      </c>
      <c r="D26" s="9">
        <f>COUNTIFS(Sesiones!$T$3:$T$77,A26,Sesiones!$AZ$3:$AZ$77,"Sí")+COUNTIFS(Sesiones!$U$3:$U$77,A26,Sesiones!$AZ$3:$AZ$77,"Sí")+COUNTIFS(Sesiones!$V$3:$V$77,A26,Sesiones!$AZ$3:$AZ$77,"Sí")</f>
        <v>3</v>
      </c>
    </row>
    <row r="27" spans="1:4" x14ac:dyDescent="0.2">
      <c r="A27" s="26" t="s">
        <v>201</v>
      </c>
      <c r="B27" s="27" t="s">
        <v>202</v>
      </c>
      <c r="C27" s="27" t="s">
        <v>203</v>
      </c>
      <c r="D27" s="9">
        <f>COUNTIFS(Sesiones!$T$3:$T$77,A27,Sesiones!$AZ$3:$AZ$77,"Sí")+COUNTIFS(Sesiones!$U$3:$U$77,A27,Sesiones!$AZ$3:$AZ$77,"Sí")+COUNTIFS(Sesiones!$V$3:$V$77,A27,Sesiones!$AZ$3:$AZ$77,"Sí")</f>
        <v>3</v>
      </c>
    </row>
    <row r="28" spans="1:4" x14ac:dyDescent="0.2">
      <c r="A28" s="26" t="s">
        <v>204</v>
      </c>
      <c r="B28" s="27" t="s">
        <v>205</v>
      </c>
      <c r="C28" s="27" t="s">
        <v>206</v>
      </c>
      <c r="D28" s="9">
        <f>COUNTIFS(Sesiones!$T$3:$T$77,A28,Sesiones!$AZ$3:$AZ$77,"Sí")+COUNTIFS(Sesiones!$U$3:$U$77,A28,Sesiones!$AZ$3:$AZ$77,"Sí")+COUNTIFS(Sesiones!$V$3:$V$77,A28,Sesiones!$AZ$3:$AZ$77,"Sí")</f>
        <v>3</v>
      </c>
    </row>
    <row r="29" spans="1:4" ht="25.5" x14ac:dyDescent="0.2">
      <c r="A29" s="26" t="s">
        <v>207</v>
      </c>
      <c r="B29" s="27" t="s">
        <v>208</v>
      </c>
      <c r="C29" s="27" t="s">
        <v>209</v>
      </c>
      <c r="D29" s="9">
        <f>COUNTIFS(Sesiones!$T$3:$T$77,A29,Sesiones!$AZ$3:$AZ$77,"Sí")+COUNTIFS(Sesiones!$U$3:$U$77,A29,Sesiones!$AZ$3:$AZ$77,"Sí")+COUNTIFS(Sesiones!$V$3:$V$77,A29,Sesiones!$AZ$3:$AZ$77,"Sí")</f>
        <v>3</v>
      </c>
    </row>
    <row r="30" spans="1:4" x14ac:dyDescent="0.2">
      <c r="A30" s="26" t="s">
        <v>210</v>
      </c>
      <c r="B30" s="27" t="s">
        <v>211</v>
      </c>
      <c r="C30" s="27" t="s">
        <v>212</v>
      </c>
      <c r="D30" s="9">
        <f>COUNTIFS(Sesiones!$T$3:$T$77,A30,Sesiones!$AZ$3:$AZ$77,"Sí")+COUNTIFS(Sesiones!$U$3:$U$77,A30,Sesiones!$AZ$3:$AZ$77,"Sí")+COUNTIFS(Sesiones!$V$3:$V$77,A30,Sesiones!$AZ$3:$AZ$77,"Sí")</f>
        <v>3</v>
      </c>
    </row>
    <row r="31" spans="1:4" x14ac:dyDescent="0.2">
      <c r="A31" s="26" t="s">
        <v>213</v>
      </c>
      <c r="B31" s="27" t="s">
        <v>214</v>
      </c>
      <c r="C31" s="27" t="s">
        <v>215</v>
      </c>
      <c r="D31" s="9">
        <f>COUNTIFS(Sesiones!$T$3:$T$77,A31,Sesiones!$AZ$3:$AZ$77,"Sí")+COUNTIFS(Sesiones!$U$3:$U$77,A31,Sesiones!$AZ$3:$AZ$77,"Sí")+COUNTIFS(Sesiones!$V$3:$V$77,A31,Sesiones!$AZ$3:$AZ$77,"Sí")</f>
        <v>3</v>
      </c>
    </row>
    <row r="32" spans="1:4" x14ac:dyDescent="0.2">
      <c r="A32" s="26" t="s">
        <v>216</v>
      </c>
      <c r="B32" s="27" t="s">
        <v>217</v>
      </c>
      <c r="C32" s="27" t="s">
        <v>218</v>
      </c>
      <c r="D32" s="9">
        <f>COUNTIFS(Sesiones!$T$3:$T$77,A32,Sesiones!$AZ$3:$AZ$77,"Sí")+COUNTIFS(Sesiones!$U$3:$U$77,A32,Sesiones!$AZ$3:$AZ$77,"Sí")+COUNTIFS(Sesiones!$V$3:$V$77,A32,Sesiones!$AZ$3:$AZ$77,"Sí")</f>
        <v>3</v>
      </c>
    </row>
    <row r="33" spans="1:4" x14ac:dyDescent="0.2">
      <c r="A33" s="26" t="s">
        <v>219</v>
      </c>
      <c r="B33" s="27" t="s">
        <v>220</v>
      </c>
      <c r="C33" s="27" t="s">
        <v>221</v>
      </c>
      <c r="D33" s="9">
        <f>COUNTIFS(Sesiones!$T$3:$T$77,A33,Sesiones!$AZ$3:$AZ$77,"Sí")+COUNTIFS(Sesiones!$U$3:$U$77,A33,Sesiones!$AZ$3:$AZ$77,"Sí")+COUNTIFS(Sesiones!$V$3:$V$77,A33,Sesiones!$AZ$3:$AZ$77,"Sí")</f>
        <v>3</v>
      </c>
    </row>
    <row r="34" spans="1:4" x14ac:dyDescent="0.2">
      <c r="A34" s="26" t="s">
        <v>222</v>
      </c>
      <c r="B34" s="27" t="s">
        <v>223</v>
      </c>
      <c r="C34" s="27" t="s">
        <v>224</v>
      </c>
      <c r="D34" s="9">
        <f>COUNTIFS(Sesiones!$T$3:$T$77,A34,Sesiones!$AZ$3:$AZ$77,"Sí")+COUNTIFS(Sesiones!$U$3:$U$77,A34,Sesiones!$AZ$3:$AZ$77,"Sí")+COUNTIFS(Sesiones!$V$3:$V$77,A34,Sesiones!$AZ$3:$AZ$77,"Sí")</f>
        <v>3</v>
      </c>
    </row>
    <row r="35" spans="1:4" x14ac:dyDescent="0.2">
      <c r="A35" s="26" t="s">
        <v>225</v>
      </c>
      <c r="B35" s="27" t="s">
        <v>226</v>
      </c>
      <c r="C35" s="27" t="s">
        <v>227</v>
      </c>
      <c r="D35" s="9">
        <f>COUNTIFS(Sesiones!$T$3:$T$77,A35,Sesiones!$AZ$3:$AZ$77,"Sí")+COUNTIFS(Sesiones!$U$3:$U$77,A35,Sesiones!$AZ$3:$AZ$77,"Sí")+COUNTIFS(Sesiones!$V$3:$V$77,A35,Sesiones!$AZ$3:$AZ$77,"Sí")</f>
        <v>3</v>
      </c>
    </row>
    <row r="36" spans="1:4" x14ac:dyDescent="0.2">
      <c r="A36" s="26" t="s">
        <v>228</v>
      </c>
      <c r="B36" s="27" t="s">
        <v>229</v>
      </c>
      <c r="C36" s="27" t="s">
        <v>230</v>
      </c>
      <c r="D36" s="9">
        <f>COUNTIFS(Sesiones!$T$3:$T$77,A36,Sesiones!$AZ$3:$AZ$77,"Sí")+COUNTIFS(Sesiones!$U$3:$U$77,A36,Sesiones!$AZ$3:$AZ$77,"Sí")+COUNTIFS(Sesiones!$V$3:$V$77,A36,Sesiones!$AZ$3:$AZ$77,"Sí")</f>
        <v>3</v>
      </c>
    </row>
    <row r="37" spans="1:4" x14ac:dyDescent="0.2">
      <c r="A37" s="26" t="s">
        <v>231</v>
      </c>
      <c r="B37" s="27" t="s">
        <v>232</v>
      </c>
      <c r="C37" s="27" t="s">
        <v>233</v>
      </c>
      <c r="D37" s="9">
        <f>COUNTIFS(Sesiones!$T$3:$T$77,A37,Sesiones!$AZ$3:$AZ$77,"Sí")+COUNTIFS(Sesiones!$U$3:$U$77,A37,Sesiones!$AZ$3:$AZ$77,"Sí")+COUNTIFS(Sesiones!$V$3:$V$77,A37,Sesiones!$AZ$3:$AZ$77,"Sí")</f>
        <v>3</v>
      </c>
    </row>
    <row r="38" spans="1:4" x14ac:dyDescent="0.2">
      <c r="A38" s="26" t="s">
        <v>234</v>
      </c>
      <c r="B38" s="27" t="s">
        <v>235</v>
      </c>
      <c r="C38" s="27" t="s">
        <v>236</v>
      </c>
      <c r="D38" s="9">
        <f>COUNTIFS(Sesiones!$T$3:$T$77,A38,Sesiones!$AZ$3:$AZ$77,"Sí")+COUNTIFS(Sesiones!$U$3:$U$77,A38,Sesiones!$AZ$3:$AZ$77,"Sí")+COUNTIFS(Sesiones!$V$3:$V$77,A38,Sesiones!$AZ$3:$AZ$77,"Sí")</f>
        <v>3</v>
      </c>
    </row>
    <row r="39" spans="1:4" x14ac:dyDescent="0.2">
      <c r="A39" s="26" t="s">
        <v>237</v>
      </c>
      <c r="B39" s="27" t="s">
        <v>238</v>
      </c>
      <c r="C39" s="27" t="s">
        <v>239</v>
      </c>
      <c r="D39" s="9">
        <f>COUNTIFS(Sesiones!$T$3:$T$77,A39,Sesiones!$AZ$3:$AZ$77,"Sí")+COUNTIFS(Sesiones!$U$3:$U$77,A39,Sesiones!$AZ$3:$AZ$77,"Sí")+COUNTIFS(Sesiones!$V$3:$V$77,A39,Sesiones!$AZ$3:$AZ$77,"Sí")</f>
        <v>3</v>
      </c>
    </row>
    <row r="40" spans="1:4" x14ac:dyDescent="0.2">
      <c r="A40" s="26" t="s">
        <v>240</v>
      </c>
      <c r="B40" s="27" t="s">
        <v>241</v>
      </c>
      <c r="C40" s="27" t="s">
        <v>242</v>
      </c>
      <c r="D40" s="9">
        <f>COUNTIFS(Sesiones!$T$3:$T$77,A40,Sesiones!$AZ$3:$AZ$77,"Sí")+COUNTIFS(Sesiones!$U$3:$U$77,A40,Sesiones!$AZ$3:$AZ$77,"Sí")+COUNTIFS(Sesiones!$V$3:$V$77,A40,Sesiones!$AZ$3:$AZ$77,"Sí")</f>
        <v>3</v>
      </c>
    </row>
    <row r="41" spans="1:4" x14ac:dyDescent="0.2">
      <c r="A41" s="26" t="s">
        <v>243</v>
      </c>
      <c r="B41" s="27" t="s">
        <v>244</v>
      </c>
      <c r="C41" s="27" t="s">
        <v>245</v>
      </c>
      <c r="D41" s="9">
        <f>COUNTIFS(Sesiones!$T$3:$T$77,A41,Sesiones!$AZ$3:$AZ$77,"Sí")+COUNTIFS(Sesiones!$U$3:$U$77,A41,Sesiones!$AZ$3:$AZ$77,"Sí")+COUNTIFS(Sesiones!$V$3:$V$77,A41,Sesiones!$AZ$3:$AZ$77,"Sí")</f>
        <v>3</v>
      </c>
    </row>
    <row r="42" spans="1:4" ht="25.5" x14ac:dyDescent="0.2">
      <c r="A42" s="26" t="s">
        <v>246</v>
      </c>
      <c r="B42" s="27" t="s">
        <v>247</v>
      </c>
      <c r="C42" s="27" t="s">
        <v>248</v>
      </c>
      <c r="D42" s="9">
        <f>COUNTIFS(Sesiones!$T$3:$T$77,A42,Sesiones!$AZ$3:$AZ$77,"Sí")+COUNTIFS(Sesiones!$U$3:$U$77,A42,Sesiones!$AZ$3:$AZ$77,"Sí")+COUNTIFS(Sesiones!$V$3:$V$77,A42,Sesiones!$AZ$3:$AZ$77,"Sí")</f>
        <v>3</v>
      </c>
    </row>
    <row r="43" spans="1:4" x14ac:dyDescent="0.2">
      <c r="A43" s="26" t="s">
        <v>249</v>
      </c>
      <c r="B43" s="27" t="s">
        <v>250</v>
      </c>
      <c r="C43" s="27" t="s">
        <v>251</v>
      </c>
      <c r="D43" s="9">
        <f>COUNTIFS(Sesiones!$T$3:$T$77,A43,Sesiones!$AZ$3:$AZ$77,"Sí")+COUNTIFS(Sesiones!$U$3:$U$77,A43,Sesiones!$AZ$3:$AZ$77,"Sí")+COUNTIFS(Sesiones!$V$3:$V$77,A43,Sesiones!$AZ$3:$AZ$77,"Sí")</f>
        <v>3</v>
      </c>
    </row>
    <row r="44" spans="1:4" x14ac:dyDescent="0.2">
      <c r="A44" s="26" t="s">
        <v>252</v>
      </c>
      <c r="B44" s="27" t="s">
        <v>253</v>
      </c>
      <c r="C44" s="27" t="s">
        <v>254</v>
      </c>
      <c r="D44" s="9">
        <f>COUNTIFS(Sesiones!$T$3:$T$77,A44,Sesiones!$AZ$3:$AZ$77,"Sí")+COUNTIFS(Sesiones!$U$3:$U$77,A44,Sesiones!$AZ$3:$AZ$77,"Sí")+COUNTIFS(Sesiones!$V$3:$V$77,A44,Sesiones!$AZ$3:$AZ$77,"Sí")</f>
        <v>3</v>
      </c>
    </row>
    <row r="45" spans="1:4" x14ac:dyDescent="0.2">
      <c r="A45" s="26" t="s">
        <v>255</v>
      </c>
      <c r="B45" s="27" t="s">
        <v>256</v>
      </c>
      <c r="C45" s="27" t="s">
        <v>257</v>
      </c>
      <c r="D45" s="9">
        <f>COUNTIFS(Sesiones!$T$3:$T$77,A45,Sesiones!$AZ$3:$AZ$77,"Sí")+COUNTIFS(Sesiones!$U$3:$U$77,A45,Sesiones!$AZ$3:$AZ$77,"Sí")+COUNTIFS(Sesiones!$V$3:$V$77,A45,Sesiones!$AZ$3:$AZ$77,"Sí")</f>
        <v>3</v>
      </c>
    </row>
    <row r="46" spans="1:4" x14ac:dyDescent="0.2">
      <c r="A46" s="26" t="s">
        <v>258</v>
      </c>
      <c r="B46" s="27" t="s">
        <v>259</v>
      </c>
      <c r="C46" s="27" t="s">
        <v>260</v>
      </c>
      <c r="D46" s="9">
        <f>COUNTIFS(Sesiones!$T$3:$T$77,A46,Sesiones!$AZ$3:$AZ$77,"Sí")+COUNTIFS(Sesiones!$U$3:$U$77,A46,Sesiones!$AZ$3:$AZ$77,"Sí")+COUNTIFS(Sesiones!$V$3:$V$77,A46,Sesiones!$AZ$3:$AZ$77,"Sí")</f>
        <v>3</v>
      </c>
    </row>
    <row r="47" spans="1:4" x14ac:dyDescent="0.2">
      <c r="A47" s="26" t="s">
        <v>261</v>
      </c>
      <c r="B47" s="27" t="s">
        <v>262</v>
      </c>
      <c r="C47" s="27" t="s">
        <v>263</v>
      </c>
      <c r="D47" s="9">
        <f>COUNTIFS(Sesiones!$T$3:$T$77,A47,Sesiones!$AZ$3:$AZ$77,"Sí")+COUNTIFS(Sesiones!$U$3:$U$77,A47,Sesiones!$AZ$3:$AZ$77,"Sí")+COUNTIFS(Sesiones!$V$3:$V$77,A47,Sesiones!$AZ$3:$AZ$77,"Sí")</f>
        <v>3</v>
      </c>
    </row>
    <row r="48" spans="1:4" x14ac:dyDescent="0.2">
      <c r="A48" s="26" t="s">
        <v>264</v>
      </c>
      <c r="B48" s="27" t="s">
        <v>265</v>
      </c>
      <c r="C48" s="27" t="s">
        <v>266</v>
      </c>
      <c r="D48" s="9">
        <f>COUNTIFS(Sesiones!$T$3:$T$77,A48,Sesiones!$AZ$3:$AZ$77,"Sí")+COUNTIFS(Sesiones!$U$3:$U$77,A48,Sesiones!$AZ$3:$AZ$77,"Sí")+COUNTIFS(Sesiones!$V$3:$V$77,A48,Sesiones!$AZ$3:$AZ$77,"Sí")</f>
        <v>3</v>
      </c>
    </row>
    <row r="49" spans="1:4" x14ac:dyDescent="0.2">
      <c r="A49" s="26" t="s">
        <v>267</v>
      </c>
      <c r="B49" s="27" t="s">
        <v>268</v>
      </c>
      <c r="C49" s="27" t="s">
        <v>269</v>
      </c>
      <c r="D49" s="9">
        <f>COUNTIFS(Sesiones!$T$3:$T$77,A49,Sesiones!$AZ$3:$AZ$77,"Sí")+COUNTIFS(Sesiones!$U$3:$U$77,A49,Sesiones!$AZ$3:$AZ$77,"Sí")+COUNTIFS(Sesiones!$V$3:$V$77,A49,Sesiones!$AZ$3:$AZ$77,"Sí")</f>
        <v>3</v>
      </c>
    </row>
    <row r="50" spans="1:4" x14ac:dyDescent="0.2">
      <c r="A50" s="26" t="s">
        <v>270</v>
      </c>
      <c r="B50" s="27" t="s">
        <v>271</v>
      </c>
      <c r="C50" s="27" t="s">
        <v>272</v>
      </c>
      <c r="D50" s="9">
        <f>COUNTIFS(Sesiones!$T$3:$T$77,A50,Sesiones!$AZ$3:$AZ$77,"Sí")+COUNTIFS(Sesiones!$U$3:$U$77,A50,Sesiones!$AZ$3:$AZ$77,"Sí")+COUNTIFS(Sesiones!$V$3:$V$77,A50,Sesiones!$AZ$3:$AZ$77,"Sí")</f>
        <v>3</v>
      </c>
    </row>
    <row r="51" spans="1:4" x14ac:dyDescent="0.2">
      <c r="A51" s="26" t="s">
        <v>273</v>
      </c>
      <c r="B51" s="27" t="s">
        <v>274</v>
      </c>
      <c r="C51" s="27" t="s">
        <v>275</v>
      </c>
      <c r="D51" s="9">
        <f>COUNTIFS(Sesiones!$T$3:$T$77,A51,Sesiones!$AZ$3:$AZ$77,"Sí")+COUNTIFS(Sesiones!$U$3:$U$77,A51,Sesiones!$AZ$3:$AZ$77,"Sí")+COUNTIFS(Sesiones!$V$3:$V$77,A51,Sesiones!$AZ$3:$AZ$77,"Sí")</f>
        <v>3</v>
      </c>
    </row>
    <row r="52" spans="1:4" x14ac:dyDescent="0.2">
      <c r="A52" s="26" t="s">
        <v>276</v>
      </c>
      <c r="B52" s="27" t="s">
        <v>277</v>
      </c>
      <c r="C52" s="27" t="s">
        <v>278</v>
      </c>
      <c r="D52" s="9">
        <f>COUNTIFS(Sesiones!$T$3:$T$77,A52,Sesiones!$AZ$3:$AZ$77,"Sí")+COUNTIFS(Sesiones!$U$3:$U$77,A52,Sesiones!$AZ$3:$AZ$77,"Sí")+COUNTIFS(Sesiones!$V$3:$V$77,A52,Sesiones!$AZ$3:$AZ$77,"Sí")</f>
        <v>3</v>
      </c>
    </row>
    <row r="53" spans="1:4" ht="25.5" x14ac:dyDescent="0.2">
      <c r="A53" s="26" t="s">
        <v>279</v>
      </c>
      <c r="B53" s="27" t="s">
        <v>280</v>
      </c>
      <c r="C53" s="27" t="s">
        <v>281</v>
      </c>
      <c r="D53" s="9">
        <f>COUNTIFS(Sesiones!$T$3:$T$77,A53,Sesiones!$AZ$3:$AZ$77,"Sí")+COUNTIFS(Sesiones!$U$3:$U$77,A53,Sesiones!$AZ$3:$AZ$77,"Sí")+COUNTIFS(Sesiones!$V$3:$V$77,A53,Sesiones!$AZ$3:$AZ$77,"Sí")</f>
        <v>3</v>
      </c>
    </row>
    <row r="54" spans="1:4" ht="25.5" x14ac:dyDescent="0.2">
      <c r="A54" s="26" t="s">
        <v>282</v>
      </c>
      <c r="B54" s="27" t="s">
        <v>280</v>
      </c>
      <c r="C54" s="27" t="s">
        <v>283</v>
      </c>
      <c r="D54" s="9">
        <f>COUNTIFS(Sesiones!$T$3:$T$77,A54,Sesiones!$AZ$3:$AZ$77,"Sí")+COUNTIFS(Sesiones!$U$3:$U$77,A54,Sesiones!$AZ$3:$AZ$77,"Sí")+COUNTIFS(Sesiones!$V$3:$V$77,A54,Sesiones!$AZ$3:$AZ$77,"Sí")</f>
        <v>3</v>
      </c>
    </row>
    <row r="55" spans="1:4" ht="25.5" x14ac:dyDescent="0.2">
      <c r="A55" s="26" t="s">
        <v>284</v>
      </c>
      <c r="B55" s="27" t="s">
        <v>280</v>
      </c>
      <c r="C55" s="27" t="s">
        <v>285</v>
      </c>
      <c r="D55" s="9">
        <f>COUNTIFS(Sesiones!$T$3:$T$77,A55,Sesiones!$AZ$3:$AZ$77,"Sí")+COUNTIFS(Sesiones!$U$3:$U$77,A55,Sesiones!$AZ$3:$AZ$77,"Sí")+COUNTIFS(Sesiones!$V$3:$V$77,A55,Sesiones!$AZ$3:$AZ$77,"Sí")</f>
        <v>3</v>
      </c>
    </row>
    <row r="56" spans="1:4" x14ac:dyDescent="0.2">
      <c r="A56" s="26" t="s">
        <v>286</v>
      </c>
      <c r="B56" s="27" t="s">
        <v>287</v>
      </c>
      <c r="C56" s="27" t="s">
        <v>288</v>
      </c>
      <c r="D56" s="9">
        <f>COUNTIFS(Sesiones!$T$3:$T$77,A56,Sesiones!$AZ$3:$AZ$77,"Sí")+COUNTIFS(Sesiones!$U$3:$U$77,A56,Sesiones!$AZ$3:$AZ$77,"Sí")+COUNTIFS(Sesiones!$V$3:$V$77,A56,Sesiones!$AZ$3:$AZ$77,"Sí")</f>
        <v>3</v>
      </c>
    </row>
    <row r="57" spans="1:4" x14ac:dyDescent="0.2">
      <c r="A57" s="26" t="s">
        <v>289</v>
      </c>
      <c r="B57" s="27" t="s">
        <v>290</v>
      </c>
      <c r="C57" s="27" t="s">
        <v>291</v>
      </c>
      <c r="D57" s="9">
        <f>COUNTIFS(Sesiones!$T$3:$T$77,A57,Sesiones!$AZ$3:$AZ$77,"Sí")+COUNTIFS(Sesiones!$U$3:$U$77,A57,Sesiones!$AZ$3:$AZ$77,"Sí")+COUNTIFS(Sesiones!$V$3:$V$77,A57,Sesiones!$AZ$3:$AZ$77,"Sí")</f>
        <v>3</v>
      </c>
    </row>
    <row r="58" spans="1:4" x14ac:dyDescent="0.2">
      <c r="A58" s="26" t="s">
        <v>292</v>
      </c>
      <c r="B58" s="27" t="s">
        <v>293</v>
      </c>
      <c r="C58" s="27" t="s">
        <v>294</v>
      </c>
      <c r="D58" s="9">
        <f>COUNTIFS(Sesiones!$T$3:$T$77,A58,Sesiones!$AZ$3:$AZ$77,"Sí")+COUNTIFS(Sesiones!$U$3:$U$77,A58,Sesiones!$AZ$3:$AZ$77,"Sí")+COUNTIFS(Sesiones!$V$3:$V$77,A58,Sesiones!$AZ$3:$AZ$77,"Sí")</f>
        <v>3</v>
      </c>
    </row>
    <row r="59" spans="1:4" x14ac:dyDescent="0.2">
      <c r="A59" s="26" t="s">
        <v>295</v>
      </c>
      <c r="B59" s="27" t="s">
        <v>296</v>
      </c>
      <c r="C59" s="27" t="s">
        <v>297</v>
      </c>
      <c r="D59" s="9">
        <f>COUNTIFS(Sesiones!$T$3:$T$77,A59,Sesiones!$AZ$3:$AZ$77,"Sí")+COUNTIFS(Sesiones!$U$3:$U$77,A59,Sesiones!$AZ$3:$AZ$77,"Sí")+COUNTIFS(Sesiones!$V$3:$V$77,A59,Sesiones!$AZ$3:$AZ$77,"Sí")</f>
        <v>3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baseColWidth="10" defaultColWidth="8.7109375" defaultRowHeight="12.75" x14ac:dyDescent="0.2"/>
  <cols>
    <col min="1" max="1" width="34" customWidth="1"/>
    <col min="2" max="2" width="14" customWidth="1"/>
    <col min="3" max="3" width="80" customWidth="1"/>
    <col min="4" max="5" width="3" customWidth="1"/>
    <col min="6" max="6" width="14" customWidth="1"/>
    <col min="7" max="7" width="10" customWidth="1"/>
    <col min="8" max="8" width="36" customWidth="1"/>
    <col min="9" max="9" width="32" customWidth="1"/>
    <col min="10" max="10" width="12" customWidth="1"/>
  </cols>
  <sheetData>
    <row r="1" spans="1:10" ht="18" x14ac:dyDescent="0.25">
      <c r="A1" s="3" t="s">
        <v>298</v>
      </c>
    </row>
    <row r="2" spans="1:10" x14ac:dyDescent="0.2">
      <c r="A2" s="14" t="s">
        <v>299</v>
      </c>
    </row>
    <row r="3" spans="1:10" ht="30" customHeight="1" x14ac:dyDescent="0.2">
      <c r="A3" s="4" t="s">
        <v>300</v>
      </c>
      <c r="B3" s="4" t="s">
        <v>301</v>
      </c>
      <c r="F3" s="4" t="s">
        <v>3</v>
      </c>
      <c r="G3" s="4" t="s">
        <v>302</v>
      </c>
      <c r="H3" s="4" t="s">
        <v>6</v>
      </c>
      <c r="I3" s="4" t="s">
        <v>303</v>
      </c>
      <c r="J3" s="4" t="s">
        <v>304</v>
      </c>
    </row>
    <row r="4" spans="1:10" x14ac:dyDescent="0.2">
      <c r="A4" s="27" t="s">
        <v>305</v>
      </c>
      <c r="B4" s="8">
        <v>7.5</v>
      </c>
      <c r="F4" s="27" t="s">
        <v>306</v>
      </c>
      <c r="G4" s="27" t="s">
        <v>82</v>
      </c>
      <c r="H4" s="27" t="s">
        <v>83</v>
      </c>
      <c r="I4" s="27" t="s">
        <v>307</v>
      </c>
      <c r="J4" s="27" t="s">
        <v>82</v>
      </c>
    </row>
    <row r="5" spans="1:10" x14ac:dyDescent="0.2">
      <c r="A5" s="27" t="s">
        <v>308</v>
      </c>
      <c r="B5" s="8">
        <v>22.5</v>
      </c>
      <c r="F5" s="27" t="s">
        <v>81</v>
      </c>
      <c r="G5" s="27" t="s">
        <v>90</v>
      </c>
      <c r="H5" s="27" t="s">
        <v>309</v>
      </c>
      <c r="I5" s="27" t="s">
        <v>85</v>
      </c>
      <c r="J5" s="27" t="s">
        <v>92</v>
      </c>
    </row>
    <row r="6" spans="1:10" x14ac:dyDescent="0.2">
      <c r="A6" s="27" t="s">
        <v>310</v>
      </c>
      <c r="B6" s="8">
        <v>45</v>
      </c>
      <c r="F6" s="27" t="s">
        <v>311</v>
      </c>
      <c r="H6" s="27" t="s">
        <v>312</v>
      </c>
      <c r="I6" s="27" t="s">
        <v>313</v>
      </c>
      <c r="J6" s="27" t="s">
        <v>90</v>
      </c>
    </row>
    <row r="7" spans="1:10" x14ac:dyDescent="0.2">
      <c r="A7" s="27" t="s">
        <v>84</v>
      </c>
      <c r="B7" s="8">
        <v>90</v>
      </c>
      <c r="F7" s="27" t="s">
        <v>314</v>
      </c>
      <c r="H7" s="27" t="s">
        <v>315</v>
      </c>
      <c r="I7" s="27" t="s">
        <v>316</v>
      </c>
    </row>
    <row r="8" spans="1:10" x14ac:dyDescent="0.2">
      <c r="A8" s="27" t="s">
        <v>317</v>
      </c>
      <c r="B8" s="8">
        <v>180</v>
      </c>
      <c r="H8" s="27" t="s">
        <v>318</v>
      </c>
    </row>
    <row r="9" spans="1:10" x14ac:dyDescent="0.2">
      <c r="A9" s="27" t="s">
        <v>319</v>
      </c>
      <c r="B9" s="8">
        <v>300</v>
      </c>
      <c r="H9" s="27" t="s">
        <v>320</v>
      </c>
    </row>
    <row r="10" spans="1:10" x14ac:dyDescent="0.2">
      <c r="A10" s="14" t="s">
        <v>321</v>
      </c>
      <c r="H10" s="27" t="s">
        <v>322</v>
      </c>
    </row>
    <row r="11" spans="1:10" x14ac:dyDescent="0.2">
      <c r="H11" s="27" t="s">
        <v>323</v>
      </c>
    </row>
    <row r="13" spans="1:10" x14ac:dyDescent="0.2">
      <c r="A13" s="4" t="s">
        <v>324</v>
      </c>
      <c r="B13" s="4" t="s">
        <v>325</v>
      </c>
      <c r="C13" s="4" t="s">
        <v>326</v>
      </c>
    </row>
    <row r="14" spans="1:10" ht="25.5" x14ac:dyDescent="0.2">
      <c r="A14" s="21" t="s">
        <v>327</v>
      </c>
      <c r="B14" s="8">
        <v>60</v>
      </c>
      <c r="C14" s="28" t="s">
        <v>328</v>
      </c>
    </row>
    <row r="15" spans="1:10" x14ac:dyDescent="0.2">
      <c r="A15" s="21" t="s">
        <v>329</v>
      </c>
      <c r="B15" s="29">
        <v>0.6</v>
      </c>
      <c r="C15" s="28" t="s">
        <v>330</v>
      </c>
    </row>
    <row r="16" spans="1:10" x14ac:dyDescent="0.2">
      <c r="A16" s="21" t="s">
        <v>331</v>
      </c>
      <c r="B16" s="8">
        <v>4</v>
      </c>
      <c r="C16" s="28" t="s">
        <v>332</v>
      </c>
    </row>
    <row r="17" spans="1:3" x14ac:dyDescent="0.2">
      <c r="A17" s="21" t="s">
        <v>333</v>
      </c>
      <c r="B17" s="8">
        <v>0.7</v>
      </c>
      <c r="C17" s="28" t="s">
        <v>334</v>
      </c>
    </row>
    <row r="18" spans="1:3" ht="25.5" x14ac:dyDescent="0.2">
      <c r="A18" s="21" t="s">
        <v>335</v>
      </c>
      <c r="B18" s="8">
        <v>180</v>
      </c>
      <c r="C18" s="28" t="s">
        <v>336</v>
      </c>
    </row>
    <row r="19" spans="1:3" x14ac:dyDescent="0.2">
      <c r="A19" s="21" t="s">
        <v>337</v>
      </c>
      <c r="B19" s="8">
        <v>3</v>
      </c>
      <c r="C19" s="28" t="s">
        <v>338</v>
      </c>
    </row>
    <row r="20" spans="1:3" x14ac:dyDescent="0.2">
      <c r="A20" s="21" t="s">
        <v>339</v>
      </c>
      <c r="B20" s="8"/>
      <c r="C20" s="28" t="s">
        <v>340</v>
      </c>
    </row>
    <row r="21" spans="1:3" x14ac:dyDescent="0.2">
      <c r="A21" s="21" t="s">
        <v>341</v>
      </c>
      <c r="B21" s="6"/>
      <c r="C21" s="28" t="s">
        <v>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workbookViewId="0"/>
  </sheetViews>
  <sheetFormatPr baseColWidth="10" defaultColWidth="8.7109375" defaultRowHeight="12.75" x14ac:dyDescent="0.2"/>
  <cols>
    <col min="1" max="10" width="9" customWidth="1"/>
  </cols>
  <sheetData>
    <row r="1" spans="1:10" ht="18" x14ac:dyDescent="0.25">
      <c r="A1" s="3" t="s">
        <v>343</v>
      </c>
    </row>
    <row r="2" spans="1:10" x14ac:dyDescent="0.2">
      <c r="A2" s="14" t="s">
        <v>344</v>
      </c>
    </row>
    <row r="3" spans="1:10" x14ac:dyDescent="0.2">
      <c r="A3" s="4" t="s">
        <v>345</v>
      </c>
      <c r="B3" s="4" t="s">
        <v>346</v>
      </c>
      <c r="C3" s="4" t="s">
        <v>347</v>
      </c>
      <c r="D3" s="4" t="s">
        <v>348</v>
      </c>
      <c r="E3" s="4" t="s">
        <v>349</v>
      </c>
      <c r="F3" s="4" t="s">
        <v>350</v>
      </c>
      <c r="G3" s="4" t="s">
        <v>351</v>
      </c>
      <c r="H3" s="4" t="s">
        <v>352</v>
      </c>
      <c r="I3" s="4" t="s">
        <v>353</v>
      </c>
      <c r="J3" s="4" t="s">
        <v>354</v>
      </c>
    </row>
    <row r="4" spans="1:10" x14ac:dyDescent="0.2">
      <c r="A4" s="9" t="str">
        <f>Sesiones!A3</f>
        <v>SA01</v>
      </c>
      <c r="B4" s="9">
        <f>IF(Sesiones!AZ3="Sí",Sesiones!AO3,"")</f>
        <v>3</v>
      </c>
      <c r="C4" s="9">
        <f>IF(Sesiones!AZ3="Sí",Sesiones!AP3,"")</f>
        <v>4</v>
      </c>
      <c r="D4" s="9">
        <f>IF(Sesiones!AZ3="Sí",Sesiones!AQ3,"")</f>
        <v>3</v>
      </c>
      <c r="E4" s="9">
        <f>IF(Sesiones!AZ3="Sí",Sesiones!AR3,"")</f>
        <v>3</v>
      </c>
      <c r="F4" s="9">
        <f>IF(Sesiones!AZ3="Sí",Sesiones!AS3,"")</f>
        <v>4</v>
      </c>
      <c r="G4" s="9">
        <f>IF(Sesiones!AZ3="Sí",Sesiones!AT3,"")</f>
        <v>4</v>
      </c>
      <c r="H4" s="9">
        <f>IF(Sesiones!AZ3="Sí",Sesiones!AU3,"")</f>
        <v>4</v>
      </c>
      <c r="I4" s="9">
        <f>IF(Sesiones!AZ3="Sí",Sesiones!AV3,"")</f>
        <v>4</v>
      </c>
      <c r="J4" s="9">
        <f>IF(Sesiones!AZ3="Sí",Sesiones!BK3,"")</f>
        <v>29</v>
      </c>
    </row>
    <row r="5" spans="1:10" x14ac:dyDescent="0.2">
      <c r="A5" s="9" t="str">
        <f>Sesiones!A4</f>
        <v>SA02</v>
      </c>
      <c r="B5" s="9">
        <f>IF(Sesiones!AZ4="Sí",Sesiones!AO4,"")</f>
        <v>3</v>
      </c>
      <c r="C5" s="9">
        <f>IF(Sesiones!AZ4="Sí",Sesiones!AP4,"")</f>
        <v>3</v>
      </c>
      <c r="D5" s="9">
        <f>IF(Sesiones!AZ4="Sí",Sesiones!AQ4,"")</f>
        <v>5</v>
      </c>
      <c r="E5" s="9">
        <f>IF(Sesiones!AZ4="Sí",Sesiones!AR4,"")</f>
        <v>4</v>
      </c>
      <c r="F5" s="9">
        <f>IF(Sesiones!AZ4="Sí",Sesiones!AS4,"")</f>
        <v>4</v>
      </c>
      <c r="G5" s="9">
        <f>IF(Sesiones!AZ4="Sí",Sesiones!AT4,"")</f>
        <v>3</v>
      </c>
      <c r="H5" s="9">
        <f>IF(Sesiones!AZ4="Sí",Sesiones!AU4,"")</f>
        <v>4</v>
      </c>
      <c r="I5" s="9">
        <f>IF(Sesiones!AZ4="Sí",Sesiones!AV4,"")</f>
        <v>3</v>
      </c>
      <c r="J5" s="9">
        <f>IF(Sesiones!AZ4="Sí",Sesiones!BK4,"")</f>
        <v>29</v>
      </c>
    </row>
    <row r="6" spans="1:10" x14ac:dyDescent="0.2">
      <c r="A6" s="9" t="str">
        <f>Sesiones!A5</f>
        <v>SA03</v>
      </c>
      <c r="B6" s="9">
        <f>IF(Sesiones!AZ5="Sí",Sesiones!AO5,"")</f>
        <v>1</v>
      </c>
      <c r="C6" s="9">
        <f>IF(Sesiones!AZ5="Sí",Sesiones!AP5,"")</f>
        <v>4</v>
      </c>
      <c r="D6" s="9">
        <f>IF(Sesiones!AZ5="Sí",Sesiones!AQ5,"")</f>
        <v>3</v>
      </c>
      <c r="E6" s="9">
        <f>IF(Sesiones!AZ5="Sí",Sesiones!AR5,"")</f>
        <v>1</v>
      </c>
      <c r="F6" s="9">
        <f>IF(Sesiones!AZ5="Sí",Sesiones!AS5,"")</f>
        <v>2</v>
      </c>
      <c r="G6" s="9">
        <f>IF(Sesiones!AZ5="Sí",Sesiones!AT5,"")</f>
        <v>3</v>
      </c>
      <c r="H6" s="9">
        <f>IF(Sesiones!AZ5="Sí",Sesiones!AU5,"")</f>
        <v>2</v>
      </c>
      <c r="I6" s="9">
        <f>IF(Sesiones!AZ5="Sí",Sesiones!AV5,"")</f>
        <v>2</v>
      </c>
      <c r="J6" s="9">
        <f>IF(Sesiones!AZ5="Sí",Sesiones!BK5,"")</f>
        <v>18</v>
      </c>
    </row>
    <row r="7" spans="1:10" x14ac:dyDescent="0.2">
      <c r="A7" s="9" t="str">
        <f>Sesiones!A6</f>
        <v>SA04</v>
      </c>
      <c r="B7" s="9">
        <f>IF(Sesiones!AZ6="Sí",Sesiones!AO6,"")</f>
        <v>3</v>
      </c>
      <c r="C7" s="9">
        <f>IF(Sesiones!AZ6="Sí",Sesiones!AP6,"")</f>
        <v>2</v>
      </c>
      <c r="D7" s="9">
        <f>IF(Sesiones!AZ6="Sí",Sesiones!AQ6,"")</f>
        <v>3</v>
      </c>
      <c r="E7" s="9">
        <f>IF(Sesiones!AZ6="Sí",Sesiones!AR6,"")</f>
        <v>3</v>
      </c>
      <c r="F7" s="9">
        <f>IF(Sesiones!AZ6="Sí",Sesiones!AS6,"")</f>
        <v>4</v>
      </c>
      <c r="G7" s="9">
        <f>IF(Sesiones!AZ6="Sí",Sesiones!AT6,"")</f>
        <v>4</v>
      </c>
      <c r="H7" s="9">
        <f>IF(Sesiones!AZ6="Sí",Sesiones!AU6,"")</f>
        <v>4</v>
      </c>
      <c r="I7" s="9">
        <f>IF(Sesiones!AZ6="Sí",Sesiones!AV6,"")</f>
        <v>2</v>
      </c>
      <c r="J7" s="9">
        <f>IF(Sesiones!AZ6="Sí",Sesiones!BK6,"")</f>
        <v>25</v>
      </c>
    </row>
    <row r="8" spans="1:10" x14ac:dyDescent="0.2">
      <c r="A8" s="9" t="str">
        <f>Sesiones!A7</f>
        <v>SA05</v>
      </c>
      <c r="B8" s="9">
        <f>IF(Sesiones!AZ7="Sí",Sesiones!AO7,"")</f>
        <v>3</v>
      </c>
      <c r="C8" s="9">
        <f>IF(Sesiones!AZ7="Sí",Sesiones!AP7,"")</f>
        <v>3</v>
      </c>
      <c r="D8" s="9">
        <f>IF(Sesiones!AZ7="Sí",Sesiones!AQ7,"")</f>
        <v>2</v>
      </c>
      <c r="E8" s="9">
        <f>IF(Sesiones!AZ7="Sí",Sesiones!AR7,"")</f>
        <v>4</v>
      </c>
      <c r="F8" s="9">
        <f>IF(Sesiones!AZ7="Sí",Sesiones!AS7,"")</f>
        <v>4</v>
      </c>
      <c r="G8" s="9">
        <f>IF(Sesiones!AZ7="Sí",Sesiones!AT7,"")</f>
        <v>3</v>
      </c>
      <c r="H8" s="9">
        <f>IF(Sesiones!AZ7="Sí",Sesiones!AU7,"")</f>
        <v>4</v>
      </c>
      <c r="I8" s="9">
        <f>IF(Sesiones!AZ7="Sí",Sesiones!AV7,"")</f>
        <v>4</v>
      </c>
      <c r="J8" s="9">
        <f>IF(Sesiones!AZ7="Sí",Sesiones!BK7,"")</f>
        <v>27</v>
      </c>
    </row>
    <row r="9" spans="1:10" x14ac:dyDescent="0.2">
      <c r="A9" s="9" t="str">
        <f>Sesiones!A8</f>
        <v>SA06</v>
      </c>
      <c r="B9" s="9">
        <f>IF(Sesiones!AZ8="Sí",Sesiones!AO8,"")</f>
        <v>3</v>
      </c>
      <c r="C9" s="9">
        <f>IF(Sesiones!AZ8="Sí",Sesiones!AP8,"")</f>
        <v>2</v>
      </c>
      <c r="D9" s="9">
        <f>IF(Sesiones!AZ8="Sí",Sesiones!AQ8,"")</f>
        <v>4</v>
      </c>
      <c r="E9" s="9">
        <f>IF(Sesiones!AZ8="Sí",Sesiones!AR8,"")</f>
        <v>3</v>
      </c>
      <c r="F9" s="9">
        <f>IF(Sesiones!AZ8="Sí",Sesiones!AS8,"")</f>
        <v>2</v>
      </c>
      <c r="G9" s="9">
        <f>IF(Sesiones!AZ8="Sí",Sesiones!AT8,"")</f>
        <v>4</v>
      </c>
      <c r="H9" s="9">
        <f>IF(Sesiones!AZ8="Sí",Sesiones!AU8,"")</f>
        <v>3</v>
      </c>
      <c r="I9" s="9">
        <f>IF(Sesiones!AZ8="Sí",Sesiones!AV8,"")</f>
        <v>2</v>
      </c>
      <c r="J9" s="9">
        <f>IF(Sesiones!AZ8="Sí",Sesiones!BK8,"")</f>
        <v>23</v>
      </c>
    </row>
    <row r="10" spans="1:10" x14ac:dyDescent="0.2">
      <c r="A10" s="9" t="str">
        <f>Sesiones!A9</f>
        <v>SA07</v>
      </c>
      <c r="B10" s="9">
        <f>IF(Sesiones!AZ9="Sí",Sesiones!AO9,"")</f>
        <v>4</v>
      </c>
      <c r="C10" s="9">
        <f>IF(Sesiones!AZ9="Sí",Sesiones!AP9,"")</f>
        <v>2</v>
      </c>
      <c r="D10" s="9">
        <f>IF(Sesiones!AZ9="Sí",Sesiones!AQ9,"")</f>
        <v>3</v>
      </c>
      <c r="E10" s="9">
        <f>IF(Sesiones!AZ9="Sí",Sesiones!AR9,"")</f>
        <v>2</v>
      </c>
      <c r="F10" s="9">
        <f>IF(Sesiones!AZ9="Sí",Sesiones!AS9,"")</f>
        <v>3</v>
      </c>
      <c r="G10" s="9">
        <f>IF(Sesiones!AZ9="Sí",Sesiones!AT9,"")</f>
        <v>5</v>
      </c>
      <c r="H10" s="9">
        <f>IF(Sesiones!AZ9="Sí",Sesiones!AU9,"")</f>
        <v>3</v>
      </c>
      <c r="I10" s="9">
        <f>IF(Sesiones!AZ9="Sí",Sesiones!AV9,"")</f>
        <v>2</v>
      </c>
      <c r="J10" s="9">
        <f>IF(Sesiones!AZ9="Sí",Sesiones!BK9,"")</f>
        <v>24</v>
      </c>
    </row>
    <row r="11" spans="1:10" x14ac:dyDescent="0.2">
      <c r="A11" s="9" t="str">
        <f>Sesiones!A10</f>
        <v>SA08</v>
      </c>
      <c r="B11" s="9">
        <f>IF(Sesiones!AZ10="Sí",Sesiones!AO10,"")</f>
        <v>5</v>
      </c>
      <c r="C11" s="9">
        <f>IF(Sesiones!AZ10="Sí",Sesiones!AP10,"")</f>
        <v>5</v>
      </c>
      <c r="D11" s="9">
        <f>IF(Sesiones!AZ10="Sí",Sesiones!AQ10,"")</f>
        <v>5</v>
      </c>
      <c r="E11" s="9">
        <f>IF(Sesiones!AZ10="Sí",Sesiones!AR10,"")</f>
        <v>3</v>
      </c>
      <c r="F11" s="9">
        <f>IF(Sesiones!AZ10="Sí",Sesiones!AS10,"")</f>
        <v>4</v>
      </c>
      <c r="G11" s="9">
        <f>IF(Sesiones!AZ10="Sí",Sesiones!AT10,"")</f>
        <v>3</v>
      </c>
      <c r="H11" s="9">
        <f>IF(Sesiones!AZ10="Sí",Sesiones!AU10,"")</f>
        <v>3</v>
      </c>
      <c r="I11" s="9">
        <f>IF(Sesiones!AZ10="Sí",Sesiones!AV10,"")</f>
        <v>4</v>
      </c>
      <c r="J11" s="9">
        <f>IF(Sesiones!AZ10="Sí",Sesiones!BK10,"")</f>
        <v>32</v>
      </c>
    </row>
    <row r="12" spans="1:10" x14ac:dyDescent="0.2">
      <c r="A12" s="9" t="str">
        <f>Sesiones!A11</f>
        <v>SA09</v>
      </c>
      <c r="B12" s="9">
        <f>IF(Sesiones!AZ11="Sí",Sesiones!AO11,"")</f>
        <v>4</v>
      </c>
      <c r="C12" s="9">
        <f>IF(Sesiones!AZ11="Sí",Sesiones!AP11,"")</f>
        <v>4</v>
      </c>
      <c r="D12" s="9">
        <f>IF(Sesiones!AZ11="Sí",Sesiones!AQ11,"")</f>
        <v>4</v>
      </c>
      <c r="E12" s="9">
        <f>IF(Sesiones!AZ11="Sí",Sesiones!AR11,"")</f>
        <v>2</v>
      </c>
      <c r="F12" s="9">
        <f>IF(Sesiones!AZ11="Sí",Sesiones!AS11,"")</f>
        <v>3</v>
      </c>
      <c r="G12" s="9">
        <f>IF(Sesiones!AZ11="Sí",Sesiones!AT11,"")</f>
        <v>4</v>
      </c>
      <c r="H12" s="9">
        <f>IF(Sesiones!AZ11="Sí",Sesiones!AU11,"")</f>
        <v>2</v>
      </c>
      <c r="I12" s="9">
        <f>IF(Sesiones!AZ11="Sí",Sesiones!AV11,"")</f>
        <v>3</v>
      </c>
      <c r="J12" s="9">
        <f>IF(Sesiones!AZ11="Sí",Sesiones!BK11,"")</f>
        <v>26</v>
      </c>
    </row>
    <row r="13" spans="1:10" x14ac:dyDescent="0.2">
      <c r="A13" s="9" t="str">
        <f>Sesiones!A12</f>
        <v>SA10</v>
      </c>
      <c r="B13" s="9">
        <f>IF(Sesiones!AZ12="Sí",Sesiones!AO12,"")</f>
        <v>2</v>
      </c>
      <c r="C13" s="9">
        <f>IF(Sesiones!AZ12="Sí",Sesiones!AP12,"")</f>
        <v>4</v>
      </c>
      <c r="D13" s="9">
        <f>IF(Sesiones!AZ12="Sí",Sesiones!AQ12,"")</f>
        <v>4</v>
      </c>
      <c r="E13" s="9">
        <f>IF(Sesiones!AZ12="Sí",Sesiones!AR12,"")</f>
        <v>2</v>
      </c>
      <c r="F13" s="9">
        <f>IF(Sesiones!AZ12="Sí",Sesiones!AS12,"")</f>
        <v>4</v>
      </c>
      <c r="G13" s="9">
        <f>IF(Sesiones!AZ12="Sí",Sesiones!AT12,"")</f>
        <v>4</v>
      </c>
      <c r="H13" s="9">
        <f>IF(Sesiones!AZ12="Sí",Sesiones!AU12,"")</f>
        <v>3</v>
      </c>
      <c r="I13" s="9">
        <f>IF(Sesiones!AZ12="Sí",Sesiones!AV12,"")</f>
        <v>2</v>
      </c>
      <c r="J13" s="9">
        <f>IF(Sesiones!AZ12="Sí",Sesiones!BK12,"")</f>
        <v>25</v>
      </c>
    </row>
    <row r="14" spans="1:10" x14ac:dyDescent="0.2">
      <c r="A14" s="9" t="str">
        <f>Sesiones!A13</f>
        <v>SA11</v>
      </c>
      <c r="B14" s="9">
        <f>IF(Sesiones!AZ13="Sí",Sesiones!AO13,"")</f>
        <v>3</v>
      </c>
      <c r="C14" s="9">
        <f>IF(Sesiones!AZ13="Sí",Sesiones!AP13,"")</f>
        <v>4</v>
      </c>
      <c r="D14" s="9">
        <f>IF(Sesiones!AZ13="Sí",Sesiones!AQ13,"")</f>
        <v>3</v>
      </c>
      <c r="E14" s="9">
        <f>IF(Sesiones!AZ13="Sí",Sesiones!AR13,"")</f>
        <v>4</v>
      </c>
      <c r="F14" s="9">
        <f>IF(Sesiones!AZ13="Sí",Sesiones!AS13,"")</f>
        <v>4</v>
      </c>
      <c r="G14" s="9">
        <f>IF(Sesiones!AZ13="Sí",Sesiones!AT13,"")</f>
        <v>4</v>
      </c>
      <c r="H14" s="9">
        <f>IF(Sesiones!AZ13="Sí",Sesiones!AU13,"")</f>
        <v>4</v>
      </c>
      <c r="I14" s="9">
        <f>IF(Sesiones!AZ13="Sí",Sesiones!AV13,"")</f>
        <v>3</v>
      </c>
      <c r="J14" s="9">
        <f>IF(Sesiones!AZ13="Sí",Sesiones!BK13,"")</f>
        <v>29</v>
      </c>
    </row>
    <row r="15" spans="1:10" x14ac:dyDescent="0.2">
      <c r="A15" s="9" t="str">
        <f>Sesiones!A14</f>
        <v>SA12</v>
      </c>
      <c r="B15" s="9">
        <f>IF(Sesiones!AZ14="Sí",Sesiones!AO14,"")</f>
        <v>3</v>
      </c>
      <c r="C15" s="9">
        <f>IF(Sesiones!AZ14="Sí",Sesiones!AP14,"")</f>
        <v>3</v>
      </c>
      <c r="D15" s="9">
        <f>IF(Sesiones!AZ14="Sí",Sesiones!AQ14,"")</f>
        <v>2</v>
      </c>
      <c r="E15" s="9">
        <f>IF(Sesiones!AZ14="Sí",Sesiones!AR14,"")</f>
        <v>4</v>
      </c>
      <c r="F15" s="9">
        <f>IF(Sesiones!AZ14="Sí",Sesiones!AS14,"")</f>
        <v>3</v>
      </c>
      <c r="G15" s="9">
        <f>IF(Sesiones!AZ14="Sí",Sesiones!AT14,"")</f>
        <v>1</v>
      </c>
      <c r="H15" s="9">
        <f>IF(Sesiones!AZ14="Sí",Sesiones!AU14,"")</f>
        <v>2</v>
      </c>
      <c r="I15" s="9">
        <f>IF(Sesiones!AZ14="Sí",Sesiones!AV14,"")</f>
        <v>4</v>
      </c>
      <c r="J15" s="9">
        <f>IF(Sesiones!AZ14="Sí",Sesiones!BK14,"")</f>
        <v>22</v>
      </c>
    </row>
    <row r="16" spans="1:10" x14ac:dyDescent="0.2">
      <c r="A16" s="9" t="str">
        <f>Sesiones!A15</f>
        <v>SA13</v>
      </c>
      <c r="B16" s="9">
        <f>IF(Sesiones!AZ15="Sí",Sesiones!AO15,"")</f>
        <v>3</v>
      </c>
      <c r="C16" s="9">
        <f>IF(Sesiones!AZ15="Sí",Sesiones!AP15,"")</f>
        <v>5</v>
      </c>
      <c r="D16" s="9">
        <f>IF(Sesiones!AZ15="Sí",Sesiones!AQ15,"")</f>
        <v>4</v>
      </c>
      <c r="E16" s="9">
        <f>IF(Sesiones!AZ15="Sí",Sesiones!AR15,"")</f>
        <v>3</v>
      </c>
      <c r="F16" s="9">
        <f>IF(Sesiones!AZ15="Sí",Sesiones!AS15,"")</f>
        <v>4</v>
      </c>
      <c r="G16" s="9">
        <f>IF(Sesiones!AZ15="Sí",Sesiones!AT15,"")</f>
        <v>4</v>
      </c>
      <c r="H16" s="9">
        <f>IF(Sesiones!AZ15="Sí",Sesiones!AU15,"")</f>
        <v>3</v>
      </c>
      <c r="I16" s="9">
        <f>IF(Sesiones!AZ15="Sí",Sesiones!AV15,"")</f>
        <v>4</v>
      </c>
      <c r="J16" s="9">
        <f>IF(Sesiones!AZ15="Sí",Sesiones!BK15,"")</f>
        <v>30</v>
      </c>
    </row>
    <row r="17" spans="1:10" x14ac:dyDescent="0.2">
      <c r="A17" s="9" t="str">
        <f>Sesiones!A16</f>
        <v>SA14</v>
      </c>
      <c r="B17" s="9">
        <f>IF(Sesiones!AZ16="Sí",Sesiones!AO16,"")</f>
        <v>4</v>
      </c>
      <c r="C17" s="9">
        <f>IF(Sesiones!AZ16="Sí",Sesiones!AP16,"")</f>
        <v>4</v>
      </c>
      <c r="D17" s="9">
        <f>IF(Sesiones!AZ16="Sí",Sesiones!AQ16,"")</f>
        <v>5</v>
      </c>
      <c r="E17" s="9">
        <f>IF(Sesiones!AZ16="Sí",Sesiones!AR16,"")</f>
        <v>4</v>
      </c>
      <c r="F17" s="9">
        <f>IF(Sesiones!AZ16="Sí",Sesiones!AS16,"")</f>
        <v>5</v>
      </c>
      <c r="G17" s="9">
        <f>IF(Sesiones!AZ16="Sí",Sesiones!AT16,"")</f>
        <v>5</v>
      </c>
      <c r="H17" s="9">
        <f>IF(Sesiones!AZ16="Sí",Sesiones!AU16,"")</f>
        <v>3</v>
      </c>
      <c r="I17" s="9">
        <f>IF(Sesiones!AZ16="Sí",Sesiones!AV16,"")</f>
        <v>3</v>
      </c>
      <c r="J17" s="9">
        <f>IF(Sesiones!AZ16="Sí",Sesiones!BK16,"")</f>
        <v>33</v>
      </c>
    </row>
    <row r="18" spans="1:10" x14ac:dyDescent="0.2">
      <c r="A18" s="9" t="str">
        <f>Sesiones!A17</f>
        <v>SA15</v>
      </c>
      <c r="B18" s="9">
        <f>IF(Sesiones!AZ17="Sí",Sesiones!AO17,"")</f>
        <v>4</v>
      </c>
      <c r="C18" s="9">
        <f>IF(Sesiones!AZ17="Sí",Sesiones!AP17,"")</f>
        <v>5</v>
      </c>
      <c r="D18" s="9">
        <f>IF(Sesiones!AZ17="Sí",Sesiones!AQ17,"")</f>
        <v>2</v>
      </c>
      <c r="E18" s="9">
        <f>IF(Sesiones!AZ17="Sí",Sesiones!AR17,"")</f>
        <v>3</v>
      </c>
      <c r="F18" s="9">
        <f>IF(Sesiones!AZ17="Sí",Sesiones!AS17,"")</f>
        <v>5</v>
      </c>
      <c r="G18" s="9">
        <f>IF(Sesiones!AZ17="Sí",Sesiones!AT17,"")</f>
        <v>4</v>
      </c>
      <c r="H18" s="9">
        <f>IF(Sesiones!AZ17="Sí",Sesiones!AU17,"")</f>
        <v>3</v>
      </c>
      <c r="I18" s="9">
        <f>IF(Sesiones!AZ17="Sí",Sesiones!AV17,"")</f>
        <v>2</v>
      </c>
      <c r="J18" s="9">
        <f>IF(Sesiones!AZ17="Sí",Sesiones!BK17,"")</f>
        <v>28</v>
      </c>
    </row>
    <row r="19" spans="1:10" x14ac:dyDescent="0.2">
      <c r="A19" s="9" t="str">
        <f>Sesiones!A18</f>
        <v>SA16</v>
      </c>
      <c r="B19" s="9">
        <f>IF(Sesiones!AZ18="Sí",Sesiones!AO18,"")</f>
        <v>4</v>
      </c>
      <c r="C19" s="9">
        <f>IF(Sesiones!AZ18="Sí",Sesiones!AP18,"")</f>
        <v>5</v>
      </c>
      <c r="D19" s="9">
        <f>IF(Sesiones!AZ18="Sí",Sesiones!AQ18,"")</f>
        <v>4</v>
      </c>
      <c r="E19" s="9">
        <f>IF(Sesiones!AZ18="Sí",Sesiones!AR18,"")</f>
        <v>4</v>
      </c>
      <c r="F19" s="9">
        <f>IF(Sesiones!AZ18="Sí",Sesiones!AS18,"")</f>
        <v>3</v>
      </c>
      <c r="G19" s="9">
        <f>IF(Sesiones!AZ18="Sí",Sesiones!AT18,"")</f>
        <v>2</v>
      </c>
      <c r="H19" s="9">
        <f>IF(Sesiones!AZ18="Sí",Sesiones!AU18,"")</f>
        <v>4</v>
      </c>
      <c r="I19" s="9">
        <f>IF(Sesiones!AZ18="Sí",Sesiones!AV18,"")</f>
        <v>4</v>
      </c>
      <c r="J19" s="9">
        <f>IF(Sesiones!AZ18="Sí",Sesiones!BK18,"")</f>
        <v>30</v>
      </c>
    </row>
    <row r="20" spans="1:10" x14ac:dyDescent="0.2">
      <c r="A20" s="9" t="str">
        <f>Sesiones!A19</f>
        <v>SA17</v>
      </c>
      <c r="B20" s="9">
        <f>IF(Sesiones!AZ19="Sí",Sesiones!AO19,"")</f>
        <v>4</v>
      </c>
      <c r="C20" s="9">
        <f>IF(Sesiones!AZ19="Sí",Sesiones!AP19,"")</f>
        <v>4</v>
      </c>
      <c r="D20" s="9">
        <f>IF(Sesiones!AZ19="Sí",Sesiones!AQ19,"")</f>
        <v>2</v>
      </c>
      <c r="E20" s="9">
        <f>IF(Sesiones!AZ19="Sí",Sesiones!AR19,"")</f>
        <v>2</v>
      </c>
      <c r="F20" s="9">
        <f>IF(Sesiones!AZ19="Sí",Sesiones!AS19,"")</f>
        <v>4</v>
      </c>
      <c r="G20" s="9">
        <f>IF(Sesiones!AZ19="Sí",Sesiones!AT19,"")</f>
        <v>4</v>
      </c>
      <c r="H20" s="9">
        <f>IF(Sesiones!AZ19="Sí",Sesiones!AU19,"")</f>
        <v>4</v>
      </c>
      <c r="I20" s="9">
        <f>IF(Sesiones!AZ19="Sí",Sesiones!AV19,"")</f>
        <v>2</v>
      </c>
      <c r="J20" s="9">
        <f>IF(Sesiones!AZ19="Sí",Sesiones!BK19,"")</f>
        <v>26</v>
      </c>
    </row>
    <row r="21" spans="1:10" x14ac:dyDescent="0.2">
      <c r="A21" s="9" t="str">
        <f>Sesiones!A20</f>
        <v>SA18</v>
      </c>
      <c r="B21" s="9">
        <f>IF(Sesiones!AZ20="Sí",Sesiones!AO20,"")</f>
        <v>2</v>
      </c>
      <c r="C21" s="9">
        <f>IF(Sesiones!AZ20="Sí",Sesiones!AP20,"")</f>
        <v>4</v>
      </c>
      <c r="D21" s="9">
        <f>IF(Sesiones!AZ20="Sí",Sesiones!AQ20,"")</f>
        <v>3</v>
      </c>
      <c r="E21" s="9">
        <f>IF(Sesiones!AZ20="Sí",Sesiones!AR20,"")</f>
        <v>4</v>
      </c>
      <c r="F21" s="9">
        <f>IF(Sesiones!AZ20="Sí",Sesiones!AS20,"")</f>
        <v>3</v>
      </c>
      <c r="G21" s="9">
        <f>IF(Sesiones!AZ20="Sí",Sesiones!AT20,"")</f>
        <v>2</v>
      </c>
      <c r="H21" s="9">
        <f>IF(Sesiones!AZ20="Sí",Sesiones!AU20,"")</f>
        <v>3</v>
      </c>
      <c r="I21" s="9">
        <f>IF(Sesiones!AZ20="Sí",Sesiones!AV20,"")</f>
        <v>4</v>
      </c>
      <c r="J21" s="9">
        <f>IF(Sesiones!AZ20="Sí",Sesiones!BK20,"")</f>
        <v>25</v>
      </c>
    </row>
    <row r="22" spans="1:10" x14ac:dyDescent="0.2">
      <c r="A22" s="9" t="str">
        <f>Sesiones!A21</f>
        <v>SA19</v>
      </c>
      <c r="B22" s="9">
        <f>IF(Sesiones!AZ21="Sí",Sesiones!AO21,"")</f>
        <v>2</v>
      </c>
      <c r="C22" s="9">
        <f>IF(Sesiones!AZ21="Sí",Sesiones!AP21,"")</f>
        <v>4</v>
      </c>
      <c r="D22" s="9">
        <f>IF(Sesiones!AZ21="Sí",Sesiones!AQ21,"")</f>
        <v>2</v>
      </c>
      <c r="E22" s="9">
        <f>IF(Sesiones!AZ21="Sí",Sesiones!AR21,"")</f>
        <v>3</v>
      </c>
      <c r="F22" s="9">
        <f>IF(Sesiones!AZ21="Sí",Sesiones!AS21,"")</f>
        <v>4</v>
      </c>
      <c r="G22" s="9">
        <f>IF(Sesiones!AZ21="Sí",Sesiones!AT21,"")</f>
        <v>2</v>
      </c>
      <c r="H22" s="9">
        <f>IF(Sesiones!AZ21="Sí",Sesiones!AU21,"")</f>
        <v>4</v>
      </c>
      <c r="I22" s="9">
        <f>IF(Sesiones!AZ21="Sí",Sesiones!AV21,"")</f>
        <v>3</v>
      </c>
      <c r="J22" s="9">
        <f>IF(Sesiones!AZ21="Sí",Sesiones!BK21,"")</f>
        <v>24</v>
      </c>
    </row>
    <row r="23" spans="1:10" x14ac:dyDescent="0.2">
      <c r="A23" s="9" t="str">
        <f>Sesiones!A22</f>
        <v>SA20</v>
      </c>
      <c r="B23" s="9">
        <f>IF(Sesiones!AZ22="Sí",Sesiones!AO22,"")</f>
        <v>4</v>
      </c>
      <c r="C23" s="9">
        <f>IF(Sesiones!AZ22="Sí",Sesiones!AP22,"")</f>
        <v>4</v>
      </c>
      <c r="D23" s="9">
        <f>IF(Sesiones!AZ22="Sí",Sesiones!AQ22,"")</f>
        <v>2</v>
      </c>
      <c r="E23" s="9">
        <f>IF(Sesiones!AZ22="Sí",Sesiones!AR22,"")</f>
        <v>4</v>
      </c>
      <c r="F23" s="9">
        <f>IF(Sesiones!AZ22="Sí",Sesiones!AS22,"")</f>
        <v>4</v>
      </c>
      <c r="G23" s="9">
        <f>IF(Sesiones!AZ22="Sí",Sesiones!AT22,"")</f>
        <v>3</v>
      </c>
      <c r="H23" s="9">
        <f>IF(Sesiones!AZ22="Sí",Sesiones!AU22,"")</f>
        <v>3</v>
      </c>
      <c r="I23" s="9">
        <f>IF(Sesiones!AZ22="Sí",Sesiones!AV22,"")</f>
        <v>3</v>
      </c>
      <c r="J23" s="9">
        <f>IF(Sesiones!AZ22="Sí",Sesiones!BK22,"")</f>
        <v>27</v>
      </c>
    </row>
    <row r="24" spans="1:10" x14ac:dyDescent="0.2">
      <c r="A24" s="9" t="str">
        <f>Sesiones!A23</f>
        <v>SA21</v>
      </c>
      <c r="B24" s="9">
        <f>IF(Sesiones!AZ23="Sí",Sesiones!AO23,"")</f>
        <v>3</v>
      </c>
      <c r="C24" s="9">
        <f>IF(Sesiones!AZ23="Sí",Sesiones!AP23,"")</f>
        <v>3</v>
      </c>
      <c r="D24" s="9">
        <f>IF(Sesiones!AZ23="Sí",Sesiones!AQ23,"")</f>
        <v>5</v>
      </c>
      <c r="E24" s="9">
        <f>IF(Sesiones!AZ23="Sí",Sesiones!AR23,"")</f>
        <v>3</v>
      </c>
      <c r="F24" s="9">
        <f>IF(Sesiones!AZ23="Sí",Sesiones!AS23,"")</f>
        <v>3</v>
      </c>
      <c r="G24" s="9">
        <f>IF(Sesiones!AZ23="Sí",Sesiones!AT23,"")</f>
        <v>2</v>
      </c>
      <c r="H24" s="9">
        <f>IF(Sesiones!AZ23="Sí",Sesiones!AU23,"")</f>
        <v>3</v>
      </c>
      <c r="I24" s="9">
        <f>IF(Sesiones!AZ23="Sí",Sesiones!AV23,"")</f>
        <v>2</v>
      </c>
      <c r="J24" s="9">
        <f>IF(Sesiones!AZ23="Sí",Sesiones!BK23,"")</f>
        <v>24</v>
      </c>
    </row>
    <row r="25" spans="1:10" x14ac:dyDescent="0.2">
      <c r="A25" s="9" t="str">
        <f>Sesiones!A24</f>
        <v>SA22</v>
      </c>
      <c r="B25" s="9">
        <f>IF(Sesiones!AZ24="Sí",Sesiones!AO24,"")</f>
        <v>4</v>
      </c>
      <c r="C25" s="9">
        <f>IF(Sesiones!AZ24="Sí",Sesiones!AP24,"")</f>
        <v>3</v>
      </c>
      <c r="D25" s="9">
        <f>IF(Sesiones!AZ24="Sí",Sesiones!AQ24,"")</f>
        <v>4</v>
      </c>
      <c r="E25" s="9">
        <f>IF(Sesiones!AZ24="Sí",Sesiones!AR24,"")</f>
        <v>4</v>
      </c>
      <c r="F25" s="9">
        <f>IF(Sesiones!AZ24="Sí",Sesiones!AS24,"")</f>
        <v>3</v>
      </c>
      <c r="G25" s="9">
        <f>IF(Sesiones!AZ24="Sí",Sesiones!AT24,"")</f>
        <v>4</v>
      </c>
      <c r="H25" s="9">
        <f>IF(Sesiones!AZ24="Sí",Sesiones!AU24,"")</f>
        <v>5</v>
      </c>
      <c r="I25" s="9">
        <f>IF(Sesiones!AZ24="Sí",Sesiones!AV24,"")</f>
        <v>3</v>
      </c>
      <c r="J25" s="9">
        <f>IF(Sesiones!AZ24="Sí",Sesiones!BK24,"")</f>
        <v>30</v>
      </c>
    </row>
    <row r="26" spans="1:10" x14ac:dyDescent="0.2">
      <c r="A26" s="9" t="str">
        <f>Sesiones!A25</f>
        <v>SA23</v>
      </c>
      <c r="B26" s="9">
        <f>IF(Sesiones!AZ25="Sí",Sesiones!AO25,"")</f>
        <v>3</v>
      </c>
      <c r="C26" s="9">
        <f>IF(Sesiones!AZ25="Sí",Sesiones!AP25,"")</f>
        <v>3</v>
      </c>
      <c r="D26" s="9">
        <f>IF(Sesiones!AZ25="Sí",Sesiones!AQ25,"")</f>
        <v>2</v>
      </c>
      <c r="E26" s="9">
        <f>IF(Sesiones!AZ25="Sí",Sesiones!AR25,"")</f>
        <v>3</v>
      </c>
      <c r="F26" s="9">
        <f>IF(Sesiones!AZ25="Sí",Sesiones!AS25,"")</f>
        <v>4</v>
      </c>
      <c r="G26" s="9">
        <f>IF(Sesiones!AZ25="Sí",Sesiones!AT25,"")</f>
        <v>2</v>
      </c>
      <c r="H26" s="9">
        <f>IF(Sesiones!AZ25="Sí",Sesiones!AU25,"")</f>
        <v>4</v>
      </c>
      <c r="I26" s="9">
        <f>IF(Sesiones!AZ25="Sí",Sesiones!AV25,"")</f>
        <v>3</v>
      </c>
      <c r="J26" s="9">
        <f>IF(Sesiones!AZ25="Sí",Sesiones!BK25,"")</f>
        <v>24</v>
      </c>
    </row>
    <row r="27" spans="1:10" x14ac:dyDescent="0.2">
      <c r="A27" s="9" t="str">
        <f>Sesiones!A26</f>
        <v>SA24</v>
      </c>
      <c r="B27" s="9">
        <f>IF(Sesiones!AZ26="Sí",Sesiones!AO26,"")</f>
        <v>2</v>
      </c>
      <c r="C27" s="9">
        <f>IF(Sesiones!AZ26="Sí",Sesiones!AP26,"")</f>
        <v>2</v>
      </c>
      <c r="D27" s="9">
        <f>IF(Sesiones!AZ26="Sí",Sesiones!AQ26,"")</f>
        <v>2</v>
      </c>
      <c r="E27" s="9">
        <f>IF(Sesiones!AZ26="Sí",Sesiones!AR26,"")</f>
        <v>1</v>
      </c>
      <c r="F27" s="9">
        <f>IF(Sesiones!AZ26="Sí",Sesiones!AS26,"")</f>
        <v>3</v>
      </c>
      <c r="G27" s="9">
        <f>IF(Sesiones!AZ26="Sí",Sesiones!AT26,"")</f>
        <v>2</v>
      </c>
      <c r="H27" s="9">
        <f>IF(Sesiones!AZ26="Sí",Sesiones!AU26,"")</f>
        <v>2</v>
      </c>
      <c r="I27" s="9">
        <f>IF(Sesiones!AZ26="Sí",Sesiones!AV26,"")</f>
        <v>1</v>
      </c>
      <c r="J27" s="9">
        <f>IF(Sesiones!AZ26="Sí",Sesiones!BK26,"")</f>
        <v>15</v>
      </c>
    </row>
    <row r="28" spans="1:10" x14ac:dyDescent="0.2">
      <c r="A28" s="9" t="str">
        <f>Sesiones!A27</f>
        <v>SA25</v>
      </c>
      <c r="B28" s="9">
        <f>IF(Sesiones!AZ27="Sí",Sesiones!AO27,"")</f>
        <v>2</v>
      </c>
      <c r="C28" s="9">
        <f>IF(Sesiones!AZ27="Sí",Sesiones!AP27,"")</f>
        <v>4</v>
      </c>
      <c r="D28" s="9">
        <f>IF(Sesiones!AZ27="Sí",Sesiones!AQ27,"")</f>
        <v>3</v>
      </c>
      <c r="E28" s="9">
        <f>IF(Sesiones!AZ27="Sí",Sesiones!AR27,"")</f>
        <v>3</v>
      </c>
      <c r="F28" s="9">
        <f>IF(Sesiones!AZ27="Sí",Sesiones!AS27,"")</f>
        <v>3</v>
      </c>
      <c r="G28" s="9">
        <f>IF(Sesiones!AZ27="Sí",Sesiones!AT27,"")</f>
        <v>3</v>
      </c>
      <c r="H28" s="9">
        <f>IF(Sesiones!AZ27="Sí",Sesiones!AU27,"")</f>
        <v>4</v>
      </c>
      <c r="I28" s="9">
        <f>IF(Sesiones!AZ27="Sí",Sesiones!AV27,"")</f>
        <v>2</v>
      </c>
      <c r="J28" s="9">
        <f>IF(Sesiones!AZ27="Sí",Sesiones!BK27,"")</f>
        <v>24</v>
      </c>
    </row>
    <row r="29" spans="1:10" x14ac:dyDescent="0.2">
      <c r="A29" s="9" t="str">
        <f>Sesiones!A28</f>
        <v>SA26</v>
      </c>
      <c r="B29" s="9">
        <f>IF(Sesiones!AZ28="Sí",Sesiones!AO28,"")</f>
        <v>4</v>
      </c>
      <c r="C29" s="9">
        <f>IF(Sesiones!AZ28="Sí",Sesiones!AP28,"")</f>
        <v>4</v>
      </c>
      <c r="D29" s="9">
        <f>IF(Sesiones!AZ28="Sí",Sesiones!AQ28,"")</f>
        <v>5</v>
      </c>
      <c r="E29" s="9">
        <f>IF(Sesiones!AZ28="Sí",Sesiones!AR28,"")</f>
        <v>4</v>
      </c>
      <c r="F29" s="9">
        <f>IF(Sesiones!AZ28="Sí",Sesiones!AS28,"")</f>
        <v>3</v>
      </c>
      <c r="G29" s="9">
        <f>IF(Sesiones!AZ28="Sí",Sesiones!AT28,"")</f>
        <v>4</v>
      </c>
      <c r="H29" s="9">
        <f>IF(Sesiones!AZ28="Sí",Sesiones!AU28,"")</f>
        <v>4</v>
      </c>
      <c r="I29" s="9">
        <f>IF(Sesiones!AZ28="Sí",Sesiones!AV28,"")</f>
        <v>3</v>
      </c>
      <c r="J29" s="9">
        <f>IF(Sesiones!AZ28="Sí",Sesiones!BK28,"")</f>
        <v>31</v>
      </c>
    </row>
    <row r="30" spans="1:10" x14ac:dyDescent="0.2">
      <c r="A30" s="9" t="str">
        <f>Sesiones!A29</f>
        <v>SA27</v>
      </c>
      <c r="B30" s="9">
        <f>IF(Sesiones!AZ29="Sí",Sesiones!AO29,"")</f>
        <v>4</v>
      </c>
      <c r="C30" s="9">
        <f>IF(Sesiones!AZ29="Sí",Sesiones!AP29,"")</f>
        <v>3</v>
      </c>
      <c r="D30" s="9">
        <f>IF(Sesiones!AZ29="Sí",Sesiones!AQ29,"")</f>
        <v>4</v>
      </c>
      <c r="E30" s="9">
        <f>IF(Sesiones!AZ29="Sí",Sesiones!AR29,"")</f>
        <v>3</v>
      </c>
      <c r="F30" s="9">
        <f>IF(Sesiones!AZ29="Sí",Sesiones!AS29,"")</f>
        <v>5</v>
      </c>
      <c r="G30" s="9">
        <f>IF(Sesiones!AZ29="Sí",Sesiones!AT29,"")</f>
        <v>4</v>
      </c>
      <c r="H30" s="9">
        <f>IF(Sesiones!AZ29="Sí",Sesiones!AU29,"")</f>
        <v>5</v>
      </c>
      <c r="I30" s="9">
        <f>IF(Sesiones!AZ29="Sí",Sesiones!AV29,"")</f>
        <v>3</v>
      </c>
      <c r="J30" s="9">
        <f>IF(Sesiones!AZ29="Sí",Sesiones!BK29,"")</f>
        <v>31</v>
      </c>
    </row>
    <row r="31" spans="1:10" x14ac:dyDescent="0.2">
      <c r="A31" s="9" t="str">
        <f>Sesiones!A30</f>
        <v>SA28</v>
      </c>
      <c r="B31" s="9">
        <f>IF(Sesiones!AZ30="Sí",Sesiones!AO30,"")</f>
        <v>4</v>
      </c>
      <c r="C31" s="9">
        <f>IF(Sesiones!AZ30="Sí",Sesiones!AP30,"")</f>
        <v>4</v>
      </c>
      <c r="D31" s="9">
        <f>IF(Sesiones!AZ30="Sí",Sesiones!AQ30,"")</f>
        <v>3</v>
      </c>
      <c r="E31" s="9">
        <f>IF(Sesiones!AZ30="Sí",Sesiones!AR30,"")</f>
        <v>3</v>
      </c>
      <c r="F31" s="9">
        <f>IF(Sesiones!AZ30="Sí",Sesiones!AS30,"")</f>
        <v>2</v>
      </c>
      <c r="G31" s="9">
        <f>IF(Sesiones!AZ30="Sí",Sesiones!AT30,"")</f>
        <v>2</v>
      </c>
      <c r="H31" s="9">
        <f>IF(Sesiones!AZ30="Sí",Sesiones!AU30,"")</f>
        <v>2</v>
      </c>
      <c r="I31" s="9">
        <f>IF(Sesiones!AZ30="Sí",Sesiones!AV30,"")</f>
        <v>2</v>
      </c>
      <c r="J31" s="9">
        <f>IF(Sesiones!AZ30="Sí",Sesiones!BK30,"")</f>
        <v>22</v>
      </c>
    </row>
    <row r="32" spans="1:10" x14ac:dyDescent="0.2">
      <c r="A32" s="9" t="str">
        <f>Sesiones!A31</f>
        <v>SA29</v>
      </c>
      <c r="B32" s="9">
        <f>IF(Sesiones!AZ31="Sí",Sesiones!AO31,"")</f>
        <v>2</v>
      </c>
      <c r="C32" s="9">
        <f>IF(Sesiones!AZ31="Sí",Sesiones!AP31,"")</f>
        <v>3</v>
      </c>
      <c r="D32" s="9">
        <f>IF(Sesiones!AZ31="Sí",Sesiones!AQ31,"")</f>
        <v>2</v>
      </c>
      <c r="E32" s="9">
        <f>IF(Sesiones!AZ31="Sí",Sesiones!AR31,"")</f>
        <v>3</v>
      </c>
      <c r="F32" s="9">
        <f>IF(Sesiones!AZ31="Sí",Sesiones!AS31,"")</f>
        <v>2</v>
      </c>
      <c r="G32" s="9">
        <f>IF(Sesiones!AZ31="Sí",Sesiones!AT31,"")</f>
        <v>3</v>
      </c>
      <c r="H32" s="9">
        <f>IF(Sesiones!AZ31="Sí",Sesiones!AU31,"")</f>
        <v>3</v>
      </c>
      <c r="I32" s="9">
        <f>IF(Sesiones!AZ31="Sí",Sesiones!AV31,"")</f>
        <v>2</v>
      </c>
      <c r="J32" s="9">
        <f>IF(Sesiones!AZ31="Sí",Sesiones!BK31,"")</f>
        <v>20</v>
      </c>
    </row>
    <row r="33" spans="1:10" x14ac:dyDescent="0.2">
      <c r="A33" s="9" t="str">
        <f>Sesiones!A32</f>
        <v>SA30</v>
      </c>
      <c r="B33" s="9">
        <f>IF(Sesiones!AZ32="Sí",Sesiones!AO32,"")</f>
        <v>2</v>
      </c>
      <c r="C33" s="9">
        <f>IF(Sesiones!AZ32="Sí",Sesiones!AP32,"")</f>
        <v>1</v>
      </c>
      <c r="D33" s="9">
        <f>IF(Sesiones!AZ32="Sí",Sesiones!AQ32,"")</f>
        <v>3</v>
      </c>
      <c r="E33" s="9">
        <f>IF(Sesiones!AZ32="Sí",Sesiones!AR32,"")</f>
        <v>3</v>
      </c>
      <c r="F33" s="9">
        <f>IF(Sesiones!AZ32="Sí",Sesiones!AS32,"")</f>
        <v>3</v>
      </c>
      <c r="G33" s="9">
        <f>IF(Sesiones!AZ32="Sí",Sesiones!AT32,"")</f>
        <v>4</v>
      </c>
      <c r="H33" s="9">
        <f>IF(Sesiones!AZ32="Sí",Sesiones!AU32,"")</f>
        <v>2</v>
      </c>
      <c r="I33" s="9">
        <f>IF(Sesiones!AZ32="Sí",Sesiones!AV32,"")</f>
        <v>4</v>
      </c>
      <c r="J33" s="9">
        <f>IF(Sesiones!AZ32="Sí",Sesiones!BK32,"")</f>
        <v>22</v>
      </c>
    </row>
    <row r="34" spans="1:10" x14ac:dyDescent="0.2">
      <c r="A34" s="9" t="str">
        <f>Sesiones!A33</f>
        <v>SA31</v>
      </c>
      <c r="B34" s="9">
        <f>IF(Sesiones!AZ33="Sí",Sesiones!AO33,"")</f>
        <v>3</v>
      </c>
      <c r="C34" s="9">
        <f>IF(Sesiones!AZ33="Sí",Sesiones!AP33,"")</f>
        <v>2</v>
      </c>
      <c r="D34" s="9">
        <f>IF(Sesiones!AZ33="Sí",Sesiones!AQ33,"")</f>
        <v>4</v>
      </c>
      <c r="E34" s="9">
        <f>IF(Sesiones!AZ33="Sí",Sesiones!AR33,"")</f>
        <v>2</v>
      </c>
      <c r="F34" s="9">
        <f>IF(Sesiones!AZ33="Sí",Sesiones!AS33,"")</f>
        <v>3</v>
      </c>
      <c r="G34" s="9">
        <f>IF(Sesiones!AZ33="Sí",Sesiones!AT33,"")</f>
        <v>2</v>
      </c>
      <c r="H34" s="9">
        <f>IF(Sesiones!AZ33="Sí",Sesiones!AU33,"")</f>
        <v>3</v>
      </c>
      <c r="I34" s="9">
        <f>IF(Sesiones!AZ33="Sí",Sesiones!AV33,"")</f>
        <v>2</v>
      </c>
      <c r="J34" s="9">
        <f>IF(Sesiones!AZ33="Sí",Sesiones!BK33,"")</f>
        <v>21</v>
      </c>
    </row>
    <row r="35" spans="1:10" x14ac:dyDescent="0.2">
      <c r="A35" s="9" t="str">
        <f>Sesiones!A34</f>
        <v>SA32</v>
      </c>
      <c r="B35" s="9">
        <f>IF(Sesiones!AZ34="Sí",Sesiones!AO34,"")</f>
        <v>4</v>
      </c>
      <c r="C35" s="9">
        <f>IF(Sesiones!AZ34="Sí",Sesiones!AP34,"")</f>
        <v>2</v>
      </c>
      <c r="D35" s="9">
        <f>IF(Sesiones!AZ34="Sí",Sesiones!AQ34,"")</f>
        <v>4</v>
      </c>
      <c r="E35" s="9">
        <f>IF(Sesiones!AZ34="Sí",Sesiones!AR34,"")</f>
        <v>5</v>
      </c>
      <c r="F35" s="9">
        <f>IF(Sesiones!AZ34="Sí",Sesiones!AS34,"")</f>
        <v>2</v>
      </c>
      <c r="G35" s="9">
        <f>IF(Sesiones!AZ34="Sí",Sesiones!AT34,"")</f>
        <v>4</v>
      </c>
      <c r="H35" s="9">
        <f>IF(Sesiones!AZ34="Sí",Sesiones!AU34,"")</f>
        <v>4</v>
      </c>
      <c r="I35" s="9">
        <f>IF(Sesiones!AZ34="Sí",Sesiones!AV34,"")</f>
        <v>2</v>
      </c>
      <c r="J35" s="9">
        <f>IF(Sesiones!AZ34="Sí",Sesiones!BK34,"")</f>
        <v>27</v>
      </c>
    </row>
    <row r="36" spans="1:10" x14ac:dyDescent="0.2">
      <c r="A36" s="9" t="str">
        <f>Sesiones!A35</f>
        <v>SA33</v>
      </c>
      <c r="B36" s="9">
        <f>IF(Sesiones!AZ35="Sí",Sesiones!AO35,"")</f>
        <v>4</v>
      </c>
      <c r="C36" s="9">
        <f>IF(Sesiones!AZ35="Sí",Sesiones!AP35,"")</f>
        <v>2</v>
      </c>
      <c r="D36" s="9">
        <f>IF(Sesiones!AZ35="Sí",Sesiones!AQ35,"")</f>
        <v>5</v>
      </c>
      <c r="E36" s="9">
        <f>IF(Sesiones!AZ35="Sí",Sesiones!AR35,"")</f>
        <v>5</v>
      </c>
      <c r="F36" s="9">
        <f>IF(Sesiones!AZ35="Sí",Sesiones!AS35,"")</f>
        <v>3</v>
      </c>
      <c r="G36" s="9">
        <f>IF(Sesiones!AZ35="Sí",Sesiones!AT35,"")</f>
        <v>4</v>
      </c>
      <c r="H36" s="9">
        <f>IF(Sesiones!AZ35="Sí",Sesiones!AU35,"")</f>
        <v>2</v>
      </c>
      <c r="I36" s="9">
        <f>IF(Sesiones!AZ35="Sí",Sesiones!AV35,"")</f>
        <v>4</v>
      </c>
      <c r="J36" s="9">
        <f>IF(Sesiones!AZ35="Sí",Sesiones!BK35,"")</f>
        <v>29</v>
      </c>
    </row>
    <row r="37" spans="1:10" x14ac:dyDescent="0.2">
      <c r="A37" s="9" t="str">
        <f>Sesiones!A36</f>
        <v>SA34</v>
      </c>
      <c r="B37" s="9">
        <f>IF(Sesiones!AZ36="Sí",Sesiones!AO36,"")</f>
        <v>4</v>
      </c>
      <c r="C37" s="9">
        <f>IF(Sesiones!AZ36="Sí",Sesiones!AP36,"")</f>
        <v>5</v>
      </c>
      <c r="D37" s="9">
        <f>IF(Sesiones!AZ36="Sí",Sesiones!AQ36,"")</f>
        <v>2</v>
      </c>
      <c r="E37" s="9">
        <f>IF(Sesiones!AZ36="Sí",Sesiones!AR36,"")</f>
        <v>3</v>
      </c>
      <c r="F37" s="9">
        <f>IF(Sesiones!AZ36="Sí",Sesiones!AS36,"")</f>
        <v>4</v>
      </c>
      <c r="G37" s="9">
        <f>IF(Sesiones!AZ36="Sí",Sesiones!AT36,"")</f>
        <v>3</v>
      </c>
      <c r="H37" s="9">
        <f>IF(Sesiones!AZ36="Sí",Sesiones!AU36,"")</f>
        <v>5</v>
      </c>
      <c r="I37" s="9">
        <f>IF(Sesiones!AZ36="Sí",Sesiones!AV36,"")</f>
        <v>4</v>
      </c>
      <c r="J37" s="9">
        <f>IF(Sesiones!AZ36="Sí",Sesiones!BK36,"")</f>
        <v>30</v>
      </c>
    </row>
    <row r="38" spans="1:10" x14ac:dyDescent="0.2">
      <c r="A38" s="9" t="str">
        <f>Sesiones!A37</f>
        <v>SA35</v>
      </c>
      <c r="B38" s="9">
        <f>IF(Sesiones!AZ37="Sí",Sesiones!AO37,"")</f>
        <v>4</v>
      </c>
      <c r="C38" s="9">
        <f>IF(Sesiones!AZ37="Sí",Sesiones!AP37,"")</f>
        <v>4</v>
      </c>
      <c r="D38" s="9">
        <f>IF(Sesiones!AZ37="Sí",Sesiones!AQ37,"")</f>
        <v>2</v>
      </c>
      <c r="E38" s="9">
        <f>IF(Sesiones!AZ37="Sí",Sesiones!AR37,"")</f>
        <v>4</v>
      </c>
      <c r="F38" s="9">
        <f>IF(Sesiones!AZ37="Sí",Sesiones!AS37,"")</f>
        <v>2</v>
      </c>
      <c r="G38" s="9">
        <f>IF(Sesiones!AZ37="Sí",Sesiones!AT37,"")</f>
        <v>3</v>
      </c>
      <c r="H38" s="9">
        <f>IF(Sesiones!AZ37="Sí",Sesiones!AU37,"")</f>
        <v>2</v>
      </c>
      <c r="I38" s="9">
        <f>IF(Sesiones!AZ37="Sí",Sesiones!AV37,"")</f>
        <v>3</v>
      </c>
      <c r="J38" s="9">
        <f>IF(Sesiones!AZ37="Sí",Sesiones!BK37,"")</f>
        <v>24</v>
      </c>
    </row>
    <row r="39" spans="1:10" x14ac:dyDescent="0.2">
      <c r="A39" s="9" t="str">
        <f>Sesiones!A38</f>
        <v>SA36</v>
      </c>
      <c r="B39" s="9">
        <f>IF(Sesiones!AZ38="Sí",Sesiones!AO38,"")</f>
        <v>3</v>
      </c>
      <c r="C39" s="9">
        <f>IF(Sesiones!AZ38="Sí",Sesiones!AP38,"")</f>
        <v>3</v>
      </c>
      <c r="D39" s="9">
        <f>IF(Sesiones!AZ38="Sí",Sesiones!AQ38,"")</f>
        <v>2</v>
      </c>
      <c r="E39" s="9">
        <f>IF(Sesiones!AZ38="Sí",Sesiones!AR38,"")</f>
        <v>2</v>
      </c>
      <c r="F39" s="9">
        <f>IF(Sesiones!AZ38="Sí",Sesiones!AS38,"")</f>
        <v>2</v>
      </c>
      <c r="G39" s="9">
        <f>IF(Sesiones!AZ38="Sí",Sesiones!AT38,"")</f>
        <v>2</v>
      </c>
      <c r="H39" s="9">
        <f>IF(Sesiones!AZ38="Sí",Sesiones!AU38,"")</f>
        <v>3</v>
      </c>
      <c r="I39" s="9">
        <f>IF(Sesiones!AZ38="Sí",Sesiones!AV38,"")</f>
        <v>3</v>
      </c>
      <c r="J39" s="9">
        <f>IF(Sesiones!AZ38="Sí",Sesiones!BK38,"")</f>
        <v>20</v>
      </c>
    </row>
    <row r="40" spans="1:10" x14ac:dyDescent="0.2">
      <c r="A40" s="9" t="str">
        <f>Sesiones!A39</f>
        <v>SA37</v>
      </c>
      <c r="B40" s="9">
        <f>IF(Sesiones!AZ39="Sí",Sesiones!AO39,"")</f>
        <v>3</v>
      </c>
      <c r="C40" s="9">
        <f>IF(Sesiones!AZ39="Sí",Sesiones!AP39,"")</f>
        <v>3</v>
      </c>
      <c r="D40" s="9">
        <f>IF(Sesiones!AZ39="Sí",Sesiones!AQ39,"")</f>
        <v>2</v>
      </c>
      <c r="E40" s="9">
        <f>IF(Sesiones!AZ39="Sí",Sesiones!AR39,"")</f>
        <v>2</v>
      </c>
      <c r="F40" s="9">
        <f>IF(Sesiones!AZ39="Sí",Sesiones!AS39,"")</f>
        <v>2</v>
      </c>
      <c r="G40" s="9">
        <f>IF(Sesiones!AZ39="Sí",Sesiones!AT39,"")</f>
        <v>5</v>
      </c>
      <c r="H40" s="9">
        <f>IF(Sesiones!AZ39="Sí",Sesiones!AU39,"")</f>
        <v>3</v>
      </c>
      <c r="I40" s="9">
        <f>IF(Sesiones!AZ39="Sí",Sesiones!AV39,"")</f>
        <v>3</v>
      </c>
      <c r="J40" s="9">
        <f>IF(Sesiones!AZ39="Sí",Sesiones!BK39,"")</f>
        <v>23</v>
      </c>
    </row>
    <row r="41" spans="1:10" x14ac:dyDescent="0.2">
      <c r="A41" s="9" t="str">
        <f>Sesiones!A40</f>
        <v>SA38</v>
      </c>
      <c r="B41" s="9">
        <f>IF(Sesiones!AZ40="Sí",Sesiones!AO40,"")</f>
        <v>2</v>
      </c>
      <c r="C41" s="9">
        <f>IF(Sesiones!AZ40="Sí",Sesiones!AP40,"")</f>
        <v>3</v>
      </c>
      <c r="D41" s="9">
        <f>IF(Sesiones!AZ40="Sí",Sesiones!AQ40,"")</f>
        <v>2</v>
      </c>
      <c r="E41" s="9">
        <f>IF(Sesiones!AZ40="Sí",Sesiones!AR40,"")</f>
        <v>4</v>
      </c>
      <c r="F41" s="9">
        <f>IF(Sesiones!AZ40="Sí",Sesiones!AS40,"")</f>
        <v>2</v>
      </c>
      <c r="G41" s="9">
        <f>IF(Sesiones!AZ40="Sí",Sesiones!AT40,"")</f>
        <v>4</v>
      </c>
      <c r="H41" s="9">
        <f>IF(Sesiones!AZ40="Sí",Sesiones!AU40,"")</f>
        <v>3</v>
      </c>
      <c r="I41" s="9">
        <f>IF(Sesiones!AZ40="Sí",Sesiones!AV40,"")</f>
        <v>3</v>
      </c>
      <c r="J41" s="9">
        <f>IF(Sesiones!AZ40="Sí",Sesiones!BK40,"")</f>
        <v>23</v>
      </c>
    </row>
    <row r="42" spans="1:10" x14ac:dyDescent="0.2">
      <c r="A42" s="9" t="str">
        <f>Sesiones!A41</f>
        <v>SA39</v>
      </c>
      <c r="B42" s="9">
        <f>IF(Sesiones!AZ41="Sí",Sesiones!AO41,"")</f>
        <v>3</v>
      </c>
      <c r="C42" s="9">
        <f>IF(Sesiones!AZ41="Sí",Sesiones!AP41,"")</f>
        <v>3</v>
      </c>
      <c r="D42" s="9">
        <f>IF(Sesiones!AZ41="Sí",Sesiones!AQ41,"")</f>
        <v>4</v>
      </c>
      <c r="E42" s="9">
        <f>IF(Sesiones!AZ41="Sí",Sesiones!AR41,"")</f>
        <v>5</v>
      </c>
      <c r="F42" s="9">
        <f>IF(Sesiones!AZ41="Sí",Sesiones!AS41,"")</f>
        <v>4</v>
      </c>
      <c r="G42" s="9">
        <f>IF(Sesiones!AZ41="Sí",Sesiones!AT41,"")</f>
        <v>5</v>
      </c>
      <c r="H42" s="9">
        <f>IF(Sesiones!AZ41="Sí",Sesiones!AU41,"")</f>
        <v>3</v>
      </c>
      <c r="I42" s="9">
        <f>IF(Sesiones!AZ41="Sí",Sesiones!AV41,"")</f>
        <v>5</v>
      </c>
      <c r="J42" s="9">
        <f>IF(Sesiones!AZ41="Sí",Sesiones!BK41,"")</f>
        <v>32</v>
      </c>
    </row>
    <row r="43" spans="1:10" x14ac:dyDescent="0.2">
      <c r="A43" s="9" t="str">
        <f>Sesiones!A42</f>
        <v>SA40</v>
      </c>
      <c r="B43" s="9">
        <f>IF(Sesiones!AZ42="Sí",Sesiones!AO42,"")</f>
        <v>4</v>
      </c>
      <c r="C43" s="9">
        <f>IF(Sesiones!AZ42="Sí",Sesiones!AP42,"")</f>
        <v>3</v>
      </c>
      <c r="D43" s="9">
        <f>IF(Sesiones!AZ42="Sí",Sesiones!AQ42,"")</f>
        <v>4</v>
      </c>
      <c r="E43" s="9">
        <f>IF(Sesiones!AZ42="Sí",Sesiones!AR42,"")</f>
        <v>3</v>
      </c>
      <c r="F43" s="9">
        <f>IF(Sesiones!AZ42="Sí",Sesiones!AS42,"")</f>
        <v>2</v>
      </c>
      <c r="G43" s="9">
        <f>IF(Sesiones!AZ42="Sí",Sesiones!AT42,"")</f>
        <v>2</v>
      </c>
      <c r="H43" s="9">
        <f>IF(Sesiones!AZ42="Sí",Sesiones!AU42,"")</f>
        <v>3</v>
      </c>
      <c r="I43" s="9">
        <f>IF(Sesiones!AZ42="Sí",Sesiones!AV42,"")</f>
        <v>4</v>
      </c>
      <c r="J43" s="9">
        <f>IF(Sesiones!AZ42="Sí",Sesiones!BK42,"")</f>
        <v>25</v>
      </c>
    </row>
    <row r="44" spans="1:10" x14ac:dyDescent="0.2">
      <c r="A44" s="9" t="str">
        <f>Sesiones!A43</f>
        <v>SA41</v>
      </c>
      <c r="B44" s="9">
        <f>IF(Sesiones!AZ43="Sí",Sesiones!AO43,"")</f>
        <v>3</v>
      </c>
      <c r="C44" s="9">
        <f>IF(Sesiones!AZ43="Sí",Sesiones!AP43,"")</f>
        <v>4</v>
      </c>
      <c r="D44" s="9">
        <f>IF(Sesiones!AZ43="Sí",Sesiones!AQ43,"")</f>
        <v>2</v>
      </c>
      <c r="E44" s="9">
        <f>IF(Sesiones!AZ43="Sí",Sesiones!AR43,"")</f>
        <v>3</v>
      </c>
      <c r="F44" s="9">
        <f>IF(Sesiones!AZ43="Sí",Sesiones!AS43,"")</f>
        <v>2</v>
      </c>
      <c r="G44" s="9">
        <f>IF(Sesiones!AZ43="Sí",Sesiones!AT43,"")</f>
        <v>2</v>
      </c>
      <c r="H44" s="9">
        <f>IF(Sesiones!AZ43="Sí",Sesiones!AU43,"")</f>
        <v>2</v>
      </c>
      <c r="I44" s="9">
        <f>IF(Sesiones!AZ43="Sí",Sesiones!AV43,"")</f>
        <v>4</v>
      </c>
      <c r="J44" s="9">
        <f>IF(Sesiones!AZ43="Sí",Sesiones!BK43,"")</f>
        <v>22</v>
      </c>
    </row>
    <row r="45" spans="1:10" x14ac:dyDescent="0.2">
      <c r="A45" s="9" t="str">
        <f>Sesiones!A44</f>
        <v>SA42</v>
      </c>
      <c r="B45" s="9">
        <f>IF(Sesiones!AZ44="Sí",Sesiones!AO44,"")</f>
        <v>2</v>
      </c>
      <c r="C45" s="9">
        <f>IF(Sesiones!AZ44="Sí",Sesiones!AP44,"")</f>
        <v>2</v>
      </c>
      <c r="D45" s="9">
        <f>IF(Sesiones!AZ44="Sí",Sesiones!AQ44,"")</f>
        <v>5</v>
      </c>
      <c r="E45" s="9">
        <f>IF(Sesiones!AZ44="Sí",Sesiones!AR44,"")</f>
        <v>3</v>
      </c>
      <c r="F45" s="9">
        <f>IF(Sesiones!AZ44="Sí",Sesiones!AS44,"")</f>
        <v>4</v>
      </c>
      <c r="G45" s="9">
        <f>IF(Sesiones!AZ44="Sí",Sesiones!AT44,"")</f>
        <v>2</v>
      </c>
      <c r="H45" s="9">
        <f>IF(Sesiones!AZ44="Sí",Sesiones!AU44,"")</f>
        <v>4</v>
      </c>
      <c r="I45" s="9">
        <f>IF(Sesiones!AZ44="Sí",Sesiones!AV44,"")</f>
        <v>3</v>
      </c>
      <c r="J45" s="9">
        <f>IF(Sesiones!AZ44="Sí",Sesiones!BK44,"")</f>
        <v>25</v>
      </c>
    </row>
    <row r="46" spans="1:10" x14ac:dyDescent="0.2">
      <c r="A46" s="9" t="str">
        <f>Sesiones!A45</f>
        <v>SA43</v>
      </c>
      <c r="B46" s="9">
        <f>IF(Sesiones!AZ45="Sí",Sesiones!AO45,"")</f>
        <v>3</v>
      </c>
      <c r="C46" s="9">
        <f>IF(Sesiones!AZ45="Sí",Sesiones!AP45,"")</f>
        <v>5</v>
      </c>
      <c r="D46" s="9">
        <f>IF(Sesiones!AZ45="Sí",Sesiones!AQ45,"")</f>
        <v>4</v>
      </c>
      <c r="E46" s="9">
        <f>IF(Sesiones!AZ45="Sí",Sesiones!AR45,"")</f>
        <v>4</v>
      </c>
      <c r="F46" s="9">
        <f>IF(Sesiones!AZ45="Sí",Sesiones!AS45,"")</f>
        <v>4</v>
      </c>
      <c r="G46" s="9">
        <f>IF(Sesiones!AZ45="Sí",Sesiones!AT45,"")</f>
        <v>3</v>
      </c>
      <c r="H46" s="9">
        <f>IF(Sesiones!AZ45="Sí",Sesiones!AU45,"")</f>
        <v>5</v>
      </c>
      <c r="I46" s="9">
        <f>IF(Sesiones!AZ45="Sí",Sesiones!AV45,"")</f>
        <v>3</v>
      </c>
      <c r="J46" s="9">
        <f>IF(Sesiones!AZ45="Sí",Sesiones!BK45,"")</f>
        <v>31</v>
      </c>
    </row>
    <row r="47" spans="1:10" x14ac:dyDescent="0.2">
      <c r="A47" s="9" t="str">
        <f>Sesiones!A46</f>
        <v>SA44</v>
      </c>
      <c r="B47" s="9">
        <f>IF(Sesiones!AZ46="Sí",Sesiones!AO46,"")</f>
        <v>2</v>
      </c>
      <c r="C47" s="9">
        <f>IF(Sesiones!AZ46="Sí",Sesiones!AP46,"")</f>
        <v>4</v>
      </c>
      <c r="D47" s="9">
        <f>IF(Sesiones!AZ46="Sí",Sesiones!AQ46,"")</f>
        <v>4</v>
      </c>
      <c r="E47" s="9">
        <f>IF(Sesiones!AZ46="Sí",Sesiones!AR46,"")</f>
        <v>4</v>
      </c>
      <c r="F47" s="9">
        <f>IF(Sesiones!AZ46="Sí",Sesiones!AS46,"")</f>
        <v>4</v>
      </c>
      <c r="G47" s="9">
        <f>IF(Sesiones!AZ46="Sí",Sesiones!AT46,"")</f>
        <v>3</v>
      </c>
      <c r="H47" s="9">
        <f>IF(Sesiones!AZ46="Sí",Sesiones!AU46,"")</f>
        <v>3</v>
      </c>
      <c r="I47" s="9">
        <f>IF(Sesiones!AZ46="Sí",Sesiones!AV46,"")</f>
        <v>2</v>
      </c>
      <c r="J47" s="9">
        <f>IF(Sesiones!AZ46="Sí",Sesiones!BK46,"")</f>
        <v>26</v>
      </c>
    </row>
    <row r="48" spans="1:10" x14ac:dyDescent="0.2">
      <c r="A48" s="9" t="str">
        <f>Sesiones!A47</f>
        <v>SA45</v>
      </c>
      <c r="B48" s="9">
        <f>IF(Sesiones!AZ47="Sí",Sesiones!AO47,"")</f>
        <v>2</v>
      </c>
      <c r="C48" s="9">
        <f>IF(Sesiones!AZ47="Sí",Sesiones!AP47,"")</f>
        <v>2</v>
      </c>
      <c r="D48" s="9">
        <f>IF(Sesiones!AZ47="Sí",Sesiones!AQ47,"")</f>
        <v>4</v>
      </c>
      <c r="E48" s="9">
        <f>IF(Sesiones!AZ47="Sí",Sesiones!AR47,"")</f>
        <v>2</v>
      </c>
      <c r="F48" s="9">
        <f>IF(Sesiones!AZ47="Sí",Sesiones!AS47,"")</f>
        <v>3</v>
      </c>
      <c r="G48" s="9">
        <f>IF(Sesiones!AZ47="Sí",Sesiones!AT47,"")</f>
        <v>3</v>
      </c>
      <c r="H48" s="9">
        <f>IF(Sesiones!AZ47="Sí",Sesiones!AU47,"")</f>
        <v>3</v>
      </c>
      <c r="I48" s="9">
        <f>IF(Sesiones!AZ47="Sí",Sesiones!AV47,"")</f>
        <v>4</v>
      </c>
      <c r="J48" s="9">
        <f>IF(Sesiones!AZ47="Sí",Sesiones!BK47,"")</f>
        <v>23</v>
      </c>
    </row>
    <row r="49" spans="1:10" x14ac:dyDescent="0.2">
      <c r="A49" s="9" t="str">
        <f>Sesiones!A48</f>
        <v>SA46</v>
      </c>
      <c r="B49" s="9">
        <f>IF(Sesiones!AZ48="Sí",Sesiones!AO48,"")</f>
        <v>4</v>
      </c>
      <c r="C49" s="9">
        <f>IF(Sesiones!AZ48="Sí",Sesiones!AP48,"")</f>
        <v>3</v>
      </c>
      <c r="D49" s="9">
        <f>IF(Sesiones!AZ48="Sí",Sesiones!AQ48,"")</f>
        <v>3</v>
      </c>
      <c r="E49" s="9">
        <f>IF(Sesiones!AZ48="Sí",Sesiones!AR48,"")</f>
        <v>3</v>
      </c>
      <c r="F49" s="9">
        <f>IF(Sesiones!AZ48="Sí",Sesiones!AS48,"")</f>
        <v>3</v>
      </c>
      <c r="G49" s="9">
        <f>IF(Sesiones!AZ48="Sí",Sesiones!AT48,"")</f>
        <v>4</v>
      </c>
      <c r="H49" s="9">
        <f>IF(Sesiones!AZ48="Sí",Sesiones!AU48,"")</f>
        <v>3</v>
      </c>
      <c r="I49" s="9">
        <f>IF(Sesiones!AZ48="Sí",Sesiones!AV48,"")</f>
        <v>4</v>
      </c>
      <c r="J49" s="9">
        <f>IF(Sesiones!AZ48="Sí",Sesiones!BK48,"")</f>
        <v>27</v>
      </c>
    </row>
    <row r="50" spans="1:10" x14ac:dyDescent="0.2">
      <c r="A50" s="9" t="str">
        <f>Sesiones!A49</f>
        <v>SA47</v>
      </c>
      <c r="B50" s="9">
        <f>IF(Sesiones!AZ49="Sí",Sesiones!AO49,"")</f>
        <v>3</v>
      </c>
      <c r="C50" s="9">
        <f>IF(Sesiones!AZ49="Sí",Sesiones!AP49,"")</f>
        <v>2</v>
      </c>
      <c r="D50" s="9">
        <f>IF(Sesiones!AZ49="Sí",Sesiones!AQ49,"")</f>
        <v>2</v>
      </c>
      <c r="E50" s="9">
        <f>IF(Sesiones!AZ49="Sí",Sesiones!AR49,"")</f>
        <v>4</v>
      </c>
      <c r="F50" s="9">
        <f>IF(Sesiones!AZ49="Sí",Sesiones!AS49,"")</f>
        <v>3</v>
      </c>
      <c r="G50" s="9">
        <f>IF(Sesiones!AZ49="Sí",Sesiones!AT49,"")</f>
        <v>2</v>
      </c>
      <c r="H50" s="9">
        <f>IF(Sesiones!AZ49="Sí",Sesiones!AU49,"")</f>
        <v>2</v>
      </c>
      <c r="I50" s="9">
        <f>IF(Sesiones!AZ49="Sí",Sesiones!AV49,"")</f>
        <v>4</v>
      </c>
      <c r="J50" s="9">
        <f>IF(Sesiones!AZ49="Sí",Sesiones!BK49,"")</f>
        <v>22</v>
      </c>
    </row>
    <row r="51" spans="1:10" x14ac:dyDescent="0.2">
      <c r="A51" s="9" t="str">
        <f>Sesiones!A50</f>
        <v>SA48</v>
      </c>
      <c r="B51" s="9">
        <f>IF(Sesiones!AZ50="Sí",Sesiones!AO50,"")</f>
        <v>3</v>
      </c>
      <c r="C51" s="9">
        <f>IF(Sesiones!AZ50="Sí",Sesiones!AP50,"")</f>
        <v>4</v>
      </c>
      <c r="D51" s="9">
        <f>IF(Sesiones!AZ50="Sí",Sesiones!AQ50,"")</f>
        <v>3</v>
      </c>
      <c r="E51" s="9">
        <f>IF(Sesiones!AZ50="Sí",Sesiones!AR50,"")</f>
        <v>4</v>
      </c>
      <c r="F51" s="9">
        <f>IF(Sesiones!AZ50="Sí",Sesiones!AS50,"")</f>
        <v>2</v>
      </c>
      <c r="G51" s="9">
        <f>IF(Sesiones!AZ50="Sí",Sesiones!AT50,"")</f>
        <v>5</v>
      </c>
      <c r="H51" s="9">
        <f>IF(Sesiones!AZ50="Sí",Sesiones!AU50,"")</f>
        <v>5</v>
      </c>
      <c r="I51" s="9">
        <f>IF(Sesiones!AZ50="Sí",Sesiones!AV50,"")</f>
        <v>5</v>
      </c>
      <c r="J51" s="9">
        <f>IF(Sesiones!AZ50="Sí",Sesiones!BK50,"")</f>
        <v>31</v>
      </c>
    </row>
    <row r="52" spans="1:10" x14ac:dyDescent="0.2">
      <c r="A52" s="9" t="str">
        <f>Sesiones!A51</f>
        <v>SA49</v>
      </c>
      <c r="B52" s="9">
        <f>IF(Sesiones!AZ51="Sí",Sesiones!AO51,"")</f>
        <v>4</v>
      </c>
      <c r="C52" s="9">
        <f>IF(Sesiones!AZ51="Sí",Sesiones!AP51,"")</f>
        <v>4</v>
      </c>
      <c r="D52" s="9">
        <f>IF(Sesiones!AZ51="Sí",Sesiones!AQ51,"")</f>
        <v>4</v>
      </c>
      <c r="E52" s="9">
        <f>IF(Sesiones!AZ51="Sí",Sesiones!AR51,"")</f>
        <v>4</v>
      </c>
      <c r="F52" s="9">
        <f>IF(Sesiones!AZ51="Sí",Sesiones!AS51,"")</f>
        <v>4</v>
      </c>
      <c r="G52" s="9">
        <f>IF(Sesiones!AZ51="Sí",Sesiones!AT51,"")</f>
        <v>2</v>
      </c>
      <c r="H52" s="9">
        <f>IF(Sesiones!AZ51="Sí",Sesiones!AU51,"")</f>
        <v>2</v>
      </c>
      <c r="I52" s="9">
        <f>IF(Sesiones!AZ51="Sí",Sesiones!AV51,"")</f>
        <v>4</v>
      </c>
      <c r="J52" s="9">
        <f>IF(Sesiones!AZ51="Sí",Sesiones!BK51,"")</f>
        <v>28</v>
      </c>
    </row>
    <row r="53" spans="1:10" x14ac:dyDescent="0.2">
      <c r="A53" s="9" t="str">
        <f>Sesiones!A52</f>
        <v>SA50</v>
      </c>
      <c r="B53" s="9">
        <f>IF(Sesiones!AZ52="Sí",Sesiones!AO52,"")</f>
        <v>3</v>
      </c>
      <c r="C53" s="9">
        <f>IF(Sesiones!AZ52="Sí",Sesiones!AP52,"")</f>
        <v>4</v>
      </c>
      <c r="D53" s="9">
        <f>IF(Sesiones!AZ52="Sí",Sesiones!AQ52,"")</f>
        <v>4</v>
      </c>
      <c r="E53" s="9">
        <f>IF(Sesiones!AZ52="Sí",Sesiones!AR52,"")</f>
        <v>3</v>
      </c>
      <c r="F53" s="9">
        <f>IF(Sesiones!AZ52="Sí",Sesiones!AS52,"")</f>
        <v>2</v>
      </c>
      <c r="G53" s="9">
        <f>IF(Sesiones!AZ52="Sí",Sesiones!AT52,"")</f>
        <v>4</v>
      </c>
      <c r="H53" s="9">
        <f>IF(Sesiones!AZ52="Sí",Sesiones!AU52,"")</f>
        <v>3</v>
      </c>
      <c r="I53" s="9">
        <f>IF(Sesiones!AZ52="Sí",Sesiones!AV52,"")</f>
        <v>4</v>
      </c>
      <c r="J53" s="9">
        <f>IF(Sesiones!AZ52="Sí",Sesiones!BK52,"")</f>
        <v>27</v>
      </c>
    </row>
    <row r="54" spans="1:10" x14ac:dyDescent="0.2">
      <c r="A54" s="9" t="str">
        <f>Sesiones!A53</f>
        <v>SA51</v>
      </c>
      <c r="B54" s="9">
        <f>IF(Sesiones!AZ53="Sí",Sesiones!AO53,"")</f>
        <v>2</v>
      </c>
      <c r="C54" s="9">
        <f>IF(Sesiones!AZ53="Sí",Sesiones!AP53,"")</f>
        <v>3</v>
      </c>
      <c r="D54" s="9">
        <f>IF(Sesiones!AZ53="Sí",Sesiones!AQ53,"")</f>
        <v>4</v>
      </c>
      <c r="E54" s="9">
        <f>IF(Sesiones!AZ53="Sí",Sesiones!AR53,"")</f>
        <v>4</v>
      </c>
      <c r="F54" s="9">
        <f>IF(Sesiones!AZ53="Sí",Sesiones!AS53,"")</f>
        <v>3</v>
      </c>
      <c r="G54" s="9">
        <f>IF(Sesiones!AZ53="Sí",Sesiones!AT53,"")</f>
        <v>3</v>
      </c>
      <c r="H54" s="9">
        <f>IF(Sesiones!AZ53="Sí",Sesiones!AU53,"")</f>
        <v>3</v>
      </c>
      <c r="I54" s="9">
        <f>IF(Sesiones!AZ53="Sí",Sesiones!AV53,"")</f>
        <v>4</v>
      </c>
      <c r="J54" s="9">
        <f>IF(Sesiones!AZ53="Sí",Sesiones!BK53,"")</f>
        <v>26</v>
      </c>
    </row>
    <row r="55" spans="1:10" x14ac:dyDescent="0.2">
      <c r="A55" s="9" t="str">
        <f>Sesiones!A54</f>
        <v>SA52</v>
      </c>
      <c r="B55" s="9">
        <f>IF(Sesiones!AZ54="Sí",Sesiones!AO54,"")</f>
        <v>2</v>
      </c>
      <c r="C55" s="9">
        <f>IF(Sesiones!AZ54="Sí",Sesiones!AP54,"")</f>
        <v>4</v>
      </c>
      <c r="D55" s="9">
        <f>IF(Sesiones!AZ54="Sí",Sesiones!AQ54,"")</f>
        <v>4</v>
      </c>
      <c r="E55" s="9">
        <f>IF(Sesiones!AZ54="Sí",Sesiones!AR54,"")</f>
        <v>3</v>
      </c>
      <c r="F55" s="9">
        <f>IF(Sesiones!AZ54="Sí",Sesiones!AS54,"")</f>
        <v>4</v>
      </c>
      <c r="G55" s="9">
        <f>IF(Sesiones!AZ54="Sí",Sesiones!AT54,"")</f>
        <v>3</v>
      </c>
      <c r="H55" s="9">
        <f>IF(Sesiones!AZ54="Sí",Sesiones!AU54,"")</f>
        <v>3</v>
      </c>
      <c r="I55" s="9">
        <f>IF(Sesiones!AZ54="Sí",Sesiones!AV54,"")</f>
        <v>4</v>
      </c>
      <c r="J55" s="9">
        <f>IF(Sesiones!AZ54="Sí",Sesiones!BK54,"")</f>
        <v>27</v>
      </c>
    </row>
    <row r="56" spans="1:10" x14ac:dyDescent="0.2">
      <c r="A56" s="9" t="str">
        <f>Sesiones!A55</f>
        <v>SA53</v>
      </c>
      <c r="B56" s="9">
        <f>IF(Sesiones!AZ55="Sí",Sesiones!AO55,"")</f>
        <v>3</v>
      </c>
      <c r="C56" s="9">
        <f>IF(Sesiones!AZ55="Sí",Sesiones!AP55,"")</f>
        <v>4</v>
      </c>
      <c r="D56" s="9">
        <f>IF(Sesiones!AZ55="Sí",Sesiones!AQ55,"")</f>
        <v>4</v>
      </c>
      <c r="E56" s="9">
        <f>IF(Sesiones!AZ55="Sí",Sesiones!AR55,"")</f>
        <v>5</v>
      </c>
      <c r="F56" s="9">
        <f>IF(Sesiones!AZ55="Sí",Sesiones!AS55,"")</f>
        <v>2</v>
      </c>
      <c r="G56" s="9">
        <f>IF(Sesiones!AZ55="Sí",Sesiones!AT55,"")</f>
        <v>5</v>
      </c>
      <c r="H56" s="9">
        <f>IF(Sesiones!AZ55="Sí",Sesiones!AU55,"")</f>
        <v>3</v>
      </c>
      <c r="I56" s="9">
        <f>IF(Sesiones!AZ55="Sí",Sesiones!AV55,"")</f>
        <v>3</v>
      </c>
      <c r="J56" s="9">
        <f>IF(Sesiones!AZ55="Sí",Sesiones!BK55,"")</f>
        <v>29</v>
      </c>
    </row>
    <row r="57" spans="1:10" x14ac:dyDescent="0.2">
      <c r="A57" s="9" t="str">
        <f>Sesiones!A56</f>
        <v>SA54</v>
      </c>
      <c r="B57" s="9">
        <f>IF(Sesiones!AZ56="Sí",Sesiones!AO56,"")</f>
        <v>4</v>
      </c>
      <c r="C57" s="9">
        <f>IF(Sesiones!AZ56="Sí",Sesiones!AP56,"")</f>
        <v>4</v>
      </c>
      <c r="D57" s="9">
        <f>IF(Sesiones!AZ56="Sí",Sesiones!AQ56,"")</f>
        <v>4</v>
      </c>
      <c r="E57" s="9">
        <f>IF(Sesiones!AZ56="Sí",Sesiones!AR56,"")</f>
        <v>2</v>
      </c>
      <c r="F57" s="9">
        <f>IF(Sesiones!AZ56="Sí",Sesiones!AS56,"")</f>
        <v>3</v>
      </c>
      <c r="G57" s="9">
        <f>IF(Sesiones!AZ56="Sí",Sesiones!AT56,"")</f>
        <v>4</v>
      </c>
      <c r="H57" s="9">
        <f>IF(Sesiones!AZ56="Sí",Sesiones!AU56,"")</f>
        <v>4</v>
      </c>
      <c r="I57" s="9">
        <f>IF(Sesiones!AZ56="Sí",Sesiones!AV56,"")</f>
        <v>3</v>
      </c>
      <c r="J57" s="9">
        <f>IF(Sesiones!AZ56="Sí",Sesiones!BK56,"")</f>
        <v>28</v>
      </c>
    </row>
    <row r="58" spans="1:10" x14ac:dyDescent="0.2">
      <c r="A58" s="9" t="str">
        <f>Sesiones!A57</f>
        <v>SA55</v>
      </c>
      <c r="B58" s="9">
        <f>IF(Sesiones!AZ57="Sí",Sesiones!AO57,"")</f>
        <v>4</v>
      </c>
      <c r="C58" s="9">
        <f>IF(Sesiones!AZ57="Sí",Sesiones!AP57,"")</f>
        <v>5</v>
      </c>
      <c r="D58" s="9">
        <f>IF(Sesiones!AZ57="Sí",Sesiones!AQ57,"")</f>
        <v>3</v>
      </c>
      <c r="E58" s="9">
        <f>IF(Sesiones!AZ57="Sí",Sesiones!AR57,"")</f>
        <v>4</v>
      </c>
      <c r="F58" s="9">
        <f>IF(Sesiones!AZ57="Sí",Sesiones!AS57,"")</f>
        <v>4</v>
      </c>
      <c r="G58" s="9">
        <f>IF(Sesiones!AZ57="Sí",Sesiones!AT57,"")</f>
        <v>3</v>
      </c>
      <c r="H58" s="9">
        <f>IF(Sesiones!AZ57="Sí",Sesiones!AU57,"")</f>
        <v>4</v>
      </c>
      <c r="I58" s="9">
        <f>IF(Sesiones!AZ57="Sí",Sesiones!AV57,"")</f>
        <v>2</v>
      </c>
      <c r="J58" s="9">
        <f>IF(Sesiones!AZ57="Sí",Sesiones!BK57,"")</f>
        <v>29</v>
      </c>
    </row>
    <row r="59" spans="1:10" x14ac:dyDescent="0.2">
      <c r="A59" s="9" t="str">
        <f>Sesiones!A58</f>
        <v>SA56</v>
      </c>
      <c r="B59" s="9">
        <f>IF(Sesiones!AZ58="Sí",Sesiones!AO58,"")</f>
        <v>3</v>
      </c>
      <c r="C59" s="9">
        <f>IF(Sesiones!AZ58="Sí",Sesiones!AP58,"")</f>
        <v>5</v>
      </c>
      <c r="D59" s="9">
        <f>IF(Sesiones!AZ58="Sí",Sesiones!AQ58,"")</f>
        <v>4</v>
      </c>
      <c r="E59" s="9">
        <f>IF(Sesiones!AZ58="Sí",Sesiones!AR58,"")</f>
        <v>3</v>
      </c>
      <c r="F59" s="9">
        <f>IF(Sesiones!AZ58="Sí",Sesiones!AS58,"")</f>
        <v>2</v>
      </c>
      <c r="G59" s="9">
        <f>IF(Sesiones!AZ58="Sí",Sesiones!AT58,"")</f>
        <v>4</v>
      </c>
      <c r="H59" s="9">
        <f>IF(Sesiones!AZ58="Sí",Sesiones!AU58,"")</f>
        <v>3</v>
      </c>
      <c r="I59" s="9">
        <f>IF(Sesiones!AZ58="Sí",Sesiones!AV58,"")</f>
        <v>3</v>
      </c>
      <c r="J59" s="9">
        <f>IF(Sesiones!AZ58="Sí",Sesiones!BK58,"")</f>
        <v>27</v>
      </c>
    </row>
    <row r="60" spans="1:10" x14ac:dyDescent="0.2">
      <c r="A60" s="9" t="str">
        <f>Sesiones!A59</f>
        <v>SA57</v>
      </c>
      <c r="B60" s="9">
        <f>IF(Sesiones!AZ59="Sí",Sesiones!AO59,"")</f>
        <v>4</v>
      </c>
      <c r="C60" s="9">
        <f>IF(Sesiones!AZ59="Sí",Sesiones!AP59,"")</f>
        <v>4</v>
      </c>
      <c r="D60" s="9">
        <f>IF(Sesiones!AZ59="Sí",Sesiones!AQ59,"")</f>
        <v>4</v>
      </c>
      <c r="E60" s="9">
        <f>IF(Sesiones!AZ59="Sí",Sesiones!AR59,"")</f>
        <v>4</v>
      </c>
      <c r="F60" s="9">
        <f>IF(Sesiones!AZ59="Sí",Sesiones!AS59,"")</f>
        <v>2</v>
      </c>
      <c r="G60" s="9">
        <f>IF(Sesiones!AZ59="Sí",Sesiones!AT59,"")</f>
        <v>2</v>
      </c>
      <c r="H60" s="9">
        <f>IF(Sesiones!AZ59="Sí",Sesiones!AU59,"")</f>
        <v>4</v>
      </c>
      <c r="I60" s="9">
        <f>IF(Sesiones!AZ59="Sí",Sesiones!AV59,"")</f>
        <v>4</v>
      </c>
      <c r="J60" s="9">
        <f>IF(Sesiones!AZ59="Sí",Sesiones!BK59,"")</f>
        <v>28</v>
      </c>
    </row>
    <row r="61" spans="1:10" x14ac:dyDescent="0.2">
      <c r="A61" s="9" t="str">
        <f>Sesiones!A60</f>
        <v>SA58</v>
      </c>
      <c r="B61" s="9">
        <f>IF(Sesiones!AZ60="Sí",Sesiones!AO60,"")</f>
        <v>3</v>
      </c>
      <c r="C61" s="9">
        <f>IF(Sesiones!AZ60="Sí",Sesiones!AP60,"")</f>
        <v>3</v>
      </c>
      <c r="D61" s="9">
        <f>IF(Sesiones!AZ60="Sí",Sesiones!AQ60,"")</f>
        <v>4</v>
      </c>
      <c r="E61" s="9">
        <f>IF(Sesiones!AZ60="Sí",Sesiones!AR60,"")</f>
        <v>3</v>
      </c>
      <c r="F61" s="9">
        <f>IF(Sesiones!AZ60="Sí",Sesiones!AS60,"")</f>
        <v>3</v>
      </c>
      <c r="G61" s="9">
        <f>IF(Sesiones!AZ60="Sí",Sesiones!AT60,"")</f>
        <v>3</v>
      </c>
      <c r="H61" s="9">
        <f>IF(Sesiones!AZ60="Sí",Sesiones!AU60,"")</f>
        <v>3</v>
      </c>
      <c r="I61" s="9">
        <f>IF(Sesiones!AZ60="Sí",Sesiones!AV60,"")</f>
        <v>4</v>
      </c>
      <c r="J61" s="9">
        <f>IF(Sesiones!AZ60="Sí",Sesiones!BK60,"")</f>
        <v>26</v>
      </c>
    </row>
    <row r="62" spans="1:10" x14ac:dyDescent="0.2">
      <c r="A62" s="9" t="str">
        <f>Sesiones!A61</f>
        <v>SA59</v>
      </c>
      <c r="B62" s="9">
        <f>IF(Sesiones!AZ61="Sí",Sesiones!AO61,"")</f>
        <v>2</v>
      </c>
      <c r="C62" s="9">
        <f>IF(Sesiones!AZ61="Sí",Sesiones!AP61,"")</f>
        <v>2</v>
      </c>
      <c r="D62" s="9">
        <f>IF(Sesiones!AZ61="Sí",Sesiones!AQ61,"")</f>
        <v>4</v>
      </c>
      <c r="E62" s="9">
        <f>IF(Sesiones!AZ61="Sí",Sesiones!AR61,"")</f>
        <v>3</v>
      </c>
      <c r="F62" s="9">
        <f>IF(Sesiones!AZ61="Sí",Sesiones!AS61,"")</f>
        <v>2</v>
      </c>
      <c r="G62" s="9">
        <f>IF(Sesiones!AZ61="Sí",Sesiones!AT61,"")</f>
        <v>4</v>
      </c>
      <c r="H62" s="9">
        <f>IF(Sesiones!AZ61="Sí",Sesiones!AU61,"")</f>
        <v>4</v>
      </c>
      <c r="I62" s="9">
        <f>IF(Sesiones!AZ61="Sí",Sesiones!AV61,"")</f>
        <v>4</v>
      </c>
      <c r="J62" s="9">
        <f>IF(Sesiones!AZ61="Sí",Sesiones!BK61,"")</f>
        <v>25</v>
      </c>
    </row>
    <row r="63" spans="1:10" x14ac:dyDescent="0.2">
      <c r="A63" s="9" t="str">
        <f>Sesiones!A62</f>
        <v>SA60</v>
      </c>
      <c r="B63" s="9">
        <f>IF(Sesiones!AZ62="Sí",Sesiones!AO62,"")</f>
        <v>2</v>
      </c>
      <c r="C63" s="9">
        <f>IF(Sesiones!AZ62="Sí",Sesiones!AP62,"")</f>
        <v>3</v>
      </c>
      <c r="D63" s="9">
        <f>IF(Sesiones!AZ62="Sí",Sesiones!AQ62,"")</f>
        <v>2</v>
      </c>
      <c r="E63" s="9">
        <f>IF(Sesiones!AZ62="Sí",Sesiones!AR62,"")</f>
        <v>4</v>
      </c>
      <c r="F63" s="9">
        <f>IF(Sesiones!AZ62="Sí",Sesiones!AS62,"")</f>
        <v>3</v>
      </c>
      <c r="G63" s="9">
        <f>IF(Sesiones!AZ62="Sí",Sesiones!AT62,"")</f>
        <v>3</v>
      </c>
      <c r="H63" s="9">
        <f>IF(Sesiones!AZ62="Sí",Sesiones!AU62,"")</f>
        <v>4</v>
      </c>
      <c r="I63" s="9">
        <f>IF(Sesiones!AZ62="Sí",Sesiones!AV62,"")</f>
        <v>3</v>
      </c>
      <c r="J63" s="9">
        <f>IF(Sesiones!AZ62="Sí",Sesiones!BK62,"")</f>
        <v>24</v>
      </c>
    </row>
    <row r="64" spans="1:10" x14ac:dyDescent="0.2">
      <c r="A64" s="9" t="str">
        <f>Sesiones!A63</f>
        <v>SA61</v>
      </c>
      <c r="B64" s="9" t="str">
        <f>IF(Sesiones!AZ63="Sí",Sesiones!AO63,"")</f>
        <v/>
      </c>
      <c r="C64" s="9" t="str">
        <f>IF(Sesiones!AZ63="Sí",Sesiones!AP63,"")</f>
        <v/>
      </c>
      <c r="D64" s="9" t="str">
        <f>IF(Sesiones!AZ63="Sí",Sesiones!AQ63,"")</f>
        <v/>
      </c>
      <c r="E64" s="9" t="str">
        <f>IF(Sesiones!AZ63="Sí",Sesiones!AR63,"")</f>
        <v/>
      </c>
      <c r="F64" s="9" t="str">
        <f>IF(Sesiones!AZ63="Sí",Sesiones!AS63,"")</f>
        <v/>
      </c>
      <c r="G64" s="9" t="str">
        <f>IF(Sesiones!AZ63="Sí",Sesiones!AT63,"")</f>
        <v/>
      </c>
      <c r="H64" s="9" t="str">
        <f>IF(Sesiones!AZ63="Sí",Sesiones!AU63,"")</f>
        <v/>
      </c>
      <c r="I64" s="9" t="str">
        <f>IF(Sesiones!AZ63="Sí",Sesiones!AV63,"")</f>
        <v/>
      </c>
      <c r="J64" s="9" t="str">
        <f>IF(Sesiones!AZ63="Sí",Sesiones!BK63,"")</f>
        <v/>
      </c>
    </row>
    <row r="65" spans="1:10" x14ac:dyDescent="0.2">
      <c r="A65" s="9" t="str">
        <f>Sesiones!A64</f>
        <v>SA62</v>
      </c>
      <c r="B65" s="9" t="str">
        <f>IF(Sesiones!AZ64="Sí",Sesiones!AO64,"")</f>
        <v/>
      </c>
      <c r="C65" s="9" t="str">
        <f>IF(Sesiones!AZ64="Sí",Sesiones!AP64,"")</f>
        <v/>
      </c>
      <c r="D65" s="9" t="str">
        <f>IF(Sesiones!AZ64="Sí",Sesiones!AQ64,"")</f>
        <v/>
      </c>
      <c r="E65" s="9" t="str">
        <f>IF(Sesiones!AZ64="Sí",Sesiones!AR64,"")</f>
        <v/>
      </c>
      <c r="F65" s="9" t="str">
        <f>IF(Sesiones!AZ64="Sí",Sesiones!AS64,"")</f>
        <v/>
      </c>
      <c r="G65" s="9" t="str">
        <f>IF(Sesiones!AZ64="Sí",Sesiones!AT64,"")</f>
        <v/>
      </c>
      <c r="H65" s="9" t="str">
        <f>IF(Sesiones!AZ64="Sí",Sesiones!AU64,"")</f>
        <v/>
      </c>
      <c r="I65" s="9" t="str">
        <f>IF(Sesiones!AZ64="Sí",Sesiones!AV64,"")</f>
        <v/>
      </c>
      <c r="J65" s="9" t="str">
        <f>IF(Sesiones!AZ64="Sí",Sesiones!BK64,"")</f>
        <v/>
      </c>
    </row>
    <row r="66" spans="1:10" x14ac:dyDescent="0.2">
      <c r="A66" s="9" t="str">
        <f>Sesiones!A65</f>
        <v>SA63</v>
      </c>
      <c r="B66" s="9" t="str">
        <f>IF(Sesiones!AZ65="Sí",Sesiones!AO65,"")</f>
        <v/>
      </c>
      <c r="C66" s="9" t="str">
        <f>IF(Sesiones!AZ65="Sí",Sesiones!AP65,"")</f>
        <v/>
      </c>
      <c r="D66" s="9" t="str">
        <f>IF(Sesiones!AZ65="Sí",Sesiones!AQ65,"")</f>
        <v/>
      </c>
      <c r="E66" s="9" t="str">
        <f>IF(Sesiones!AZ65="Sí",Sesiones!AR65,"")</f>
        <v/>
      </c>
      <c r="F66" s="9" t="str">
        <f>IF(Sesiones!AZ65="Sí",Sesiones!AS65,"")</f>
        <v/>
      </c>
      <c r="G66" s="9" t="str">
        <f>IF(Sesiones!AZ65="Sí",Sesiones!AT65,"")</f>
        <v/>
      </c>
      <c r="H66" s="9" t="str">
        <f>IF(Sesiones!AZ65="Sí",Sesiones!AU65,"")</f>
        <v/>
      </c>
      <c r="I66" s="9" t="str">
        <f>IF(Sesiones!AZ65="Sí",Sesiones!AV65,"")</f>
        <v/>
      </c>
      <c r="J66" s="9" t="str">
        <f>IF(Sesiones!AZ65="Sí",Sesiones!BK65,"")</f>
        <v/>
      </c>
    </row>
    <row r="67" spans="1:10" x14ac:dyDescent="0.2">
      <c r="A67" s="9" t="str">
        <f>Sesiones!A66</f>
        <v>SA64</v>
      </c>
      <c r="B67" s="9" t="str">
        <f>IF(Sesiones!AZ66="Sí",Sesiones!AO66,"")</f>
        <v/>
      </c>
      <c r="C67" s="9" t="str">
        <f>IF(Sesiones!AZ66="Sí",Sesiones!AP66,"")</f>
        <v/>
      </c>
      <c r="D67" s="9" t="str">
        <f>IF(Sesiones!AZ66="Sí",Sesiones!AQ66,"")</f>
        <v/>
      </c>
      <c r="E67" s="9" t="str">
        <f>IF(Sesiones!AZ66="Sí",Sesiones!AR66,"")</f>
        <v/>
      </c>
      <c r="F67" s="9" t="str">
        <f>IF(Sesiones!AZ66="Sí",Sesiones!AS66,"")</f>
        <v/>
      </c>
      <c r="G67" s="9" t="str">
        <f>IF(Sesiones!AZ66="Sí",Sesiones!AT66,"")</f>
        <v/>
      </c>
      <c r="H67" s="9" t="str">
        <f>IF(Sesiones!AZ66="Sí",Sesiones!AU66,"")</f>
        <v/>
      </c>
      <c r="I67" s="9" t="str">
        <f>IF(Sesiones!AZ66="Sí",Sesiones!AV66,"")</f>
        <v/>
      </c>
      <c r="J67" s="9" t="str">
        <f>IF(Sesiones!AZ66="Sí",Sesiones!BK66,"")</f>
        <v/>
      </c>
    </row>
    <row r="68" spans="1:10" x14ac:dyDescent="0.2">
      <c r="A68" s="9" t="str">
        <f>Sesiones!A67</f>
        <v>SA65</v>
      </c>
      <c r="B68" s="9" t="str">
        <f>IF(Sesiones!AZ67="Sí",Sesiones!AO67,"")</f>
        <v/>
      </c>
      <c r="C68" s="9" t="str">
        <f>IF(Sesiones!AZ67="Sí",Sesiones!AP67,"")</f>
        <v/>
      </c>
      <c r="D68" s="9" t="str">
        <f>IF(Sesiones!AZ67="Sí",Sesiones!AQ67,"")</f>
        <v/>
      </c>
      <c r="E68" s="9" t="str">
        <f>IF(Sesiones!AZ67="Sí",Sesiones!AR67,"")</f>
        <v/>
      </c>
      <c r="F68" s="9" t="str">
        <f>IF(Sesiones!AZ67="Sí",Sesiones!AS67,"")</f>
        <v/>
      </c>
      <c r="G68" s="9" t="str">
        <f>IF(Sesiones!AZ67="Sí",Sesiones!AT67,"")</f>
        <v/>
      </c>
      <c r="H68" s="9" t="str">
        <f>IF(Sesiones!AZ67="Sí",Sesiones!AU67,"")</f>
        <v/>
      </c>
      <c r="I68" s="9" t="str">
        <f>IF(Sesiones!AZ67="Sí",Sesiones!AV67,"")</f>
        <v/>
      </c>
      <c r="J68" s="9" t="str">
        <f>IF(Sesiones!AZ67="Sí",Sesiones!BK67,"")</f>
        <v/>
      </c>
    </row>
    <row r="69" spans="1:10" x14ac:dyDescent="0.2">
      <c r="A69" s="9" t="str">
        <f>Sesiones!A68</f>
        <v>SA66</v>
      </c>
      <c r="B69" s="9" t="str">
        <f>IF(Sesiones!AZ68="Sí",Sesiones!AO68,"")</f>
        <v/>
      </c>
      <c r="C69" s="9" t="str">
        <f>IF(Sesiones!AZ68="Sí",Sesiones!AP68,"")</f>
        <v/>
      </c>
      <c r="D69" s="9" t="str">
        <f>IF(Sesiones!AZ68="Sí",Sesiones!AQ68,"")</f>
        <v/>
      </c>
      <c r="E69" s="9" t="str">
        <f>IF(Sesiones!AZ68="Sí",Sesiones!AR68,"")</f>
        <v/>
      </c>
      <c r="F69" s="9" t="str">
        <f>IF(Sesiones!AZ68="Sí",Sesiones!AS68,"")</f>
        <v/>
      </c>
      <c r="G69" s="9" t="str">
        <f>IF(Sesiones!AZ68="Sí",Sesiones!AT68,"")</f>
        <v/>
      </c>
      <c r="H69" s="9" t="str">
        <f>IF(Sesiones!AZ68="Sí",Sesiones!AU68,"")</f>
        <v/>
      </c>
      <c r="I69" s="9" t="str">
        <f>IF(Sesiones!AZ68="Sí",Sesiones!AV68,"")</f>
        <v/>
      </c>
      <c r="J69" s="9" t="str">
        <f>IF(Sesiones!AZ68="Sí",Sesiones!BK68,"")</f>
        <v/>
      </c>
    </row>
    <row r="70" spans="1:10" x14ac:dyDescent="0.2">
      <c r="A70" s="9" t="str">
        <f>Sesiones!A69</f>
        <v>SA67</v>
      </c>
      <c r="B70" s="9" t="str">
        <f>IF(Sesiones!AZ69="Sí",Sesiones!AO69,"")</f>
        <v/>
      </c>
      <c r="C70" s="9" t="str">
        <f>IF(Sesiones!AZ69="Sí",Sesiones!AP69,"")</f>
        <v/>
      </c>
      <c r="D70" s="9" t="str">
        <f>IF(Sesiones!AZ69="Sí",Sesiones!AQ69,"")</f>
        <v/>
      </c>
      <c r="E70" s="9" t="str">
        <f>IF(Sesiones!AZ69="Sí",Sesiones!AR69,"")</f>
        <v/>
      </c>
      <c r="F70" s="9" t="str">
        <f>IF(Sesiones!AZ69="Sí",Sesiones!AS69,"")</f>
        <v/>
      </c>
      <c r="G70" s="9" t="str">
        <f>IF(Sesiones!AZ69="Sí",Sesiones!AT69,"")</f>
        <v/>
      </c>
      <c r="H70" s="9" t="str">
        <f>IF(Sesiones!AZ69="Sí",Sesiones!AU69,"")</f>
        <v/>
      </c>
      <c r="I70" s="9" t="str">
        <f>IF(Sesiones!AZ69="Sí",Sesiones!AV69,"")</f>
        <v/>
      </c>
      <c r="J70" s="9" t="str">
        <f>IF(Sesiones!AZ69="Sí",Sesiones!BK69,"")</f>
        <v/>
      </c>
    </row>
    <row r="71" spans="1:10" x14ac:dyDescent="0.2">
      <c r="A71" s="9" t="str">
        <f>Sesiones!A70</f>
        <v>SA68</v>
      </c>
      <c r="B71" s="9" t="str">
        <f>IF(Sesiones!AZ70="Sí",Sesiones!AO70,"")</f>
        <v/>
      </c>
      <c r="C71" s="9" t="str">
        <f>IF(Sesiones!AZ70="Sí",Sesiones!AP70,"")</f>
        <v/>
      </c>
      <c r="D71" s="9" t="str">
        <f>IF(Sesiones!AZ70="Sí",Sesiones!AQ70,"")</f>
        <v/>
      </c>
      <c r="E71" s="9" t="str">
        <f>IF(Sesiones!AZ70="Sí",Sesiones!AR70,"")</f>
        <v/>
      </c>
      <c r="F71" s="9" t="str">
        <f>IF(Sesiones!AZ70="Sí",Sesiones!AS70,"")</f>
        <v/>
      </c>
      <c r="G71" s="9" t="str">
        <f>IF(Sesiones!AZ70="Sí",Sesiones!AT70,"")</f>
        <v/>
      </c>
      <c r="H71" s="9" t="str">
        <f>IF(Sesiones!AZ70="Sí",Sesiones!AU70,"")</f>
        <v/>
      </c>
      <c r="I71" s="9" t="str">
        <f>IF(Sesiones!AZ70="Sí",Sesiones!AV70,"")</f>
        <v/>
      </c>
      <c r="J71" s="9" t="str">
        <f>IF(Sesiones!AZ70="Sí",Sesiones!BK70,"")</f>
        <v/>
      </c>
    </row>
    <row r="72" spans="1:10" x14ac:dyDescent="0.2">
      <c r="A72" s="9" t="str">
        <f>Sesiones!A71</f>
        <v>SA69</v>
      </c>
      <c r="B72" s="9" t="str">
        <f>IF(Sesiones!AZ71="Sí",Sesiones!AO71,"")</f>
        <v/>
      </c>
      <c r="C72" s="9" t="str">
        <f>IF(Sesiones!AZ71="Sí",Sesiones!AP71,"")</f>
        <v/>
      </c>
      <c r="D72" s="9" t="str">
        <f>IF(Sesiones!AZ71="Sí",Sesiones!AQ71,"")</f>
        <v/>
      </c>
      <c r="E72" s="9" t="str">
        <f>IF(Sesiones!AZ71="Sí",Sesiones!AR71,"")</f>
        <v/>
      </c>
      <c r="F72" s="9" t="str">
        <f>IF(Sesiones!AZ71="Sí",Sesiones!AS71,"")</f>
        <v/>
      </c>
      <c r="G72" s="9" t="str">
        <f>IF(Sesiones!AZ71="Sí",Sesiones!AT71,"")</f>
        <v/>
      </c>
      <c r="H72" s="9" t="str">
        <f>IF(Sesiones!AZ71="Sí",Sesiones!AU71,"")</f>
        <v/>
      </c>
      <c r="I72" s="9" t="str">
        <f>IF(Sesiones!AZ71="Sí",Sesiones!AV71,"")</f>
        <v/>
      </c>
      <c r="J72" s="9" t="str">
        <f>IF(Sesiones!AZ71="Sí",Sesiones!BK71,"")</f>
        <v/>
      </c>
    </row>
    <row r="73" spans="1:10" x14ac:dyDescent="0.2">
      <c r="A73" s="9" t="str">
        <f>Sesiones!A72</f>
        <v>SA70</v>
      </c>
      <c r="B73" s="9" t="str">
        <f>IF(Sesiones!AZ72="Sí",Sesiones!AO72,"")</f>
        <v/>
      </c>
      <c r="C73" s="9" t="str">
        <f>IF(Sesiones!AZ72="Sí",Sesiones!AP72,"")</f>
        <v/>
      </c>
      <c r="D73" s="9" t="str">
        <f>IF(Sesiones!AZ72="Sí",Sesiones!AQ72,"")</f>
        <v/>
      </c>
      <c r="E73" s="9" t="str">
        <f>IF(Sesiones!AZ72="Sí",Sesiones!AR72,"")</f>
        <v/>
      </c>
      <c r="F73" s="9" t="str">
        <f>IF(Sesiones!AZ72="Sí",Sesiones!AS72,"")</f>
        <v/>
      </c>
      <c r="G73" s="9" t="str">
        <f>IF(Sesiones!AZ72="Sí",Sesiones!AT72,"")</f>
        <v/>
      </c>
      <c r="H73" s="9" t="str">
        <f>IF(Sesiones!AZ72="Sí",Sesiones!AU72,"")</f>
        <v/>
      </c>
      <c r="I73" s="9" t="str">
        <f>IF(Sesiones!AZ72="Sí",Sesiones!AV72,"")</f>
        <v/>
      </c>
      <c r="J73" s="9" t="str">
        <f>IF(Sesiones!AZ72="Sí",Sesiones!BK72,"")</f>
        <v/>
      </c>
    </row>
    <row r="74" spans="1:10" x14ac:dyDescent="0.2">
      <c r="A74" s="9" t="str">
        <f>Sesiones!A73</f>
        <v>SA71</v>
      </c>
      <c r="B74" s="9" t="str">
        <f>IF(Sesiones!AZ73="Sí",Sesiones!AO73,"")</f>
        <v/>
      </c>
      <c r="C74" s="9" t="str">
        <f>IF(Sesiones!AZ73="Sí",Sesiones!AP73,"")</f>
        <v/>
      </c>
      <c r="D74" s="9" t="str">
        <f>IF(Sesiones!AZ73="Sí",Sesiones!AQ73,"")</f>
        <v/>
      </c>
      <c r="E74" s="9" t="str">
        <f>IF(Sesiones!AZ73="Sí",Sesiones!AR73,"")</f>
        <v/>
      </c>
      <c r="F74" s="9" t="str">
        <f>IF(Sesiones!AZ73="Sí",Sesiones!AS73,"")</f>
        <v/>
      </c>
      <c r="G74" s="9" t="str">
        <f>IF(Sesiones!AZ73="Sí",Sesiones!AT73,"")</f>
        <v/>
      </c>
      <c r="H74" s="9" t="str">
        <f>IF(Sesiones!AZ73="Sí",Sesiones!AU73,"")</f>
        <v/>
      </c>
      <c r="I74" s="9" t="str">
        <f>IF(Sesiones!AZ73="Sí",Sesiones!AV73,"")</f>
        <v/>
      </c>
      <c r="J74" s="9" t="str">
        <f>IF(Sesiones!AZ73="Sí",Sesiones!BK73,"")</f>
        <v/>
      </c>
    </row>
    <row r="75" spans="1:10" x14ac:dyDescent="0.2">
      <c r="A75" s="9" t="str">
        <f>Sesiones!A74</f>
        <v>SA72</v>
      </c>
      <c r="B75" s="9" t="str">
        <f>IF(Sesiones!AZ74="Sí",Sesiones!AO74,"")</f>
        <v/>
      </c>
      <c r="C75" s="9" t="str">
        <f>IF(Sesiones!AZ74="Sí",Sesiones!AP74,"")</f>
        <v/>
      </c>
      <c r="D75" s="9" t="str">
        <f>IF(Sesiones!AZ74="Sí",Sesiones!AQ74,"")</f>
        <v/>
      </c>
      <c r="E75" s="9" t="str">
        <f>IF(Sesiones!AZ74="Sí",Sesiones!AR74,"")</f>
        <v/>
      </c>
      <c r="F75" s="9" t="str">
        <f>IF(Sesiones!AZ74="Sí",Sesiones!AS74,"")</f>
        <v/>
      </c>
      <c r="G75" s="9" t="str">
        <f>IF(Sesiones!AZ74="Sí",Sesiones!AT74,"")</f>
        <v/>
      </c>
      <c r="H75" s="9" t="str">
        <f>IF(Sesiones!AZ74="Sí",Sesiones!AU74,"")</f>
        <v/>
      </c>
      <c r="I75" s="9" t="str">
        <f>IF(Sesiones!AZ74="Sí",Sesiones!AV74,"")</f>
        <v/>
      </c>
      <c r="J75" s="9" t="str">
        <f>IF(Sesiones!AZ74="Sí",Sesiones!BK74,"")</f>
        <v/>
      </c>
    </row>
    <row r="76" spans="1:10" x14ac:dyDescent="0.2">
      <c r="A76" s="9" t="str">
        <f>Sesiones!A75</f>
        <v>SA73</v>
      </c>
      <c r="B76" s="9" t="str">
        <f>IF(Sesiones!AZ75="Sí",Sesiones!AO75,"")</f>
        <v/>
      </c>
      <c r="C76" s="9" t="str">
        <f>IF(Sesiones!AZ75="Sí",Sesiones!AP75,"")</f>
        <v/>
      </c>
      <c r="D76" s="9" t="str">
        <f>IF(Sesiones!AZ75="Sí",Sesiones!AQ75,"")</f>
        <v/>
      </c>
      <c r="E76" s="9" t="str">
        <f>IF(Sesiones!AZ75="Sí",Sesiones!AR75,"")</f>
        <v/>
      </c>
      <c r="F76" s="9" t="str">
        <f>IF(Sesiones!AZ75="Sí",Sesiones!AS75,"")</f>
        <v/>
      </c>
      <c r="G76" s="9" t="str">
        <f>IF(Sesiones!AZ75="Sí",Sesiones!AT75,"")</f>
        <v/>
      </c>
      <c r="H76" s="9" t="str">
        <f>IF(Sesiones!AZ75="Sí",Sesiones!AU75,"")</f>
        <v/>
      </c>
      <c r="I76" s="9" t="str">
        <f>IF(Sesiones!AZ75="Sí",Sesiones!AV75,"")</f>
        <v/>
      </c>
      <c r="J76" s="9" t="str">
        <f>IF(Sesiones!AZ75="Sí",Sesiones!BK75,"")</f>
        <v/>
      </c>
    </row>
    <row r="77" spans="1:10" x14ac:dyDescent="0.2">
      <c r="A77" s="9" t="str">
        <f>Sesiones!A76</f>
        <v>SA74</v>
      </c>
      <c r="B77" s="9" t="str">
        <f>IF(Sesiones!AZ76="Sí",Sesiones!AO76,"")</f>
        <v/>
      </c>
      <c r="C77" s="9" t="str">
        <f>IF(Sesiones!AZ76="Sí",Sesiones!AP76,"")</f>
        <v/>
      </c>
      <c r="D77" s="9" t="str">
        <f>IF(Sesiones!AZ76="Sí",Sesiones!AQ76,"")</f>
        <v/>
      </c>
      <c r="E77" s="9" t="str">
        <f>IF(Sesiones!AZ76="Sí",Sesiones!AR76,"")</f>
        <v/>
      </c>
      <c r="F77" s="9" t="str">
        <f>IF(Sesiones!AZ76="Sí",Sesiones!AS76,"")</f>
        <v/>
      </c>
      <c r="G77" s="9" t="str">
        <f>IF(Sesiones!AZ76="Sí",Sesiones!AT76,"")</f>
        <v/>
      </c>
      <c r="H77" s="9" t="str">
        <f>IF(Sesiones!AZ76="Sí",Sesiones!AU76,"")</f>
        <v/>
      </c>
      <c r="I77" s="9" t="str">
        <f>IF(Sesiones!AZ76="Sí",Sesiones!AV76,"")</f>
        <v/>
      </c>
      <c r="J77" s="9" t="str">
        <f>IF(Sesiones!AZ76="Sí",Sesiones!BK76,"")</f>
        <v/>
      </c>
    </row>
    <row r="78" spans="1:10" x14ac:dyDescent="0.2">
      <c r="A78" s="9" t="str">
        <f>Sesiones!A77</f>
        <v>SA75</v>
      </c>
      <c r="B78" s="9" t="str">
        <f>IF(Sesiones!AZ77="Sí",Sesiones!AO77,"")</f>
        <v/>
      </c>
      <c r="C78" s="9" t="str">
        <f>IF(Sesiones!AZ77="Sí",Sesiones!AP77,"")</f>
        <v/>
      </c>
      <c r="D78" s="9" t="str">
        <f>IF(Sesiones!AZ77="Sí",Sesiones!AQ77,"")</f>
        <v/>
      </c>
      <c r="E78" s="9" t="str">
        <f>IF(Sesiones!AZ77="Sí",Sesiones!AR77,"")</f>
        <v/>
      </c>
      <c r="F78" s="9" t="str">
        <f>IF(Sesiones!AZ77="Sí",Sesiones!AS77,"")</f>
        <v/>
      </c>
      <c r="G78" s="9" t="str">
        <f>IF(Sesiones!AZ77="Sí",Sesiones!AT77,"")</f>
        <v/>
      </c>
      <c r="H78" s="9" t="str">
        <f>IF(Sesiones!AZ77="Sí",Sesiones!AU77,"")</f>
        <v/>
      </c>
      <c r="I78" s="9" t="str">
        <f>IF(Sesiones!AZ77="Sí",Sesiones!AV77,"")</f>
        <v/>
      </c>
      <c r="J78" s="9" t="str">
        <f>IF(Sesiones!AZ77="Sí",Sesiones!BK77,"")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tabSelected="1" workbookViewId="0"/>
  </sheetViews>
  <sheetFormatPr baseColWidth="10" defaultColWidth="8.7109375" defaultRowHeight="12.75" x14ac:dyDescent="0.2"/>
  <cols>
    <col min="1" max="1" width="125" customWidth="1"/>
  </cols>
  <sheetData>
    <row r="1" spans="1:1" ht="18" x14ac:dyDescent="0.2">
      <c r="A1" s="30" t="s">
        <v>355</v>
      </c>
    </row>
    <row r="2" spans="1:1" x14ac:dyDescent="0.2">
      <c r="A2" s="31"/>
    </row>
    <row r="3" spans="1:1" x14ac:dyDescent="0.2">
      <c r="A3" s="32" t="s">
        <v>356</v>
      </c>
    </row>
    <row r="4" spans="1:1" ht="25.5" x14ac:dyDescent="0.2">
      <c r="A4" s="31" t="s">
        <v>357</v>
      </c>
    </row>
    <row r="5" spans="1:1" ht="25.5" x14ac:dyDescent="0.2">
      <c r="A5" s="31" t="s">
        <v>358</v>
      </c>
    </row>
    <row r="6" spans="1:1" ht="25.5" x14ac:dyDescent="0.2">
      <c r="A6" s="31" t="s">
        <v>359</v>
      </c>
    </row>
    <row r="7" spans="1:1" x14ac:dyDescent="0.2">
      <c r="A7" s="31" t="s">
        <v>360</v>
      </c>
    </row>
    <row r="8" spans="1:1" x14ac:dyDescent="0.2">
      <c r="A8" s="31"/>
    </row>
    <row r="9" spans="1:1" x14ac:dyDescent="0.2">
      <c r="A9" s="32" t="s">
        <v>361</v>
      </c>
    </row>
    <row r="10" spans="1:1" ht="25.5" x14ac:dyDescent="0.2">
      <c r="A10" s="31" t="s">
        <v>362</v>
      </c>
    </row>
    <row r="11" spans="1:1" ht="25.5" x14ac:dyDescent="0.2">
      <c r="A11" s="31" t="s">
        <v>363</v>
      </c>
    </row>
    <row r="12" spans="1:1" ht="25.5" x14ac:dyDescent="0.2">
      <c r="A12" s="31" t="s">
        <v>364</v>
      </c>
    </row>
    <row r="13" spans="1:1" ht="25.5" x14ac:dyDescent="0.2">
      <c r="A13" s="31" t="s">
        <v>365</v>
      </c>
    </row>
    <row r="14" spans="1:1" x14ac:dyDescent="0.2">
      <c r="A14" s="31" t="s">
        <v>366</v>
      </c>
    </row>
    <row r="15" spans="1:1" x14ac:dyDescent="0.2">
      <c r="A15" s="31"/>
    </row>
    <row r="16" spans="1:1" x14ac:dyDescent="0.2">
      <c r="A16" s="32" t="s">
        <v>367</v>
      </c>
    </row>
    <row r="17" spans="1:1" x14ac:dyDescent="0.2">
      <c r="A17" s="31" t="s">
        <v>368</v>
      </c>
    </row>
    <row r="18" spans="1:1" ht="25.5" x14ac:dyDescent="0.2">
      <c r="A18" s="31" t="s">
        <v>369</v>
      </c>
    </row>
    <row r="19" spans="1:1" x14ac:dyDescent="0.2">
      <c r="A19" s="31" t="s">
        <v>370</v>
      </c>
    </row>
    <row r="20" spans="1:1" x14ac:dyDescent="0.2">
      <c r="A20" s="31" t="s">
        <v>371</v>
      </c>
    </row>
    <row r="21" spans="1:1" x14ac:dyDescent="0.2">
      <c r="A21" s="3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Sesiones</vt:lpstr>
      <vt:lpstr>Resumen</vt:lpstr>
      <vt:lpstr>Tarjetas</vt:lpstr>
      <vt:lpstr>Parametros</vt:lpstr>
      <vt:lpstr>Calc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escalante</cp:lastModifiedBy>
  <dcterms:modified xsi:type="dcterms:W3CDTF">2026-10-04T14:19:27Z</dcterms:modified>
</cp:coreProperties>
</file>