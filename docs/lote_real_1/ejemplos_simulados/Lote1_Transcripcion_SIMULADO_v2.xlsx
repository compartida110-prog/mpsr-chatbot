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rticipantes" sheetId="1" state="visible" r:id="rId3"/>
    <sheet name="Respuestas" sheetId="2" state="visible" r:id="rId4"/>
    <sheet name="Resumen" sheetId="3" state="visible" r:id="rId5"/>
    <sheet name="Cobertura" sheetId="4" state="visible" r:id="rId6"/>
    <sheet name="Situaciones" sheetId="5" state="visible" r:id="rId7"/>
    <sheet name="Parametros" sheetId="6" state="visible" r:id="rId8"/>
    <sheet name="Notas" sheetId="7" state="visible" r:id="rId9"/>
  </sheets>
  <definedNames>
    <definedName function="false" hidden="true" localSheetId="1" name="_xlnm._FilterDatabase" vbProcedure="false">Respuestas!$A$3:$H$283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<sst xmlns="http://schemas.openxmlformats.org/spreadsheetml/2006/main" count="2377" uniqueCount="577">
  <si>
    <t xml:space="preserve">SIMULADO — Transcripción del lote 1 — participantes (datos de prueba; no son personas reales)</t>
  </si>
  <si>
    <t xml:space="preserve">Un código por persona (P01 a P25) sin relación con su nombre. El formulario sigue la rotación A–E y no se cambia. Edita solo las celdas amarillas. Marca «Transcrito» solo cuando termines de pasar toda su hoja a la pestaña Respuestas.</t>
  </si>
  <si>
    <t xml:space="preserve">participant_code</t>
  </si>
  <si>
    <t xml:space="preserve">form</t>
  </si>
  <si>
    <t xml:space="preserve">Estado</t>
  </si>
  <si>
    <t xml:space="preserve">age_range</t>
  </si>
  <si>
    <t xml:space="preserve">vive_en_juliaca</t>
  </si>
  <si>
    <t xml:space="preserve">tramite_12m</t>
  </si>
  <si>
    <t xml:space="preserve">Consentimiento firmado</t>
  </si>
  <si>
    <t xml:space="preserve">Fecha de aplicación</t>
  </si>
  <si>
    <t xml:space="preserve">Situaciones del formulario</t>
  </si>
  <si>
    <t xml:space="preserve">Frases transcritas</t>
  </si>
  <si>
    <t xml:space="preserve">En blanco</t>
  </si>
  <si>
    <t xml:space="preserve">Alerta</t>
  </si>
  <si>
    <t xml:space="preserve">Observaciones</t>
  </si>
  <si>
    <t xml:space="preserve">P01</t>
  </si>
  <si>
    <t xml:space="preserve">A</t>
  </si>
  <si>
    <t xml:space="preserve">Transcrito</t>
  </si>
  <si>
    <t xml:space="preserve">30–44</t>
  </si>
  <si>
    <t xml:space="preserve">Sí</t>
  </si>
  <si>
    <t xml:space="preserve">Dato sintético de prueba</t>
  </si>
  <si>
    <t xml:space="preserve">P02</t>
  </si>
  <si>
    <t xml:space="preserve">B</t>
  </si>
  <si>
    <t xml:space="preserve">45–59</t>
  </si>
  <si>
    <t xml:space="preserve">P03</t>
  </si>
  <si>
    <t xml:space="preserve">C</t>
  </si>
  <si>
    <t xml:space="preserve">P04</t>
  </si>
  <si>
    <t xml:space="preserve">D</t>
  </si>
  <si>
    <t xml:space="preserve">18–29</t>
  </si>
  <si>
    <t xml:space="preserve">P05</t>
  </si>
  <si>
    <t xml:space="preserve">E</t>
  </si>
  <si>
    <t xml:space="preserve">P06</t>
  </si>
  <si>
    <t xml:space="preserve">P07</t>
  </si>
  <si>
    <t xml:space="preserve">No</t>
  </si>
  <si>
    <t xml:space="preserve">P08</t>
  </si>
  <si>
    <t xml:space="preserve">P09</t>
  </si>
  <si>
    <t xml:space="preserve">P10</t>
  </si>
  <si>
    <t xml:space="preserve">P11</t>
  </si>
  <si>
    <t xml:space="preserve">60 a más</t>
  </si>
  <si>
    <t xml:space="preserve">P12</t>
  </si>
  <si>
    <t xml:space="preserve">P13</t>
  </si>
  <si>
    <t xml:space="preserve">P14</t>
  </si>
  <si>
    <t xml:space="preserve">P15</t>
  </si>
  <si>
    <t xml:space="preserve">P16</t>
  </si>
  <si>
    <t xml:space="preserve">P17</t>
  </si>
  <si>
    <t xml:space="preserve">P18</t>
  </si>
  <si>
    <t xml:space="preserve">P19</t>
  </si>
  <si>
    <t xml:space="preserve">P20</t>
  </si>
  <si>
    <t xml:space="preserve">P21</t>
  </si>
  <si>
    <t xml:space="preserve">P22</t>
  </si>
  <si>
    <t xml:space="preserve">P23</t>
  </si>
  <si>
    <t xml:space="preserve">P24</t>
  </si>
  <si>
    <t xml:space="preserve">P25</t>
  </si>
  <si>
    <t xml:space="preserve">SIMULADO — Transcripción del lote 1 — respuestas (datos de prueba; no son personas reales)</t>
  </si>
  <si>
    <t xml:space="preserve">Escribe en la columna D (amarilla) la frase tal cual la escribió la persona, sin corregir ortografía ni abreviaturas (ejemplo: «cuanto cuesta la licencia pa mi tienda»). Déjala vacía si la persona no respondió esa situación. No escribas nombres, DNI ni teléfonos. Las columnas A–C ya están llenas: no las cambies.</t>
  </si>
  <si>
    <t xml:space="preserve">scenario_id</t>
  </si>
  <si>
    <t xml:space="preserve">text</t>
  </si>
  <si>
    <t xml:space="preserve">Situación (referencia)</t>
  </si>
  <si>
    <t xml:space="preserve">Intención esperada (referencia)</t>
  </si>
  <si>
    <t xml:space="preserve">Largo</t>
  </si>
  <si>
    <t xml:space="preserve">S01</t>
  </si>
  <si>
    <t xml:space="preserve">hola q papeles necesito para abrir mi tienda</t>
  </si>
  <si>
    <t xml:space="preserve">Vas a abrir una tiendita en tu barrio y no sabes qué papeles te van a pedir en la municipalidad para poder atender legalmente.</t>
  </si>
  <si>
    <t xml:space="preserve">licencia_funcionamiento_requisitos</t>
  </si>
  <si>
    <t xml:space="preserve">S06</t>
  </si>
  <si>
    <t xml:space="preserve">mi licencia ya vencio como la renuevo</t>
  </si>
  <si>
    <t xml:space="preserve">El permiso de funcionamiento de tu negocio ya se venció y quieres saber qué tienes que hacer para dejarlo vigente otra vez.</t>
  </si>
  <si>
    <t xml:space="preserve">renovacion_licencia</t>
  </si>
  <si>
    <t xml:space="preserve">S11</t>
  </si>
  <si>
    <t xml:space="preserve">puedo pagar mi deuda de impuestos en cuotas</t>
  </si>
  <si>
    <t xml:space="preserve">Debes varios años de impuestos municipales y no puedes pagar todo de golpe; quieres saber si puedes pagarlo poco a poco.</t>
  </si>
  <si>
    <t xml:space="preserve">fraccionamiento_deuda</t>
  </si>
  <si>
    <t xml:space="preserve">S16</t>
  </si>
  <si>
    <t xml:space="preserve">perdi la copia de mi documento q presente como la recupero</t>
  </si>
  <si>
    <t xml:space="preserve">Necesitas una copia sellada de un documento que presentaste antes y ya no la tienes.</t>
  </si>
  <si>
    <t xml:space="preserve">copia_documento</t>
  </si>
  <si>
    <t xml:space="preserve">S21</t>
  </si>
  <si>
    <t xml:space="preserve">q cosas debo tener listas para la revision de seguridad</t>
  </si>
  <si>
    <t xml:space="preserve">Vas a pedir la revisión de seguridad de tu local y quieres saber qué cosas debes tener listas (equipos, planos, etc.).</t>
  </si>
  <si>
    <t xml:space="preserve">requisitos_defensa_civil</t>
  </si>
  <si>
    <t xml:space="preserve">S26</t>
  </si>
  <si>
    <t xml:space="preserve">murio mi tio y necesito el acta de defuncion como se saca</t>
  </si>
  <si>
    <t xml:space="preserve">Falleció un familiar y necesitas el documento oficial que lo acredite para hacer trámites; quieres saber cómo se consigue.</t>
  </si>
  <si>
    <t xml:space="preserve">partida_defuncion</t>
  </si>
  <si>
    <t xml:space="preserve">S31</t>
  </si>
  <si>
    <t xml:space="preserve">el parque esta abandonado y los juegos malogrados quiero q lo arreglen</t>
  </si>
  <si>
    <t xml:space="preserve">El parque cerca de tu casa está descuidado y con los juegos malogrados; quieres pedir que lo arreglen.</t>
  </si>
  <si>
    <t xml:space="preserve">mantenimiento_parques</t>
  </si>
  <si>
    <t xml:space="preserve">S36</t>
  </si>
  <si>
    <t xml:space="preserve">donde esta el libro de reclamaciones</t>
  </si>
  <si>
    <t xml:space="preserve">Quieres dejar tu queja en el libro oficial de reclamos y no sabes dónde está ni cómo se usa.</t>
  </si>
  <si>
    <t xml:space="preserve">libro_reclamaciones</t>
  </si>
  <si>
    <t xml:space="preserve">S41</t>
  </si>
  <si>
    <t xml:space="preserve">basta con mi dni para hacer un tramite</t>
  </si>
  <si>
    <t xml:space="preserve">Quieres hacer un trámite y quieres saber si basta con llevar tu DNI o necesitas algo más.</t>
  </si>
  <si>
    <t xml:space="preserve">requisitos_generales</t>
  </si>
  <si>
    <t xml:space="preserve">S46</t>
  </si>
  <si>
    <t xml:space="preserve">gracias chau</t>
  </si>
  <si>
    <t xml:space="preserve">Ya conseguiste la información que necesitabas y quieres terminar la conversación. ¿Cómo te despedirías?</t>
  </si>
  <si>
    <t xml:space="preserve">despedida</t>
  </si>
  <si>
    <t xml:space="preserve">S51</t>
  </si>
  <si>
    <t xml:space="preserve">como pago mi recibo de luz</t>
  </si>
  <si>
    <t xml:space="preserve">Quieres preguntarle algo sobre otra entidad o servicio (por ejemplo, la luz, el agua, la SUNAT, RENIEC o la policía) y no sobre la municipalidad.</t>
  </si>
  <si>
    <t xml:space="preserve">fuera_de_alcance</t>
  </si>
  <si>
    <t xml:space="preserve">S56</t>
  </si>
  <si>
    <t xml:space="preserve">repite porfa no alcance a leer</t>
  </si>
  <si>
    <t xml:space="preserve">El asistente te dio una información pero no alcanzaste a leerla ni a anotarla. ¿Cómo le pedirías que te la repita?</t>
  </si>
  <si>
    <t xml:space="preserve">repetir_informacion</t>
  </si>
  <si>
    <t xml:space="preserve">S02</t>
  </si>
  <si>
    <t xml:space="preserve">cuanto cuesta la licencia pa mi tienda</t>
  </si>
  <si>
    <t xml:space="preserve">Ya sabes que necesitas un permiso de la municipalidad para tu negocio y quieres saber cuánto tendrías que pagar por él.</t>
  </si>
  <si>
    <t xml:space="preserve">licencia_funcionamiento_costo</t>
  </si>
  <si>
    <t xml:space="preserve">S07</t>
  </si>
  <si>
    <t xml:space="preserve">quiero saber si debo predial</t>
  </si>
  <si>
    <t xml:space="preserve">Quieres saber si debes impuestos por tu casa o terreno, y cuánto sería.</t>
  </si>
  <si>
    <t xml:space="preserve">consulta_deuda_predial</t>
  </si>
  <si>
    <t xml:space="preserve">S12</t>
  </si>
  <si>
    <t xml:space="preserve">como saco constancia de no adeudo</t>
  </si>
  <si>
    <t xml:space="preserve">Te piden un papel que demuestre que no tienes deudas con la municipalidad y quieres saber cómo conseguirlo.</t>
  </si>
  <si>
    <t xml:space="preserve">constancia_no_adeudo</t>
  </si>
  <si>
    <t xml:space="preserve">S17</t>
  </si>
  <si>
    <t xml:space="preserve">como saco certificado de posesion</t>
  </si>
  <si>
    <t xml:space="preserve">Vives en un terreno que no tiene título y te piden un papel de la municipalidad que diga que tú lo ocupas; quieres saber cómo se consigue.</t>
  </si>
  <si>
    <t xml:space="preserve">certificado_posesion</t>
  </si>
  <si>
    <t xml:space="preserve">S22</t>
  </si>
  <si>
    <t xml:space="preserve">hay gente sospechosa en mi cuadra a quien aviso</t>
  </si>
  <si>
    <t xml:space="preserve">En tu cuadra hay gente sospechosa y quieres avisar a alguien de la municipalidad para que intervenga.</t>
  </si>
  <si>
    <t xml:space="preserve">denuncia_seguridad_ciudadana</t>
  </si>
  <si>
    <t xml:space="preserve">S27</t>
  </si>
  <si>
    <t xml:space="preserve">Tu documento de nacimiento tiene tu apellido mal escrito y quieres saber cómo se corrige.</t>
  </si>
  <si>
    <t xml:space="preserve">rectificacion_partida</t>
  </si>
  <si>
    <t xml:space="preserve">S32</t>
  </si>
  <si>
    <t xml:space="preserve">un arbol tapa la vereda quiero q lo corten</t>
  </si>
  <si>
    <t xml:space="preserve">Un árbol de la vereda está tapando el paso y quieres que lo corten o lo recorten.</t>
  </si>
  <si>
    <t xml:space="preserve">poda_arboles</t>
  </si>
  <si>
    <t xml:space="preserve">S37</t>
  </si>
  <si>
    <t xml:space="preserve">un trabajador me atendio mal quiero reportarlo</t>
  </si>
  <si>
    <t xml:space="preserve">Un trabajador te atendió de mala manera y quieres reportarlo.</t>
  </si>
  <si>
    <t xml:space="preserve">queja_atencion</t>
  </si>
  <si>
    <t xml:space="preserve">S42</t>
  </si>
  <si>
    <t xml:space="preserve">cuanto cuestan los tramites</t>
  </si>
  <si>
    <t xml:space="preserve">Quieres saber cuánto cuestan en general los trámites de la municipalidad y dónde puedes ver la lista de precios.</t>
  </si>
  <si>
    <t xml:space="preserve">costos_generales</t>
  </si>
  <si>
    <t xml:space="preserve">S47</t>
  </si>
  <si>
    <t xml:space="preserve">gracias</t>
  </si>
  <si>
    <t xml:space="preserve">El asistente te dio justo la información que necesitabas. ¿Cómo se lo agradecerías?</t>
  </si>
  <si>
    <t xml:space="preserve">agradecimiento</t>
  </si>
  <si>
    <t xml:space="preserve">S52</t>
  </si>
  <si>
    <t xml:space="preserve">cuentame un chiste</t>
  </si>
  <si>
    <t xml:space="preserve">Quieres pedirle al asistente algo personal o fuera de lo normal (que cuente un chiste, que dé su opinión o que te haga la tarea).</t>
  </si>
  <si>
    <t xml:space="preserve">S03</t>
  </si>
  <si>
    <t xml:space="preserve">cuantos dias demora la licencia de funcionamiento</t>
  </si>
  <si>
    <t xml:space="preserve">Entregaste tus papeles para el permiso de tu negocio y quieres saber cuántos días demoran en dártelo.</t>
  </si>
  <si>
    <t xml:space="preserve">licencia_funcionamiento_plazo</t>
  </si>
  <si>
    <t xml:space="preserve">S08</t>
  </si>
  <si>
    <t xml:space="preserve">donde pago el impuesto predial</t>
  </si>
  <si>
    <t xml:space="preserve">Ya sabes que debes pagar el impuesto de tu casa y quieres saber dónde o de qué forma puedes hacerlo.</t>
  </si>
  <si>
    <t xml:space="preserve">pago_predial_como</t>
  </si>
  <si>
    <t xml:space="preserve">S13</t>
  </si>
  <si>
    <t xml:space="preserve">q tengo q llevar para presentar una solicitud</t>
  </si>
  <si>
    <t xml:space="preserve">Quieres entregar una solicitud por escrito en la municipalidad y no sabes qué tienes que llevar.</t>
  </si>
  <si>
    <t xml:space="preserve">requisitos_mesa_partes</t>
  </si>
  <si>
    <t xml:space="preserve">S18</t>
  </si>
  <si>
    <t xml:space="preserve">como saco mi constancia de domicilio</t>
  </si>
  <si>
    <t xml:space="preserve">Te piden un documento que pruebe en qué dirección vives y quieres saber cómo sacarlo en la municipalidad.</t>
  </si>
  <si>
    <t xml:space="preserve">constancia_domiciliaria</t>
  </si>
  <si>
    <t xml:space="preserve">S23</t>
  </si>
  <si>
    <t xml:space="preserve">como me comunico con serenazgo</t>
  </si>
  <si>
    <t xml:space="preserve">Necesitas comunicarte con el personal que patrulla el distrito y quieres saber cómo contactarlos.</t>
  </si>
  <si>
    <t xml:space="preserve">serenazgo_contacto</t>
  </si>
  <si>
    <t xml:space="preserve">S28</t>
  </si>
  <si>
    <t xml:space="preserve">q papeles piden para casarse por civil</t>
  </si>
  <si>
    <t xml:space="preserve">Tu pareja y tú quieren casarse por lo civil en la municipalidad y quieren saber qué papeles necesitan.</t>
  </si>
  <si>
    <t xml:space="preserve">requisitos_matrimonio_civil</t>
  </si>
  <si>
    <t xml:space="preserve">S33</t>
  </si>
  <si>
    <t xml:space="preserve">Tu cuadra tiene basura acumulada en la pista y quieres que la limpien.</t>
  </si>
  <si>
    <t xml:space="preserve">limpieza_via_publica</t>
  </si>
  <si>
    <t xml:space="preserve">S38</t>
  </si>
  <si>
    <t xml:space="preserve">tengo una idea para mejorar la atencion</t>
  </si>
  <si>
    <t xml:space="preserve">Se te ocurrió una idea para mejorar la atención de la municipalidad y quieres comunicarla.</t>
  </si>
  <si>
    <t xml:space="preserve">sugerencia</t>
  </si>
  <si>
    <t xml:space="preserve">S43</t>
  </si>
  <si>
    <t xml:space="preserve">a q numero puedo llamar a la municipalidad</t>
  </si>
  <si>
    <t xml:space="preserve">Prefieres llamar en vez de ir y quieres saber a qué número o por qué medio comunicarte con la municipalidad.</t>
  </si>
  <si>
    <t xml:space="preserve">contacto_telefonico</t>
  </si>
  <si>
    <t xml:space="preserve">S48</t>
  </si>
  <si>
    <t xml:space="preserve">si</t>
  </si>
  <si>
    <t xml:space="preserve">El asistente te pregunta si entendió bien tu consulta y la respuesta es sí. ¿Cómo responderías?</t>
  </si>
  <si>
    <t xml:space="preserve">afirmar</t>
  </si>
  <si>
    <t xml:space="preserve">S53</t>
  </si>
  <si>
    <t xml:space="preserve">quiero hablar con una persona</t>
  </si>
  <si>
    <t xml:space="preserve">Prefieres que te atienda una persona y no un programa. ¿Qué le dirías al asistente?</t>
  </si>
  <si>
    <t xml:space="preserve">hablar_con_persona</t>
  </si>
  <si>
    <t xml:space="preserve">S04</t>
  </si>
  <si>
    <t xml:space="preserve">q documentos necesito para construir un segundo piso</t>
  </si>
  <si>
    <t xml:space="preserve">Quieres construir un segundo piso en tu casa y quieres saber qué documentos tendrías que presentar antes de empezar la obra.</t>
  </si>
  <si>
    <t xml:space="preserve">licencia_edificacion_requisitos</t>
  </si>
  <si>
    <t xml:space="preserve">S09</t>
  </si>
  <si>
    <t xml:space="preserve">como pago los arbitrios</t>
  </si>
  <si>
    <t xml:space="preserve">Te llegó un cobro por el recojo de basura, la limpieza de calles y el serenazgo, y quieres saber cómo pagarlo.</t>
  </si>
  <si>
    <t xml:space="preserve">pago_arbitrios</t>
  </si>
  <si>
    <t xml:space="preserve">S14</t>
  </si>
  <si>
    <t xml:space="preserve">como va mi tramite q deje hace semanas</t>
  </si>
  <si>
    <t xml:space="preserve">Dejaste unos papeles en la municipalidad hace semanas y quieres saber cómo va tu trámite.</t>
  </si>
  <si>
    <t xml:space="preserve">estado_tramite</t>
  </si>
  <si>
    <t xml:space="preserve">S19</t>
  </si>
  <si>
    <t xml:space="preserve">como se saca el certificado de defensa civil</t>
  </si>
  <si>
    <t xml:space="preserve">Tu local necesita un certificado de seguridad para poder funcionar y quieres saber cómo se obtiene.</t>
  </si>
  <si>
    <t xml:space="preserve">certificado_defensa_civil</t>
  </si>
  <si>
    <t xml:space="preserve">S24</t>
  </si>
  <si>
    <t xml:space="preserve">como saco mi partida de nacimiento</t>
  </si>
  <si>
    <t xml:space="preserve">Te piden el documento que prueba tu fecha y lugar de nacimiento y no sabes cómo conseguirlo.</t>
  </si>
  <si>
    <t xml:space="preserve">partida_nacimiento</t>
  </si>
  <si>
    <t xml:space="preserve">S29</t>
  </si>
  <si>
    <t xml:space="preserve">a q hora pasa el camion de basura</t>
  </si>
  <si>
    <t xml:space="preserve">El camión de la basura no pasó hoy por tu calle y quieres saber a qué hora suele pasar.</t>
  </si>
  <si>
    <t xml:space="preserve">horario_recojo_basura</t>
  </si>
  <si>
    <t xml:space="preserve">S34</t>
  </si>
  <si>
    <t xml:space="preserve">quiero hacer un reclamo formal x mi tramite</t>
  </si>
  <si>
    <t xml:space="preserve">No estás conforme con cómo te resolvieron un trámite y quieres hacer un reclamo formal.</t>
  </si>
  <si>
    <t xml:space="preserve">presentar_reclamo</t>
  </si>
  <si>
    <t xml:space="preserve">S39</t>
  </si>
  <si>
    <t xml:space="preserve">a q hora abre la municipalidad</t>
  </si>
  <si>
    <t xml:space="preserve">Quieres ir a la municipalidad para cualquier gestión y quieres saber desde qué hora hasta qué hora está abierta y si abre los sábados.</t>
  </si>
  <si>
    <t xml:space="preserve">horario_atencion_general</t>
  </si>
  <si>
    <t xml:space="preserve">S44</t>
  </si>
  <si>
    <t xml:space="preserve">donde puedo seguir a la municipalidad en facebook</t>
  </si>
  <si>
    <t xml:space="preserve">Quieres enterarte de los avisos oficiales de la municipalidad y quieres saber dónde seguirla por internet.</t>
  </si>
  <si>
    <t xml:space="preserve">redes_sociales_mpsr</t>
  </si>
  <si>
    <t xml:space="preserve">S49</t>
  </si>
  <si>
    <t xml:space="preserve">no</t>
  </si>
  <si>
    <t xml:space="preserve">El asistente te ofrece algo que no es lo que estabas buscando. ¿Cómo le dirías que no?</t>
  </si>
  <si>
    <t xml:space="preserve">negar</t>
  </si>
  <si>
    <t xml:space="preserve">S54</t>
  </si>
  <si>
    <t xml:space="preserve">q puedes hacer</t>
  </si>
  <si>
    <t xml:space="preserve">No sabes para qué sirve este asistente ni qué cosas le puedes preguntar. ¿Qué le escribirías?</t>
  </si>
  <si>
    <t xml:space="preserve">ayuda_chatbot</t>
  </si>
  <si>
    <t xml:space="preserve">S05</t>
  </si>
  <si>
    <t xml:space="preserve">cuanto cobran por la licencia de construccion</t>
  </si>
  <si>
    <t xml:space="preserve">Vas a construir en tu terreno y quieres saber cuánto cobra la municipalidad por autorizar la obra.</t>
  </si>
  <si>
    <t xml:space="preserve">licencia_edificacion_costo</t>
  </si>
  <si>
    <t xml:space="preserve">S10</t>
  </si>
  <si>
    <t xml:space="preserve">compre un terreno y me dicen q hay q pagar alcabala q es eso</t>
  </si>
  <si>
    <t xml:space="preserve">Acabas de comprar un terreno y te dijeron que hay un impuesto por esa compra; quieres saber de qué trata y cómo se paga.</t>
  </si>
  <si>
    <t xml:space="preserve">impuesto_alcabala</t>
  </si>
  <si>
    <t xml:space="preserve">S15</t>
  </si>
  <si>
    <t xml:space="preserve">hasta q hora atiende mesa de partes</t>
  </si>
  <si>
    <t xml:space="preserve">Quieres ir a dejar un documento a la municipalidad y necesitas saber a qué hora y qué días puedes hacerlo.</t>
  </si>
  <si>
    <t xml:space="preserve">horario_mesa_partes</t>
  </si>
  <si>
    <t xml:space="preserve">S20</t>
  </si>
  <si>
    <t xml:space="preserve">como pido q vengan a inspeccionar mi local</t>
  </si>
  <si>
    <t xml:space="preserve">Quieres que un inspector vaya a revisar si tu local cumple las medidas de seguridad y quieres saber cómo se pide esa visita.</t>
  </si>
  <si>
    <t xml:space="preserve">inspeccion_tecnica</t>
  </si>
  <si>
    <t xml:space="preserve">S25</t>
  </si>
  <si>
    <t xml:space="preserve">perdi mi acta de matrimonio como saco otra</t>
  </si>
  <si>
    <t xml:space="preserve">Te piden un documento que pruebe que estás casado(a) y no encuentras el original.</t>
  </si>
  <si>
    <t xml:space="preserve">partida_matrimonio</t>
  </si>
  <si>
    <t xml:space="preserve">S30</t>
  </si>
  <si>
    <t xml:space="preserve">un poste de mi calle no prende como reporto</t>
  </si>
  <si>
    <t xml:space="preserve">En tu calle un poste no prende de noche y quieres avisar a la municipalidad.</t>
  </si>
  <si>
    <t xml:space="preserve">reporte_alumbrado_publico</t>
  </si>
  <si>
    <t xml:space="preserve">S35</t>
  </si>
  <si>
    <t xml:space="preserve">ya respondieron mi reclamo</t>
  </si>
  <si>
    <t xml:space="preserve">Hiciste un reclamo hace unos días y quieres saber si ya lo respondieron.</t>
  </si>
  <si>
    <t xml:space="preserve">estado_reclamo</t>
  </si>
  <si>
    <t xml:space="preserve">S40</t>
  </si>
  <si>
    <t xml:space="preserve">donde queda la municipalidad</t>
  </si>
  <si>
    <t xml:space="preserve">No conoces el local de la municipalidad y quieres saber dónde queda o cómo llegar.</t>
  </si>
  <si>
    <t xml:space="preserve">ubicacion_oficinas</t>
  </si>
  <si>
    <t xml:space="preserve">S45</t>
  </si>
  <si>
    <t xml:space="preserve">hola</t>
  </si>
  <si>
    <t xml:space="preserve">Acabas de abrir el chat del asistente de la municipalidad. ¿Cómo lo saludarías?</t>
  </si>
  <si>
    <t xml:space="preserve">saludo</t>
  </si>
  <si>
    <t xml:space="preserve">S50</t>
  </si>
  <si>
    <t xml:space="preserve">como estara el clima mañana en juliaca</t>
  </si>
  <si>
    <t xml:space="preserve">Quieres preguntarle al asistente algo que no tiene nada que ver con la municipalidad (por ejemplo, del clima, deportes, cultura general o una curiosidad).</t>
  </si>
  <si>
    <t xml:space="preserve">S55</t>
  </si>
  <si>
    <t xml:space="preserve">no entendi puedes explicar de nuevo</t>
  </si>
  <si>
    <t xml:space="preserve">El asistente te respondió algo que no entendiste. ¿Qué le dirías?</t>
  </si>
  <si>
    <t xml:space="preserve">consulta_no_entendida</t>
  </si>
  <si>
    <t xml:space="preserve">buenas tardes quisiera saber que documentos piden para sacar licencia de funcionamiento de una bodega</t>
  </si>
  <si>
    <t xml:space="preserve">como hago para renovar el permiso de mi negocio que ya caduco</t>
  </si>
  <si>
    <t xml:space="preserve">debo varios años de predial y no puedo pagar todo junto hay facilidades</t>
  </si>
  <si>
    <t xml:space="preserve">necesito una copia sellada de un documento q presente antes</t>
  </si>
  <si>
    <t xml:space="preserve">q piden en defensa civil extintor planos q mas</t>
  </si>
  <si>
    <t xml:space="preserve">como saco la partida de defuncion de un familiar</t>
  </si>
  <si>
    <t xml:space="preserve">como pido mantenimiento para el parque de mi barrio</t>
  </si>
  <si>
    <t xml:space="preserve">quiero dejar mi queja en el libro de reclamos como se usa</t>
  </si>
  <si>
    <t xml:space="preserve">para un tramite solo llevo dni o necesito algo mas</t>
  </si>
  <si>
    <t xml:space="preserve">ok muchas gracias hasta luego</t>
  </si>
  <si>
    <t xml:space="preserve">como saco mi dni en reniec</t>
  </si>
  <si>
    <t xml:space="preserve">me puedes repetir la informacion no la anote</t>
  </si>
  <si>
    <t xml:space="preserve">cuanto se paga por la licencia de funcionamiento</t>
  </si>
  <si>
    <t xml:space="preserve">como puedo ver cuanto debo de impuesto predial de mi casa</t>
  </si>
  <si>
    <t xml:space="preserve">me piden un papel q diga q no debo nada a la muni como lo consigo</t>
  </si>
  <si>
    <t xml:space="preserve">vivo en un terreno sin titulo y me piden un certificado de posesion como se tramita</t>
  </si>
  <si>
    <t xml:space="preserve">quiero denunciar personas raras q rondan mi calle</t>
  </si>
  <si>
    <t xml:space="preserve">como se rectifica una partida de nacimiento con error en apellido</t>
  </si>
  <si>
    <t xml:space="preserve">como solicito poda de un arbol q bloquea el paso</t>
  </si>
  <si>
    <t xml:space="preserve">me trataron mal en la muni donde pongo mi queja</t>
  </si>
  <si>
    <t xml:space="preserve">donde veo la lista de precios de los tramites de la muni</t>
  </si>
  <si>
    <t xml:space="preserve">muchas gracias por la informacion</t>
  </si>
  <si>
    <t xml:space="preserve">hazme mi tarea de matematicas</t>
  </si>
  <si>
    <t xml:space="preserve">ya entregue mis documentos y cuanto tiempo se demoran en darme el permiso</t>
  </si>
  <si>
    <t xml:space="preserve">como puedo pagar mi predial desde mi celular o tengo q ir a la muni</t>
  </si>
  <si>
    <t xml:space="preserve">quiero entregar un documento a mesa de partes que necesito</t>
  </si>
  <si>
    <t xml:space="preserve">me piden un documento q pruebe donde vivo q hago</t>
  </si>
  <si>
    <t xml:space="preserve">q numero de serenazgo hay</t>
  </si>
  <si>
    <t xml:space="preserve">mi pareja y yo queremos casarnos q requisitos hay</t>
  </si>
  <si>
    <t xml:space="preserve">quiero q limpien la basura de mi cuadra</t>
  </si>
  <si>
    <t xml:space="preserve">quisiera sugerir q pongan mas ventanillas para atender mas rapido</t>
  </si>
  <si>
    <t xml:space="preserve">prefiero llamar x telefono como me comunico con la muni</t>
  </si>
  <si>
    <t xml:space="preserve">si asi es</t>
  </si>
  <si>
    <t xml:space="preserve">prefiero q me atienda alguien no un robot</t>
  </si>
  <si>
    <t xml:space="preserve">quiero hacer el segundo piso de mi casa que tengo q presentar</t>
  </si>
  <si>
    <t xml:space="preserve">me llego un cobro de limpieza y serenazgo donde lo pago</t>
  </si>
  <si>
    <t xml:space="preserve">quiero saber en q estado esta mi expediente</t>
  </si>
  <si>
    <t xml:space="preserve">mi local necesita certificado de seguridad como lo obtengo</t>
  </si>
  <si>
    <t xml:space="preserve">me piden partida de nacimiento y no se donde sacarla</t>
  </si>
  <si>
    <t xml:space="preserve">hoy no paso el carro de la basura por mi calle a q hora suele pasar</t>
  </si>
  <si>
    <t xml:space="preserve">no estoy conforme como me resolvieron mi tramite como reclamo</t>
  </si>
  <si>
    <t xml:space="preserve">q horario de atencion tiene la muni y abren los sabados</t>
  </si>
  <si>
    <t xml:space="preserve">tienen redes sociales para ver los avisos oficiales</t>
  </si>
  <si>
    <t xml:space="preserve">no eso no queria</t>
  </si>
  <si>
    <t xml:space="preserve">para q sirve este asistente</t>
  </si>
  <si>
    <t xml:space="preserve">cuanto cuesta el permiso para construir en mi terreno</t>
  </si>
  <si>
    <t xml:space="preserve">que es la alcabala y cuanto se paga</t>
  </si>
  <si>
    <t xml:space="preserve">q dias y horas puedo ir a dejar un documento</t>
  </si>
  <si>
    <t xml:space="preserve">quiero una inspeccion tecnica de seguridad para mi negocio como se solicita</t>
  </si>
  <si>
    <t xml:space="preserve">me piden partida de matrimonio y no encuentro el original</t>
  </si>
  <si>
    <t xml:space="preserve">quiero avisar q en mi calle no hay luz en los postes</t>
  </si>
  <si>
    <t xml:space="preserve">hice un reclamo hace unos dias y quiero saber si ya hay respuesta</t>
  </si>
  <si>
    <t xml:space="preserve">como llego a la muni provincial de san roman</t>
  </si>
  <si>
    <t xml:space="preserve">buenas tardes</t>
  </si>
  <si>
    <t xml:space="preserve">quien gano el partido de ayer</t>
  </si>
  <si>
    <t xml:space="preserve">no te entiendo dime mas facil</t>
  </si>
  <si>
    <t xml:space="preserve">q requisitos piden pa poner una tiendita</t>
  </si>
  <si>
    <t xml:space="preserve">se me vencio la licencia de funcionamiento q hago</t>
  </si>
  <si>
    <t xml:space="preserve">hay fraccionamiento de deudas?</t>
  </si>
  <si>
    <t xml:space="preserve">como pido copia de mi cargo de un tramite</t>
  </si>
  <si>
    <t xml:space="preserve">requisitos para inspeccion de defensa civil</t>
  </si>
  <si>
    <t xml:space="preserve">q requisitos piden para el acta de defuncion</t>
  </si>
  <si>
    <t xml:space="preserve">el parque cerca de mi casa esta descuidado a donde reclamo</t>
  </si>
  <si>
    <t xml:space="preserve">como uso el libro de reclamaciones de la muni</t>
  </si>
  <si>
    <t xml:space="preserve">q piden para hacer cualquier tramite</t>
  </si>
  <si>
    <t xml:space="preserve">listo eso era todo adios</t>
  </si>
  <si>
    <t xml:space="preserve">donde reclamo x el agua q no llega</t>
  </si>
  <si>
    <t xml:space="preserve">otra vez lo q dijiste</t>
  </si>
  <si>
    <t xml:space="preserve">hola cuanto es el costo del permiso para mi negocio</t>
  </si>
  <si>
    <t xml:space="preserve">tengo deuda de mi terreno en la muni? cuanto seria</t>
  </si>
  <si>
    <t xml:space="preserve">q necesito para la constancia de no adeudo</t>
  </si>
  <si>
    <t xml:space="preserve">requisitos para constancia de posesion</t>
  </si>
  <si>
    <t xml:space="preserve">como aviso a serenazgo q hay gente sospechosa</t>
  </si>
  <si>
    <t xml:space="preserve">q tramite hay q hacer para corregir un apellido en la partida</t>
  </si>
  <si>
    <t xml:space="preserve">hay un arbol grande en mi vereda q estorba q hago</t>
  </si>
  <si>
    <t xml:space="preserve">como denuncio a un empleado q fue grosero conmigo</t>
  </si>
  <si>
    <t xml:space="preserve">hay un tarifario de la municipalidad</t>
  </si>
  <si>
    <t xml:space="preserve">mil gracias me ayudo bastante</t>
  </si>
  <si>
    <t xml:space="preserve">dime tu opinion sobre mi futuro jaja</t>
  </si>
  <si>
    <t xml:space="preserve">en cuanto tiempo me dan mi licencia</t>
  </si>
  <si>
    <t xml:space="preserve">q formas de pago hay para el predial</t>
  </si>
  <si>
    <t xml:space="preserve">como presento una solicitud por escrito</t>
  </si>
  <si>
    <t xml:space="preserve">donde se saca la constancia domiciliaria</t>
  </si>
  <si>
    <t xml:space="preserve">como llamo al serenazgo de juliaca</t>
  </si>
  <si>
    <t xml:space="preserve">requisitos matrimonio civil en la muni</t>
  </si>
  <si>
    <t xml:space="preserve">como pido limpieza de calle</t>
  </si>
  <si>
    <t xml:space="preserve">como envio una sugerencia a la municipalidad</t>
  </si>
  <si>
    <t xml:space="preserve">tienen telefono o whatsapp para consultas</t>
  </si>
  <si>
    <t xml:space="preserve">correcto</t>
  </si>
  <si>
    <t xml:space="preserve">me puede atender una persona real</t>
  </si>
  <si>
    <t xml:space="preserve">requisitos para licencia de construccion</t>
  </si>
  <si>
    <t xml:space="preserve">donde puedo pagar arbitrios municipales</t>
  </si>
  <si>
    <t xml:space="preserve">deje unos papeles hace tiempo y no me dicen nada como consulto</t>
  </si>
  <si>
    <t xml:space="preserve">q hay q hacer para tener el itse</t>
  </si>
  <si>
    <t xml:space="preserve">donde se tramita el acta de nacimiento</t>
  </si>
  <si>
    <t xml:space="preserve">horario del recojo de basura</t>
  </si>
  <si>
    <t xml:space="preserve">como presento un reclamo</t>
  </si>
  <si>
    <t xml:space="preserve">horario de atencion</t>
  </si>
  <si>
    <t xml:space="preserve">como me entero de los comunicados de la muni</t>
  </si>
  <si>
    <t xml:space="preserve">no gracias</t>
  </si>
  <si>
    <t xml:space="preserve">hola q cosas puedo preguntarte</t>
  </si>
  <si>
    <t xml:space="preserve">cuanto tengo q pagar a la muni para construir mi casa</t>
  </si>
  <si>
    <t xml:space="preserve">horario de mesa de partes</t>
  </si>
  <si>
    <t xml:space="preserve">como se pide la visita del inspector</t>
  </si>
  <si>
    <t xml:space="preserve">como pido copia del acta de matrimonio</t>
  </si>
  <si>
    <t xml:space="preserve">como reporto alumbrado publico malogrado</t>
  </si>
  <si>
    <t xml:space="preserve">como veo el estado de mi reclamo</t>
  </si>
  <si>
    <t xml:space="preserve">direccion de la municipalidad</t>
  </si>
  <si>
    <t xml:space="preserve">hola buen dia</t>
  </si>
  <si>
    <t xml:space="preserve">cual es la capital de bolivia</t>
  </si>
  <si>
    <t xml:space="preserve">q quieres decir con eso</t>
  </si>
  <si>
    <t xml:space="preserve">para abrir mi negocio q tengo q llevar a la muni</t>
  </si>
  <si>
    <t xml:space="preserve">quiero renovar mi licencia q requisitos hay</t>
  </si>
  <si>
    <t xml:space="preserve">buenas quisiera pagar mi deuda poco a poco se puede</t>
  </si>
  <si>
    <t xml:space="preserve">buenas ya no tengo mi copia sellada puedo pedir otra</t>
  </si>
  <si>
    <t xml:space="preserve">hola q necesito tener en mi local para la inspeccion de seguridad</t>
  </si>
  <si>
    <t xml:space="preserve">buenas fallecio mi abuelita y necesito el documento para hacer tramites</t>
  </si>
  <si>
    <t xml:space="preserve">buenas los juegos del parque estan rotos pueden arreglarlos</t>
  </si>
  <si>
    <t xml:space="preserve">buenas donde puedo encontrar el libro de reclamos</t>
  </si>
  <si>
    <t xml:space="preserve">buenas con dni nomas puedo hacer mi tramite</t>
  </si>
  <si>
    <t xml:space="preserve">chau</t>
  </si>
  <si>
    <t xml:space="preserve">como declaro mis impuestos en la sunat</t>
  </si>
  <si>
    <t xml:space="preserve">puedes volver a enviarme la info</t>
  </si>
  <si>
    <t xml:space="preserve">cuanto cobran por sacar licencia de funcionamiento de un restaurant pequeño</t>
  </si>
  <si>
    <t xml:space="preserve">buenas quisiera consultar si tengo deudas de autoavaluo</t>
  </si>
  <si>
    <t xml:space="preserve">hola donde se tramita la constancia de no tener deudas</t>
  </si>
  <si>
    <t xml:space="preserve">hola q necesito para q la muni me de un papel de q yo ocupo mi terreno</t>
  </si>
  <si>
    <t xml:space="preserve">buenas hay personas sospechosas cerca de mi casa q hago</t>
  </si>
  <si>
    <t xml:space="preserve">hola mi acta de nacimiento esta con error en el apellido q hago</t>
  </si>
  <si>
    <t xml:space="preserve">hola necesito q recorten un arbol de la vereda</t>
  </si>
  <si>
    <t xml:space="preserve">hola quiero quejarme de un servidor q me atendio de mala manera</t>
  </si>
  <si>
    <t xml:space="preserve">hola cuanto se paga en general por los tramites</t>
  </si>
  <si>
    <t xml:space="preserve">gracias por responderme</t>
  </si>
  <si>
    <t xml:space="preserve">puedes decirme un chiste de juliaca</t>
  </si>
  <si>
    <t xml:space="preserve">buenas cuantos dias tarda para q me entreguen la licencia de mi negocio</t>
  </si>
  <si>
    <t xml:space="preserve">buenas q requisitos hay para presentar un escrito en la muni</t>
  </si>
  <si>
    <t xml:space="preserve">buenas q requisitos hay para certificado de domicilio</t>
  </si>
  <si>
    <t xml:space="preserve">hola necesito contactar con serenazgo por donde puedo</t>
  </si>
  <si>
    <t xml:space="preserve">hola q necesitamos para el matrimonio civil</t>
  </si>
  <si>
    <t xml:space="preserve">buenas mi calle esta llena de basura quien la recoge</t>
  </si>
  <si>
    <t xml:space="preserve">buenas quiero dar una sugerencia sobre la atencion</t>
  </si>
  <si>
    <t xml:space="preserve">buenas cual es el numero de la municipalidad</t>
  </si>
  <si>
    <t xml:space="preserve">ajá si</t>
  </si>
  <si>
    <t xml:space="preserve">pasame con un asesor</t>
  </si>
  <si>
    <t xml:space="preserve">buenas q papeles piden para empezar a construir mi 2do piso</t>
  </si>
  <si>
    <t xml:space="preserve">buenas como pago el recojo de basura y serenazgo q me llego</t>
  </si>
  <si>
    <t xml:space="preserve">buenas como puedo hacer seguimiento a mi tramite</t>
  </si>
  <si>
    <t xml:space="preserve">hola para q funcione mi negocio piden defensa civil como se tramita</t>
  </si>
  <si>
    <t xml:space="preserve">buenas q requisitos para partida de nacimiento</t>
  </si>
  <si>
    <t xml:space="preserve">buenas el camion no paso hoy cuando pasa</t>
  </si>
  <si>
    <t xml:space="preserve">buenas quiero reclamar x la atencion de mi expediente</t>
  </si>
  <si>
    <t xml:space="preserve">buenas desde q hora hasta q hora atienden</t>
  </si>
  <si>
    <t xml:space="preserve">hola cual es la pagina de facebook de la municipalidad</t>
  </si>
  <si>
    <t xml:space="preserve">no es lo q busco</t>
  </si>
  <si>
    <t xml:space="preserve">en q me puedes ayudar</t>
  </si>
  <si>
    <t xml:space="preserve">hola acabo de comprar un lote y debo pagar un impuesto como es</t>
  </si>
  <si>
    <t xml:space="preserve">hola mesa de partes abre los sabados</t>
  </si>
  <si>
    <t xml:space="preserve">buenas como solicito q un inspector revise mi local</t>
  </si>
  <si>
    <t xml:space="preserve">hola donde saco una nueva partida de matrimonio</t>
  </si>
  <si>
    <t xml:space="preserve">hola mi cuadra esta oscura x q un poste no funciona a quien aviso</t>
  </si>
  <si>
    <t xml:space="preserve">hola mi reclamo ya fue atendido</t>
  </si>
  <si>
    <t xml:space="preserve">hola no conozco el local de la muni donde esta</t>
  </si>
  <si>
    <t xml:space="preserve">buenas</t>
  </si>
  <si>
    <t xml:space="preserve">q hace frio hoy no? va a llover</t>
  </si>
  <si>
    <t xml:space="preserve">no comprendo la respuesta</t>
  </si>
  <si>
    <t xml:space="preserve">que papeles me piden para la licencia de mi tienda en juliaca</t>
  </si>
  <si>
    <t xml:space="preserve">buenas mi licencia esta vencida como la activo otra vez</t>
  </si>
  <si>
    <t xml:space="preserve">donde saco una copia fedateada de lo q presente</t>
  </si>
  <si>
    <t xml:space="preserve">que equipos de seguridad piden pa un local</t>
  </si>
  <si>
    <t xml:space="preserve">donde se saca el certificado de defuncion</t>
  </si>
  <si>
    <t xml:space="preserve">quiero solicitar q arreglen el parque</t>
  </si>
  <si>
    <t xml:space="preserve">libro de reclamos donde queda</t>
  </si>
  <si>
    <t xml:space="preserve">q documentos basicos debo llevar</t>
  </si>
  <si>
    <t xml:space="preserve">bueno gracias q tenga buen dia</t>
  </si>
  <si>
    <t xml:space="preserve">a donde denuncio un robo en la policia</t>
  </si>
  <si>
    <t xml:space="preserve">no alcance a anotar repitelo por favor</t>
  </si>
  <si>
    <t xml:space="preserve">precio de la licencia de funcionamiento</t>
  </si>
  <si>
    <t xml:space="preserve">cuanto debo de predial</t>
  </si>
  <si>
    <t xml:space="preserve">constancia de no adeudo municipal requisitos y costo</t>
  </si>
  <si>
    <t xml:space="preserve">donde tramito el certificado de posesion</t>
  </si>
  <si>
    <t xml:space="preserve">rectificacion de partida requisitos</t>
  </si>
  <si>
    <t xml:space="preserve">poda de arboles como se pide</t>
  </si>
  <si>
    <t xml:space="preserve">mala atencion de un trabajador a quien aviso</t>
  </si>
  <si>
    <t xml:space="preserve">quiero ver los costos de todos los tramites</t>
  </si>
  <si>
    <t xml:space="preserve">ok grasias</t>
  </si>
  <si>
    <t xml:space="preserve">ayudame a resolver mi tarea de historia</t>
  </si>
  <si>
    <t xml:space="preserve">cuando estara lista mi licencia ya presente todo</t>
  </si>
  <si>
    <t xml:space="preserve">puedo pagar mi predial en el banco o solo en la municipalidad</t>
  </si>
  <si>
    <t xml:space="preserve">para hacer una solicitud q debo llevar</t>
  </si>
  <si>
    <t xml:space="preserve">necesito constancia de domicilio como la tramito en la muni</t>
  </si>
  <si>
    <t xml:space="preserve">tienen whatsapp serenazgo</t>
  </si>
  <si>
    <t xml:space="preserve">q documentos tenemos q llevar mi novia y yo para casarnos</t>
  </si>
  <si>
    <t xml:space="preserve">reporte de basura acumulada en la via</t>
  </si>
  <si>
    <t xml:space="preserve">se me ocurrio algo para mejorar el servicio donde lo digo</t>
  </si>
  <si>
    <t xml:space="preserve">por q medio me puedo comunicar sin ir hasta alla</t>
  </si>
  <si>
    <t xml:space="preserve">sip</t>
  </si>
  <si>
    <t xml:space="preserve">no quiero hablar con un programa quiero una persona</t>
  </si>
  <si>
    <t xml:space="preserve">para ampliar mi casa q documentos debo llevar a la municipalidad</t>
  </si>
  <si>
    <t xml:space="preserve">quiero pagar mis arbitrios como se hace</t>
  </si>
  <si>
    <t xml:space="preserve">ya esta listo mi tramite</t>
  </si>
  <si>
    <t xml:space="preserve">certificado de seguridad en edificaciones como lo saco</t>
  </si>
  <si>
    <t xml:space="preserve">necesito mi partida de nacimiento como la consigo</t>
  </si>
  <si>
    <t xml:space="preserve">q dias y a q hora pasa el recolector por mi zona</t>
  </si>
  <si>
    <t xml:space="preserve">donde hago mi reclamo si no me resolvieron bien</t>
  </si>
  <si>
    <t xml:space="preserve">la municipalidad abre sabado?</t>
  </si>
  <si>
    <t xml:space="preserve">donde veo los avisos de la muni por internet</t>
  </si>
  <si>
    <t xml:space="preserve">nop otra cosa</t>
  </si>
  <si>
    <t xml:space="preserve">ayuda q puedo consultar aqui</t>
  </si>
  <si>
    <t xml:space="preserve">cuanto me cobran para autorizar la construccion de mi terreno</t>
  </si>
  <si>
    <t xml:space="preserve">alcabala como se paga</t>
  </si>
  <si>
    <t xml:space="preserve">a q hora puedo ir a dejar mis papeles</t>
  </si>
  <si>
    <t xml:space="preserve">q tengo q hacer para q vengan a revisar mi tienda</t>
  </si>
  <si>
    <t xml:space="preserve">q hago si no tengo mi partida de matrimonio</t>
  </si>
  <si>
    <t xml:space="preserve">reporte de poste apagado</t>
  </si>
  <si>
    <t xml:space="preserve">quiero saber si ya me contestaron el reclamo q puse</t>
  </si>
  <si>
    <t xml:space="preserve">en q calle queda la municipalidad de juliaca</t>
  </si>
  <si>
    <t xml:space="preserve">hola q tal</t>
  </si>
  <si>
    <t xml:space="preserve">cuantos habitantes tiene puno</t>
  </si>
  <si>
    <t xml:space="preserve">explicame otra vez no entendi nada</t>
  </si>
  <si>
    <t xml:space="preserve">SIMULADO — Resumen de la transcripción del lote 1 (datos de prueba)</t>
  </si>
  <si>
    <t xml:space="preserve">Todo son fórmulas sobre las demás pestañas. «Listo para la Parte B» exige el mínimo de participantes transcritos y que cada intención tenga al menos el mínimo de frases.</t>
  </si>
  <si>
    <t xml:space="preserve">Participantes</t>
  </si>
  <si>
    <t xml:space="preserve">Pendientes</t>
  </si>
  <si>
    <t xml:space="preserve">Aplicados (falta transcribir)</t>
  </si>
  <si>
    <t xml:space="preserve">Transcritos</t>
  </si>
  <si>
    <t xml:space="preserve">Transcritos sin consentimiento «Sí»</t>
  </si>
  <si>
    <t xml:space="preserve">Debe ser 0: sin consentimiento firmado no se usa la hoja.</t>
  </si>
  <si>
    <t xml:space="preserve">Mínimo de participantes transcritos</t>
  </si>
  <si>
    <t xml:space="preserve">Faltan</t>
  </si>
  <si>
    <t xml:space="preserve">Frases</t>
  </si>
  <si>
    <t xml:space="preserve">Frases con alerta (muy cortas o posible dato personal)</t>
  </si>
  <si>
    <t xml:space="preserve">Revísalas antes de pasarle el archivo a Claude Code.</t>
  </si>
  <si>
    <t xml:space="preserve">Cobertura por intención</t>
  </si>
  <si>
    <t xml:space="preserve">Intenciones con la meta cumplida</t>
  </si>
  <si>
    <t xml:space="preserve">Intenciones en el mínimo (por debajo de la meta)</t>
  </si>
  <si>
    <t xml:space="preserve">Intenciones por debajo del mínimo</t>
  </si>
  <si>
    <t xml:space="preserve">La Parte B se detiene si este valor es mayor que 0.</t>
  </si>
  <si>
    <t xml:space="preserve">Frases en la intención con menos</t>
  </si>
  <si>
    <t xml:space="preserve">Estado general</t>
  </si>
  <si>
    <t xml:space="preserve">Transcritos por formulario</t>
  </si>
  <si>
    <t xml:space="preserve">Formulario A</t>
  </si>
  <si>
    <t xml:space="preserve">Formulario B</t>
  </si>
  <si>
    <t xml:space="preserve">Formulario C</t>
  </si>
  <si>
    <t xml:space="preserve">Formulario D</t>
  </si>
  <si>
    <t xml:space="preserve">Formulario E</t>
  </si>
  <si>
    <t xml:space="preserve">SIMULADO — Cobertura por intención (frases de prueba; no son reales)</t>
  </si>
  <si>
    <t xml:space="preserve">Frases ya transcritas por intención frente a la meta y al mínimo (hoja Parametros). Úsala para decidir a quién reclutar: las intenciones en rojo o ámbar son las que faltan. fuera_de_alcance tiene 3 situaciones, por eso suma más frases.</t>
  </si>
  <si>
    <t xml:space="preserve">Intención</t>
  </si>
  <si>
    <t xml:space="preserve">Categoría</t>
  </si>
  <si>
    <t xml:space="preserve">Situaciones</t>
  </si>
  <si>
    <t xml:space="preserve">Meta</t>
  </si>
  <si>
    <t xml:space="preserve">Faltan para la meta</t>
  </si>
  <si>
    <t xml:space="preserve">Licencias y autorizaciones</t>
  </si>
  <si>
    <t xml:space="preserve">Tributos y pagos municipales</t>
  </si>
  <si>
    <t xml:space="preserve">Trámites documentarios</t>
  </si>
  <si>
    <t xml:space="preserve">Defensa civil y seguridad ciudadana</t>
  </si>
  <si>
    <t xml:space="preserve">Registro civil</t>
  </si>
  <si>
    <t xml:space="preserve">Servicios públicos</t>
  </si>
  <si>
    <t xml:space="preserve">Reclamos y quejas</t>
  </si>
  <si>
    <t xml:space="preserve">Información general</t>
  </si>
  <si>
    <t xml:space="preserve">Interacción conversacional</t>
  </si>
  <si>
    <t xml:space="preserve">SIMULADO — Frases por situación (datos de prueba)</t>
  </si>
  <si>
    <t xml:space="preserve">Catálogo de las 56 situaciones (situaciones_lote1_v1.csv, valores fijos) y cuántas frases hay ya transcritas de cada una. Todo se calcula solo a partir de la pestaña Respuestas.</t>
  </si>
  <si>
    <t xml:space="preserve">Intención esperada</t>
  </si>
  <si>
    <t xml:space="preserve">Situación</t>
  </si>
  <si>
    <t xml:space="preserve">Personas asignadas</t>
  </si>
  <si>
    <t xml:space="preserve">Parámetros y listas</t>
  </si>
  <si>
    <t xml:space="preserve">Celdas amarillas = valores editables.</t>
  </si>
  <si>
    <t xml:space="preserve">Parámetro</t>
  </si>
  <si>
    <t xml:space="preserve">Valor</t>
  </si>
  <si>
    <t xml:space="preserve">Fuente / criterio</t>
  </si>
  <si>
    <t xml:space="preserve">Rango de edad</t>
  </si>
  <si>
    <t xml:space="preserve">Sí / No</t>
  </si>
  <si>
    <t xml:space="preserve">Intenciones cortas permitidas</t>
  </si>
  <si>
    <t xml:space="preserve">Meta de frases reales por intención</t>
  </si>
  <si>
    <t xml:space="preserve">20 personas ÷ 5 formularios = 4 respuestas por situación (guía de aplicación del lote 1).</t>
  </si>
  <si>
    <t xml:space="preserve">Pendiente</t>
  </si>
  <si>
    <t xml:space="preserve">Mínimo de frases reales por intención</t>
  </si>
  <si>
    <t xml:space="preserve">La Parte B se detiene si alguna intención queda con menos de 3 frases (Instrucciones_ClaudeCode_lote_real_v2.md, paso B1).</t>
  </si>
  <si>
    <t xml:space="preserve">Aplicado</t>
  </si>
  <si>
    <t xml:space="preserve">Mínimo indicado en la guía de aplicación del lote 1 (ideal 20 a 25).</t>
  </si>
  <si>
    <t xml:space="preserve">Notas de uso</t>
  </si>
  <si>
    <t xml:space="preserve">Cómo usar</t>
  </si>
  <si>
    <t xml:space="preserve">1. Cada persona que responde un formulario recibe un código (P01 a P25). Anota en Participantes su rango de edad, si vive en Juliaca, si hizo un trámite en los últimos 12 meses, el consentimiento firmado y la fecha.</t>
  </si>
  <si>
    <t xml:space="preserve">2. Pasa las respuestas a la pestaña Respuestas, fila por fila: cada persona tiene ya sus situaciones (las de su formulario) en el mismo orden en que aparecen impresas. Copia la frase tal cual; si la dejó en blanco, deja la celda vacía.</t>
  </si>
  <si>
    <t xml:space="preserve">3. Cuando termines con una persona, cambia su Estado a «Transcrito». El Resumen y Cobertura se actualizan solos.</t>
  </si>
  <si>
    <t xml:space="preserve">4. Mira Cobertura: las intenciones en rojo o ámbar necesitan más frases. Si faltan, aplica el formulario correspondiente a otra persona (P21 a P25 son la reserva).</t>
  </si>
  <si>
    <t xml:space="preserve">5. Cuando el Resumen diga «Listo para la Parte B», guarda el archivo desde Excel y entrégaselo a Claude Code. No hace falta exportar a CSV: Claude Code lee las pestañas Participantes y Respuestas.</t>
  </si>
  <si>
    <t xml:space="preserve">Reglas</t>
  </si>
  <si>
    <t xml:space="preserve">• Las frases las escriben los participantes. Aquí solo se transcriben: sin corregir, sin completar y sin generarlas con IA.</t>
  </si>
  <si>
    <t xml:space="preserve">• No uses nombres, DNI ni teléfonos. Si aparecieran en la hoja original, bórralos al transcribir.</t>
  </si>
  <si>
    <t xml:space="preserve">• No cambies el formulario asignado ni las columnas A–C de Respuestas. Esas filas están ligadas a la rotación A–E.</t>
  </si>
  <si>
    <t xml:space="preserve">• El archivo lleno contiene respuestas de personas reales: se guarda fuera del repositorio (docs/lote_real_1/privado/). Al repositorio solo van los CSV validados.</t>
  </si>
  <si>
    <t xml:space="preserve">• La intención esperada de cada frase es provisional: sale de la situación y se revisa frase por frase en la Parte B.</t>
  </si>
  <si>
    <t xml:space="preserve">Fuentes</t>
  </si>
  <si>
    <t xml:space="preserve">• Catálogo de situaciones: situaciones_lote1_v1.csv (56 situaciones, 54 intenciones). Rotación y mínimos: guía de aplicación del lote 1 (Lote1_Formularios_lenguaje_real_v2).</t>
  </si>
  <si>
    <t xml:space="preserve">• Colores: azul = valor escrito a mano o dato fijo; negro = fórmula; verde = vínculo a otra hoja.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</si>
</sst>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General"/>
  </numFmts>
  <fonts count="12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sz val="9"/>
      <color rgb="FF595959"/>
      <name val="Arial"/>
      <family val="0"/>
      <charset val="1"/>
    </font>
    <font>
      <sz val="11"/>
      <color theme="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404040"/>
        <bgColor rgb="FF333300"/>
      </patternFill>
    </fill>
    <fill>
      <patternFill patternType="solid">
        <fgColor rgb="FFFFF2CC"/>
        <bgColor rgb="FFFFEB9C"/>
      </patternFill>
    </fill>
    <fill>
      <patternFill patternType="solid">
        <fgColor rgb="FFD9D9D9"/>
        <bgColor rgb="FFC6EF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 patternType="solid">
          <fgColor rgb="FF40404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 patternType="solid">
          <fgColor rgb="FF008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8"/>
    <col collapsed="false" customWidth="true" hidden="false" outlineLevel="0" max="4" min="3" style="1" width="12"/>
    <col collapsed="false" customWidth="true" hidden="false" outlineLevel="0" max="5" min="5" style="1" width="13"/>
    <col collapsed="false" customWidth="true" hidden="false" outlineLevel="0" max="6" min="6" style="1" width="12"/>
    <col collapsed="false" customWidth="true" hidden="false" outlineLevel="0" max="7" min="7" style="1" width="14"/>
    <col collapsed="false" customWidth="true" hidden="false" outlineLevel="0" max="8" min="8" style="1" width="13"/>
    <col collapsed="false" customWidth="true" hidden="false" outlineLevel="0" max="9" min="9" style="1" width="14"/>
    <col collapsed="false" customWidth="true" hidden="false" outlineLevel="0" max="10" min="10" style="1" width="12"/>
    <col collapsed="false" customWidth="true" hidden="false" outlineLevel="0" max="11" min="11" style="1" width="10"/>
    <col collapsed="false" customWidth="true" hidden="false" outlineLevel="0" max="12" min="12" style="1" width="22"/>
    <col collapsed="false" customWidth="true" hidden="false" outlineLevel="0" max="13" min="13" style="1" width="34"/>
  </cols>
  <sheetData>
    <row r="1" customFormat="false" ht="17.25" hidden="false" customHeight="true" outlineLevel="0" collapsed="false">
      <c r="A1" s="2" t="s">
        <v>0</v>
      </c>
    </row>
    <row r="2" customFormat="false" ht="30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customFormat="false" ht="43.5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</row>
    <row r="4" customFormat="false" ht="15" hidden="false" customHeight="true" outlineLevel="0" collapsed="false">
      <c r="A4" s="5" t="s">
        <v>15</v>
      </c>
      <c r="B4" s="5" t="s">
        <v>16</v>
      </c>
      <c r="C4" s="6" t="s">
        <v>17</v>
      </c>
      <c r="D4" s="6" t="s">
        <v>18</v>
      </c>
      <c r="E4" s="6" t="s">
        <v>19</v>
      </c>
      <c r="F4" s="6" t="s">
        <v>19</v>
      </c>
      <c r="G4" s="6" t="s">
        <v>19</v>
      </c>
      <c r="H4" s="7" t="n">
        <v>46298</v>
      </c>
      <c r="I4" s="8" t="n">
        <f aca="false">COUNTIF(Respuestas!$A$4:$A$283,A4)</f>
        <v>12</v>
      </c>
      <c r="J4" s="8" t="n">
        <f aca="false">SUMPRODUCT((Respuestas!$A$4:$A$283=A4)*(LEN(TRIM(Respuestas!$D$4:$D$283))&gt;0))</f>
        <v>12</v>
      </c>
      <c r="K4" s="9" t="n">
        <f aca="false">IF(C4="Transcrito",I4-J4,"")</f>
        <v>0</v>
      </c>
      <c r="L4" s="10" t="str">
        <f aca="false">IF(AND(C4="Transcrito",G4&lt;&gt;"Sí"),"Falta consentimiento",IF(AND(C4="Transcrito",J4=0),"Sin frases",IF(AND(C4="Transcrito",D4=""),"Falta rango de edad","")))</f>
        <v/>
      </c>
      <c r="M4" s="11" t="s">
        <v>20</v>
      </c>
    </row>
    <row r="5" customFormat="false" ht="15" hidden="false" customHeight="true" outlineLevel="0" collapsed="false">
      <c r="A5" s="5" t="s">
        <v>21</v>
      </c>
      <c r="B5" s="5" t="s">
        <v>22</v>
      </c>
      <c r="C5" s="6" t="s">
        <v>17</v>
      </c>
      <c r="D5" s="6" t="s">
        <v>23</v>
      </c>
      <c r="E5" s="6" t="s">
        <v>19</v>
      </c>
      <c r="F5" s="6" t="s">
        <v>19</v>
      </c>
      <c r="G5" s="6" t="s">
        <v>19</v>
      </c>
      <c r="H5" s="7" t="n">
        <v>46298</v>
      </c>
      <c r="I5" s="8" t="n">
        <f aca="false">COUNTIF(Respuestas!$A$4:$A$283,A5)</f>
        <v>11</v>
      </c>
      <c r="J5" s="8" t="n">
        <f aca="false">SUMPRODUCT((Respuestas!$A$4:$A$283=A5)*(LEN(TRIM(Respuestas!$D$4:$D$283))&gt;0))</f>
        <v>10</v>
      </c>
      <c r="K5" s="9" t="n">
        <f aca="false">IF(C5="Transcrito",I5-J5,"")</f>
        <v>1</v>
      </c>
      <c r="L5" s="10" t="str">
        <f aca="false">IF(AND(C5="Transcrito",G5&lt;&gt;"Sí"),"Falta consentimiento",IF(AND(C5="Transcrito",J5=0),"Sin frases",IF(AND(C5="Transcrito",D5=""),"Falta rango de edad","")))</f>
        <v/>
      </c>
      <c r="M5" s="11" t="s">
        <v>20</v>
      </c>
    </row>
    <row r="6" customFormat="false" ht="15" hidden="false" customHeight="true" outlineLevel="0" collapsed="false">
      <c r="A6" s="5" t="s">
        <v>24</v>
      </c>
      <c r="B6" s="5" t="s">
        <v>25</v>
      </c>
      <c r="C6" s="6" t="s">
        <v>17</v>
      </c>
      <c r="D6" s="6" t="s">
        <v>18</v>
      </c>
      <c r="E6" s="6" t="s">
        <v>19</v>
      </c>
      <c r="F6" s="6" t="s">
        <v>19</v>
      </c>
      <c r="G6" s="6" t="s">
        <v>19</v>
      </c>
      <c r="H6" s="7" t="n">
        <v>46298</v>
      </c>
      <c r="I6" s="8" t="n">
        <f aca="false">COUNTIF(Respuestas!$A$4:$A$283,A6)</f>
        <v>11</v>
      </c>
      <c r="J6" s="8" t="n">
        <f aca="false">SUMPRODUCT((Respuestas!$A$4:$A$283=A6)*(LEN(TRIM(Respuestas!$D$4:$D$283))&gt;0))</f>
        <v>10</v>
      </c>
      <c r="K6" s="9" t="n">
        <f aca="false">IF(C6="Transcrito",I6-J6,"")</f>
        <v>1</v>
      </c>
      <c r="L6" s="10" t="str">
        <f aca="false">IF(AND(C6="Transcrito",G6&lt;&gt;"Sí"),"Falta consentimiento",IF(AND(C6="Transcrito",J6=0),"Sin frases",IF(AND(C6="Transcrito",D6=""),"Falta rango de edad","")))</f>
        <v/>
      </c>
      <c r="M6" s="11" t="s">
        <v>20</v>
      </c>
    </row>
    <row r="7" customFormat="false" ht="15" hidden="false" customHeight="true" outlineLevel="0" collapsed="false">
      <c r="A7" s="5" t="s">
        <v>26</v>
      </c>
      <c r="B7" s="5" t="s">
        <v>27</v>
      </c>
      <c r="C7" s="6" t="s">
        <v>17</v>
      </c>
      <c r="D7" s="6" t="s">
        <v>28</v>
      </c>
      <c r="E7" s="6" t="s">
        <v>19</v>
      </c>
      <c r="F7" s="6" t="s">
        <v>19</v>
      </c>
      <c r="G7" s="6" t="s">
        <v>19</v>
      </c>
      <c r="H7" s="7" t="n">
        <v>46298</v>
      </c>
      <c r="I7" s="8" t="n">
        <f aca="false">COUNTIF(Respuestas!$A$4:$A$283,A7)</f>
        <v>11</v>
      </c>
      <c r="J7" s="8" t="n">
        <f aca="false">SUMPRODUCT((Respuestas!$A$4:$A$283=A7)*(LEN(TRIM(Respuestas!$D$4:$D$283))&gt;0))</f>
        <v>11</v>
      </c>
      <c r="K7" s="9" t="n">
        <f aca="false">IF(C7="Transcrito",I7-J7,"")</f>
        <v>0</v>
      </c>
      <c r="L7" s="10" t="str">
        <f aca="false">IF(AND(C7="Transcrito",G7&lt;&gt;"Sí"),"Falta consentimiento",IF(AND(C7="Transcrito",J7=0),"Sin frases",IF(AND(C7="Transcrito",D7=""),"Falta rango de edad","")))</f>
        <v/>
      </c>
      <c r="M7" s="11" t="s">
        <v>20</v>
      </c>
    </row>
    <row r="8" customFormat="false" ht="15" hidden="false" customHeight="true" outlineLevel="0" collapsed="false">
      <c r="A8" s="5" t="s">
        <v>29</v>
      </c>
      <c r="B8" s="5" t="s">
        <v>30</v>
      </c>
      <c r="C8" s="6" t="s">
        <v>17</v>
      </c>
      <c r="D8" s="6" t="s">
        <v>28</v>
      </c>
      <c r="E8" s="6" t="s">
        <v>19</v>
      </c>
      <c r="F8" s="6" t="s">
        <v>19</v>
      </c>
      <c r="G8" s="6" t="s">
        <v>19</v>
      </c>
      <c r="H8" s="7" t="n">
        <v>46298</v>
      </c>
      <c r="I8" s="8" t="n">
        <f aca="false">COUNTIF(Respuestas!$A$4:$A$283,A8)</f>
        <v>11</v>
      </c>
      <c r="J8" s="8" t="n">
        <f aca="false">SUMPRODUCT((Respuestas!$A$4:$A$283=A8)*(LEN(TRIM(Respuestas!$D$4:$D$283))&gt;0))</f>
        <v>11</v>
      </c>
      <c r="K8" s="9" t="n">
        <f aca="false">IF(C8="Transcrito",I8-J8,"")</f>
        <v>0</v>
      </c>
      <c r="L8" s="10" t="str">
        <f aca="false">IF(AND(C8="Transcrito",G8&lt;&gt;"Sí"),"Falta consentimiento",IF(AND(C8="Transcrito",J8=0),"Sin frases",IF(AND(C8="Transcrito",D8=""),"Falta rango de edad","")))</f>
        <v/>
      </c>
      <c r="M8" s="11" t="s">
        <v>20</v>
      </c>
    </row>
    <row r="9" customFormat="false" ht="15" hidden="false" customHeight="true" outlineLevel="0" collapsed="false">
      <c r="A9" s="5" t="s">
        <v>31</v>
      </c>
      <c r="B9" s="5" t="s">
        <v>16</v>
      </c>
      <c r="C9" s="6" t="s">
        <v>17</v>
      </c>
      <c r="D9" s="6" t="s">
        <v>28</v>
      </c>
      <c r="E9" s="6" t="s">
        <v>19</v>
      </c>
      <c r="F9" s="6" t="s">
        <v>19</v>
      </c>
      <c r="G9" s="6" t="s">
        <v>19</v>
      </c>
      <c r="H9" s="7" t="n">
        <v>46298</v>
      </c>
      <c r="I9" s="8" t="n">
        <f aca="false">COUNTIF(Respuestas!$A$4:$A$283,A9)</f>
        <v>12</v>
      </c>
      <c r="J9" s="8" t="n">
        <f aca="false">SUMPRODUCT((Respuestas!$A$4:$A$283=A9)*(LEN(TRIM(Respuestas!$D$4:$D$283))&gt;0))</f>
        <v>12</v>
      </c>
      <c r="K9" s="9" t="n">
        <f aca="false">IF(C9="Transcrito",I9-J9,"")</f>
        <v>0</v>
      </c>
      <c r="L9" s="10" t="str">
        <f aca="false">IF(AND(C9="Transcrito",G9&lt;&gt;"Sí"),"Falta consentimiento",IF(AND(C9="Transcrito",J9=0),"Sin frases",IF(AND(C9="Transcrito",D9=""),"Falta rango de edad","")))</f>
        <v/>
      </c>
      <c r="M9" s="11" t="s">
        <v>20</v>
      </c>
    </row>
    <row r="10" customFormat="false" ht="15" hidden="false" customHeight="true" outlineLevel="0" collapsed="false">
      <c r="A10" s="5" t="s">
        <v>32</v>
      </c>
      <c r="B10" s="5" t="s">
        <v>22</v>
      </c>
      <c r="C10" s="6" t="s">
        <v>17</v>
      </c>
      <c r="D10" s="6" t="s">
        <v>18</v>
      </c>
      <c r="E10" s="6" t="s">
        <v>19</v>
      </c>
      <c r="F10" s="6" t="s">
        <v>33</v>
      </c>
      <c r="G10" s="6" t="s">
        <v>19</v>
      </c>
      <c r="H10" s="7" t="n">
        <v>46298</v>
      </c>
      <c r="I10" s="8" t="n">
        <f aca="false">COUNTIF(Respuestas!$A$4:$A$283,A10)</f>
        <v>11</v>
      </c>
      <c r="J10" s="8" t="n">
        <f aca="false">SUMPRODUCT((Respuestas!$A$4:$A$283=A10)*(LEN(TRIM(Respuestas!$D$4:$D$283))&gt;0))</f>
        <v>11</v>
      </c>
      <c r="K10" s="9" t="n">
        <f aca="false">IF(C10="Transcrito",I10-J10,"")</f>
        <v>0</v>
      </c>
      <c r="L10" s="10" t="str">
        <f aca="false">IF(AND(C10="Transcrito",G10&lt;&gt;"Sí"),"Falta consentimiento",IF(AND(C10="Transcrito",J10=0),"Sin frases",IF(AND(C10="Transcrito",D10=""),"Falta rango de edad","")))</f>
        <v/>
      </c>
      <c r="M10" s="11" t="s">
        <v>20</v>
      </c>
    </row>
    <row r="11" customFormat="false" ht="15" hidden="false" customHeight="true" outlineLevel="0" collapsed="false">
      <c r="A11" s="5" t="s">
        <v>34</v>
      </c>
      <c r="B11" s="5" t="s">
        <v>25</v>
      </c>
      <c r="C11" s="6" t="s">
        <v>17</v>
      </c>
      <c r="D11" s="6" t="s">
        <v>28</v>
      </c>
      <c r="E11" s="6" t="s">
        <v>19</v>
      </c>
      <c r="F11" s="6" t="s">
        <v>19</v>
      </c>
      <c r="G11" s="6" t="s">
        <v>19</v>
      </c>
      <c r="H11" s="7" t="n">
        <v>46298</v>
      </c>
      <c r="I11" s="8" t="n">
        <f aca="false">COUNTIF(Respuestas!$A$4:$A$283,A11)</f>
        <v>11</v>
      </c>
      <c r="J11" s="8" t="n">
        <f aca="false">SUMPRODUCT((Respuestas!$A$4:$A$283=A11)*(LEN(TRIM(Respuestas!$D$4:$D$283))&gt;0))</f>
        <v>11</v>
      </c>
      <c r="K11" s="9" t="n">
        <f aca="false">IF(C11="Transcrito",I11-J11,"")</f>
        <v>0</v>
      </c>
      <c r="L11" s="10" t="str">
        <f aca="false">IF(AND(C11="Transcrito",G11&lt;&gt;"Sí"),"Falta consentimiento",IF(AND(C11="Transcrito",J11=0),"Sin frases",IF(AND(C11="Transcrito",D11=""),"Falta rango de edad","")))</f>
        <v/>
      </c>
      <c r="M11" s="11" t="s">
        <v>20</v>
      </c>
    </row>
    <row r="12" customFormat="false" ht="15" hidden="false" customHeight="true" outlineLevel="0" collapsed="false">
      <c r="A12" s="5" t="s">
        <v>35</v>
      </c>
      <c r="B12" s="5" t="s">
        <v>27</v>
      </c>
      <c r="C12" s="6" t="s">
        <v>17</v>
      </c>
      <c r="D12" s="6" t="s">
        <v>18</v>
      </c>
      <c r="E12" s="6" t="s">
        <v>33</v>
      </c>
      <c r="F12" s="6" t="s">
        <v>33</v>
      </c>
      <c r="G12" s="6" t="s">
        <v>19</v>
      </c>
      <c r="H12" s="7" t="n">
        <v>46298</v>
      </c>
      <c r="I12" s="8" t="n">
        <f aca="false">COUNTIF(Respuestas!$A$4:$A$283,A12)</f>
        <v>11</v>
      </c>
      <c r="J12" s="8" t="n">
        <f aca="false">SUMPRODUCT((Respuestas!$A$4:$A$283=A12)*(LEN(TRIM(Respuestas!$D$4:$D$283))&gt;0))</f>
        <v>11</v>
      </c>
      <c r="K12" s="9" t="n">
        <f aca="false">IF(C12="Transcrito",I12-J12,"")</f>
        <v>0</v>
      </c>
      <c r="L12" s="10" t="str">
        <f aca="false">IF(AND(C12="Transcrito",G12&lt;&gt;"Sí"),"Falta consentimiento",IF(AND(C12="Transcrito",J12=0),"Sin frases",IF(AND(C12="Transcrito",D12=""),"Falta rango de edad","")))</f>
        <v/>
      </c>
      <c r="M12" s="11" t="s">
        <v>20</v>
      </c>
    </row>
    <row r="13" customFormat="false" ht="15" hidden="false" customHeight="true" outlineLevel="0" collapsed="false">
      <c r="A13" s="5" t="s">
        <v>36</v>
      </c>
      <c r="B13" s="5" t="s">
        <v>30</v>
      </c>
      <c r="C13" s="6" t="s">
        <v>17</v>
      </c>
      <c r="D13" s="6" t="s">
        <v>18</v>
      </c>
      <c r="E13" s="6" t="s">
        <v>19</v>
      </c>
      <c r="F13" s="6" t="s">
        <v>19</v>
      </c>
      <c r="G13" s="6" t="s">
        <v>19</v>
      </c>
      <c r="H13" s="7" t="n">
        <v>46298</v>
      </c>
      <c r="I13" s="8" t="n">
        <f aca="false">COUNTIF(Respuestas!$A$4:$A$283,A13)</f>
        <v>11</v>
      </c>
      <c r="J13" s="8" t="n">
        <f aca="false">SUMPRODUCT((Respuestas!$A$4:$A$283=A13)*(LEN(TRIM(Respuestas!$D$4:$D$283))&gt;0))</f>
        <v>11</v>
      </c>
      <c r="K13" s="9" t="n">
        <f aca="false">IF(C13="Transcrito",I13-J13,"")</f>
        <v>0</v>
      </c>
      <c r="L13" s="10" t="str">
        <f aca="false">IF(AND(C13="Transcrito",G13&lt;&gt;"Sí"),"Falta consentimiento",IF(AND(C13="Transcrito",J13=0),"Sin frases",IF(AND(C13="Transcrito",D13=""),"Falta rango de edad","")))</f>
        <v/>
      </c>
      <c r="M13" s="11" t="s">
        <v>20</v>
      </c>
    </row>
    <row r="14" customFormat="false" ht="15" hidden="false" customHeight="true" outlineLevel="0" collapsed="false">
      <c r="A14" s="5" t="s">
        <v>37</v>
      </c>
      <c r="B14" s="5" t="s">
        <v>16</v>
      </c>
      <c r="C14" s="6" t="s">
        <v>17</v>
      </c>
      <c r="D14" s="6" t="s">
        <v>38</v>
      </c>
      <c r="E14" s="6" t="s">
        <v>19</v>
      </c>
      <c r="F14" s="6" t="s">
        <v>19</v>
      </c>
      <c r="G14" s="6" t="s">
        <v>19</v>
      </c>
      <c r="H14" s="7" t="n">
        <v>46298</v>
      </c>
      <c r="I14" s="8" t="n">
        <f aca="false">COUNTIF(Respuestas!$A$4:$A$283,A14)</f>
        <v>12</v>
      </c>
      <c r="J14" s="8" t="n">
        <f aca="false">SUMPRODUCT((Respuestas!$A$4:$A$283=A14)*(LEN(TRIM(Respuestas!$D$4:$D$283))&gt;0))</f>
        <v>12</v>
      </c>
      <c r="K14" s="9" t="n">
        <f aca="false">IF(C14="Transcrito",I14-J14,"")</f>
        <v>0</v>
      </c>
      <c r="L14" s="10" t="str">
        <f aca="false">IF(AND(C14="Transcrito",G14&lt;&gt;"Sí"),"Falta consentimiento",IF(AND(C14="Transcrito",J14=0),"Sin frases",IF(AND(C14="Transcrito",D14=""),"Falta rango de edad","")))</f>
        <v/>
      </c>
      <c r="M14" s="11" t="s">
        <v>20</v>
      </c>
    </row>
    <row r="15" customFormat="false" ht="15" hidden="false" customHeight="true" outlineLevel="0" collapsed="false">
      <c r="A15" s="5" t="s">
        <v>39</v>
      </c>
      <c r="B15" s="5" t="s">
        <v>22</v>
      </c>
      <c r="C15" s="6" t="s">
        <v>17</v>
      </c>
      <c r="D15" s="6" t="s">
        <v>23</v>
      </c>
      <c r="E15" s="6" t="s">
        <v>19</v>
      </c>
      <c r="F15" s="6" t="s">
        <v>19</v>
      </c>
      <c r="G15" s="6" t="s">
        <v>19</v>
      </c>
      <c r="H15" s="7" t="n">
        <v>46298</v>
      </c>
      <c r="I15" s="8" t="n">
        <f aca="false">COUNTIF(Respuestas!$A$4:$A$283,A15)</f>
        <v>11</v>
      </c>
      <c r="J15" s="8" t="n">
        <f aca="false">SUMPRODUCT((Respuestas!$A$4:$A$283=A15)*(LEN(TRIM(Respuestas!$D$4:$D$283))&gt;0))</f>
        <v>11</v>
      </c>
      <c r="K15" s="9" t="n">
        <f aca="false">IF(C15="Transcrito",I15-J15,"")</f>
        <v>0</v>
      </c>
      <c r="L15" s="10" t="str">
        <f aca="false">IF(AND(C15="Transcrito",G15&lt;&gt;"Sí"),"Falta consentimiento",IF(AND(C15="Transcrito",J15=0),"Sin frases",IF(AND(C15="Transcrito",D15=""),"Falta rango de edad","")))</f>
        <v/>
      </c>
      <c r="M15" s="11" t="s">
        <v>20</v>
      </c>
    </row>
    <row r="16" customFormat="false" ht="15" hidden="false" customHeight="true" outlineLevel="0" collapsed="false">
      <c r="A16" s="5" t="s">
        <v>40</v>
      </c>
      <c r="B16" s="5" t="s">
        <v>25</v>
      </c>
      <c r="C16" s="6" t="s">
        <v>17</v>
      </c>
      <c r="D16" s="6" t="s">
        <v>28</v>
      </c>
      <c r="E16" s="6" t="s">
        <v>19</v>
      </c>
      <c r="F16" s="6" t="s">
        <v>19</v>
      </c>
      <c r="G16" s="6" t="s">
        <v>19</v>
      </c>
      <c r="H16" s="7" t="n">
        <v>46298</v>
      </c>
      <c r="I16" s="8" t="n">
        <f aca="false">COUNTIF(Respuestas!$A$4:$A$283,A16)</f>
        <v>11</v>
      </c>
      <c r="J16" s="8" t="n">
        <f aca="false">SUMPRODUCT((Respuestas!$A$4:$A$283=A16)*(LEN(TRIM(Respuestas!$D$4:$D$283))&gt;0))</f>
        <v>11</v>
      </c>
      <c r="K16" s="9" t="n">
        <f aca="false">IF(C16="Transcrito",I16-J16,"")</f>
        <v>0</v>
      </c>
      <c r="L16" s="10" t="str">
        <f aca="false">IF(AND(C16="Transcrito",G16&lt;&gt;"Sí"),"Falta consentimiento",IF(AND(C16="Transcrito",J16=0),"Sin frases",IF(AND(C16="Transcrito",D16=""),"Falta rango de edad","")))</f>
        <v/>
      </c>
      <c r="M16" s="11" t="s">
        <v>20</v>
      </c>
    </row>
    <row r="17" customFormat="false" ht="15" hidden="false" customHeight="true" outlineLevel="0" collapsed="false">
      <c r="A17" s="5" t="s">
        <v>41</v>
      </c>
      <c r="B17" s="5" t="s">
        <v>27</v>
      </c>
      <c r="C17" s="6" t="s">
        <v>17</v>
      </c>
      <c r="D17" s="6" t="s">
        <v>18</v>
      </c>
      <c r="E17" s="6" t="s">
        <v>19</v>
      </c>
      <c r="F17" s="6" t="s">
        <v>33</v>
      </c>
      <c r="G17" s="6" t="s">
        <v>19</v>
      </c>
      <c r="H17" s="7" t="n">
        <v>46298</v>
      </c>
      <c r="I17" s="8" t="n">
        <f aca="false">COUNTIF(Respuestas!$A$4:$A$283,A17)</f>
        <v>11</v>
      </c>
      <c r="J17" s="8" t="n">
        <f aca="false">SUMPRODUCT((Respuestas!$A$4:$A$283=A17)*(LEN(TRIM(Respuestas!$D$4:$D$283))&gt;0))</f>
        <v>11</v>
      </c>
      <c r="K17" s="9" t="n">
        <f aca="false">IF(C17="Transcrito",I17-J17,"")</f>
        <v>0</v>
      </c>
      <c r="L17" s="10" t="str">
        <f aca="false">IF(AND(C17="Transcrito",G17&lt;&gt;"Sí"),"Falta consentimiento",IF(AND(C17="Transcrito",J17=0),"Sin frases",IF(AND(C17="Transcrito",D17=""),"Falta rango de edad","")))</f>
        <v/>
      </c>
      <c r="M17" s="11" t="s">
        <v>20</v>
      </c>
    </row>
    <row r="18" customFormat="false" ht="15" hidden="false" customHeight="true" outlineLevel="0" collapsed="false">
      <c r="A18" s="5" t="s">
        <v>42</v>
      </c>
      <c r="B18" s="5" t="s">
        <v>30</v>
      </c>
      <c r="C18" s="6" t="s">
        <v>17</v>
      </c>
      <c r="D18" s="6" t="s">
        <v>28</v>
      </c>
      <c r="E18" s="6" t="s">
        <v>19</v>
      </c>
      <c r="F18" s="6" t="s">
        <v>19</v>
      </c>
      <c r="G18" s="6" t="s">
        <v>19</v>
      </c>
      <c r="H18" s="7" t="n">
        <v>46298</v>
      </c>
      <c r="I18" s="8" t="n">
        <f aca="false">COUNTIF(Respuestas!$A$4:$A$283,A18)</f>
        <v>11</v>
      </c>
      <c r="J18" s="8" t="n">
        <f aca="false">SUMPRODUCT((Respuestas!$A$4:$A$283=A18)*(LEN(TRIM(Respuestas!$D$4:$D$283))&gt;0))</f>
        <v>10</v>
      </c>
      <c r="K18" s="9" t="n">
        <f aca="false">IF(C18="Transcrito",I18-J18,"")</f>
        <v>1</v>
      </c>
      <c r="L18" s="10" t="str">
        <f aca="false">IF(AND(C18="Transcrito",G18&lt;&gt;"Sí"),"Falta consentimiento",IF(AND(C18="Transcrito",J18=0),"Sin frases",IF(AND(C18="Transcrito",D18=""),"Falta rango de edad","")))</f>
        <v/>
      </c>
      <c r="M18" s="11" t="s">
        <v>20</v>
      </c>
    </row>
    <row r="19" customFormat="false" ht="15" hidden="false" customHeight="true" outlineLevel="0" collapsed="false">
      <c r="A19" s="5" t="s">
        <v>43</v>
      </c>
      <c r="B19" s="5" t="s">
        <v>16</v>
      </c>
      <c r="C19" s="6" t="s">
        <v>17</v>
      </c>
      <c r="D19" s="6" t="s">
        <v>18</v>
      </c>
      <c r="E19" s="6" t="s">
        <v>19</v>
      </c>
      <c r="F19" s="6" t="s">
        <v>19</v>
      </c>
      <c r="G19" s="6" t="s">
        <v>19</v>
      </c>
      <c r="H19" s="7" t="n">
        <v>46298</v>
      </c>
      <c r="I19" s="8" t="n">
        <f aca="false">COUNTIF(Respuestas!$A$4:$A$283,A19)</f>
        <v>12</v>
      </c>
      <c r="J19" s="8" t="n">
        <f aca="false">SUMPRODUCT((Respuestas!$A$4:$A$283=A19)*(LEN(TRIM(Respuestas!$D$4:$D$283))&gt;0))</f>
        <v>12</v>
      </c>
      <c r="K19" s="9" t="n">
        <f aca="false">IF(C19="Transcrito",I19-J19,"")</f>
        <v>0</v>
      </c>
      <c r="L19" s="10" t="str">
        <f aca="false">IF(AND(C19="Transcrito",G19&lt;&gt;"Sí"),"Falta consentimiento",IF(AND(C19="Transcrito",J19=0),"Sin frases",IF(AND(C19="Transcrito",D19=""),"Falta rango de edad","")))</f>
        <v/>
      </c>
      <c r="M19" s="11" t="s">
        <v>20</v>
      </c>
    </row>
    <row r="20" customFormat="false" ht="15" hidden="false" customHeight="true" outlineLevel="0" collapsed="false">
      <c r="A20" s="5" t="s">
        <v>44</v>
      </c>
      <c r="B20" s="5" t="s">
        <v>22</v>
      </c>
      <c r="C20" s="6" t="s">
        <v>17</v>
      </c>
      <c r="D20" s="6" t="s">
        <v>18</v>
      </c>
      <c r="E20" s="6" t="s">
        <v>19</v>
      </c>
      <c r="F20" s="6" t="s">
        <v>19</v>
      </c>
      <c r="G20" s="6" t="s">
        <v>19</v>
      </c>
      <c r="H20" s="7" t="n">
        <v>46298</v>
      </c>
      <c r="I20" s="8" t="n">
        <f aca="false">COUNTIF(Respuestas!$A$4:$A$283,A20)</f>
        <v>11</v>
      </c>
      <c r="J20" s="8" t="n">
        <f aca="false">SUMPRODUCT((Respuestas!$A$4:$A$283=A20)*(LEN(TRIM(Respuestas!$D$4:$D$283))&gt;0))</f>
        <v>11</v>
      </c>
      <c r="K20" s="9" t="n">
        <f aca="false">IF(C20="Transcrito",I20-J20,"")</f>
        <v>0</v>
      </c>
      <c r="L20" s="10" t="str">
        <f aca="false">IF(AND(C20="Transcrito",G20&lt;&gt;"Sí"),"Falta consentimiento",IF(AND(C20="Transcrito",J20=0),"Sin frases",IF(AND(C20="Transcrito",D20=""),"Falta rango de edad","")))</f>
        <v/>
      </c>
      <c r="M20" s="11" t="s">
        <v>20</v>
      </c>
    </row>
    <row r="21" customFormat="false" ht="15" hidden="false" customHeight="true" outlineLevel="0" collapsed="false">
      <c r="A21" s="5" t="s">
        <v>45</v>
      </c>
      <c r="B21" s="5" t="s">
        <v>25</v>
      </c>
      <c r="C21" s="6" t="s">
        <v>17</v>
      </c>
      <c r="D21" s="6" t="s">
        <v>28</v>
      </c>
      <c r="E21" s="6" t="s">
        <v>19</v>
      </c>
      <c r="F21" s="6" t="s">
        <v>19</v>
      </c>
      <c r="G21" s="6" t="s">
        <v>19</v>
      </c>
      <c r="H21" s="7" t="n">
        <v>46298</v>
      </c>
      <c r="I21" s="8" t="n">
        <f aca="false">COUNTIF(Respuestas!$A$4:$A$283,A21)</f>
        <v>11</v>
      </c>
      <c r="J21" s="8" t="n">
        <f aca="false">SUMPRODUCT((Respuestas!$A$4:$A$283=A21)*(LEN(TRIM(Respuestas!$D$4:$D$283))&gt;0))</f>
        <v>10</v>
      </c>
      <c r="K21" s="9" t="n">
        <f aca="false">IF(C21="Transcrito",I21-J21,"")</f>
        <v>1</v>
      </c>
      <c r="L21" s="10" t="str">
        <f aca="false">IF(AND(C21="Transcrito",G21&lt;&gt;"Sí"),"Falta consentimiento",IF(AND(C21="Transcrito",J21=0),"Sin frases",IF(AND(C21="Transcrito",D21=""),"Falta rango de edad","")))</f>
        <v/>
      </c>
      <c r="M21" s="11" t="s">
        <v>20</v>
      </c>
    </row>
    <row r="22" customFormat="false" ht="15" hidden="false" customHeight="true" outlineLevel="0" collapsed="false">
      <c r="A22" s="5" t="s">
        <v>46</v>
      </c>
      <c r="B22" s="5" t="s">
        <v>27</v>
      </c>
      <c r="C22" s="6" t="s">
        <v>17</v>
      </c>
      <c r="D22" s="6" t="s">
        <v>23</v>
      </c>
      <c r="E22" s="6" t="s">
        <v>19</v>
      </c>
      <c r="F22" s="6" t="s">
        <v>19</v>
      </c>
      <c r="G22" s="6" t="s">
        <v>19</v>
      </c>
      <c r="H22" s="7" t="n">
        <v>46298</v>
      </c>
      <c r="I22" s="8" t="n">
        <f aca="false">COUNTIF(Respuestas!$A$4:$A$283,A22)</f>
        <v>11</v>
      </c>
      <c r="J22" s="8" t="n">
        <f aca="false">SUMPRODUCT((Respuestas!$A$4:$A$283=A22)*(LEN(TRIM(Respuestas!$D$4:$D$283))&gt;0))</f>
        <v>11</v>
      </c>
      <c r="K22" s="9" t="n">
        <f aca="false">IF(C22="Transcrito",I22-J22,"")</f>
        <v>0</v>
      </c>
      <c r="L22" s="10" t="str">
        <f aca="false">IF(AND(C22="Transcrito",G22&lt;&gt;"Sí"),"Falta consentimiento",IF(AND(C22="Transcrito",J22=0),"Sin frases",IF(AND(C22="Transcrito",D22=""),"Falta rango de edad","")))</f>
        <v/>
      </c>
      <c r="M22" s="11" t="s">
        <v>20</v>
      </c>
    </row>
    <row r="23" customFormat="false" ht="15" hidden="false" customHeight="true" outlineLevel="0" collapsed="false">
      <c r="A23" s="5" t="s">
        <v>47</v>
      </c>
      <c r="B23" s="5" t="s">
        <v>30</v>
      </c>
      <c r="C23" s="6" t="s">
        <v>17</v>
      </c>
      <c r="D23" s="6" t="s">
        <v>18</v>
      </c>
      <c r="E23" s="6" t="s">
        <v>33</v>
      </c>
      <c r="F23" s="6" t="s">
        <v>19</v>
      </c>
      <c r="G23" s="6" t="s">
        <v>19</v>
      </c>
      <c r="H23" s="7" t="n">
        <v>46298</v>
      </c>
      <c r="I23" s="8" t="n">
        <f aca="false">COUNTIF(Respuestas!$A$4:$A$283,A23)</f>
        <v>11</v>
      </c>
      <c r="J23" s="8" t="n">
        <f aca="false">SUMPRODUCT((Respuestas!$A$4:$A$283=A23)*(LEN(TRIM(Respuestas!$D$4:$D$283))&gt;0))</f>
        <v>10</v>
      </c>
      <c r="K23" s="9" t="n">
        <f aca="false">IF(C23="Transcrito",I23-J23,"")</f>
        <v>1</v>
      </c>
      <c r="L23" s="10" t="str">
        <f aca="false">IF(AND(C23="Transcrito",G23&lt;&gt;"Sí"),"Falta consentimiento",IF(AND(C23="Transcrito",J23=0),"Sin frases",IF(AND(C23="Transcrito",D23=""),"Falta rango de edad","")))</f>
        <v/>
      </c>
      <c r="M23" s="11" t="s">
        <v>20</v>
      </c>
    </row>
    <row r="24" customFormat="false" ht="15" hidden="false" customHeight="true" outlineLevel="0" collapsed="false">
      <c r="A24" s="5" t="s">
        <v>48</v>
      </c>
      <c r="B24" s="5" t="s">
        <v>16</v>
      </c>
      <c r="C24" s="6" t="s">
        <v>17</v>
      </c>
      <c r="D24" s="6" t="s">
        <v>18</v>
      </c>
      <c r="E24" s="6" t="s">
        <v>19</v>
      </c>
      <c r="F24" s="6" t="s">
        <v>19</v>
      </c>
      <c r="G24" s="6" t="s">
        <v>19</v>
      </c>
      <c r="H24" s="7" t="n">
        <v>46298</v>
      </c>
      <c r="I24" s="8" t="n">
        <f aca="false">COUNTIF(Respuestas!$A$4:$A$283,A24)</f>
        <v>12</v>
      </c>
      <c r="J24" s="8" t="n">
        <f aca="false">SUMPRODUCT((Respuestas!$A$4:$A$283=A24)*(LEN(TRIM(Respuestas!$D$4:$D$283))&gt;0))</f>
        <v>11</v>
      </c>
      <c r="K24" s="9" t="n">
        <f aca="false">IF(C24="Transcrito",I24-J24,"")</f>
        <v>1</v>
      </c>
      <c r="L24" s="10" t="str">
        <f aca="false">IF(AND(C24="Transcrito",G24&lt;&gt;"Sí"),"Falta consentimiento",IF(AND(C24="Transcrito",J24=0),"Sin frases",IF(AND(C24="Transcrito",D24=""),"Falta rango de edad","")))</f>
        <v/>
      </c>
      <c r="M24" s="11" t="s">
        <v>20</v>
      </c>
    </row>
    <row r="25" customFormat="false" ht="15" hidden="false" customHeight="true" outlineLevel="0" collapsed="false">
      <c r="A25" s="5" t="s">
        <v>49</v>
      </c>
      <c r="B25" s="5" t="s">
        <v>22</v>
      </c>
      <c r="C25" s="6" t="s">
        <v>17</v>
      </c>
      <c r="D25" s="6" t="s">
        <v>23</v>
      </c>
      <c r="E25" s="6" t="s">
        <v>19</v>
      </c>
      <c r="F25" s="6" t="s">
        <v>33</v>
      </c>
      <c r="G25" s="6" t="s">
        <v>19</v>
      </c>
      <c r="H25" s="7" t="n">
        <v>46298</v>
      </c>
      <c r="I25" s="8" t="n">
        <f aca="false">COUNTIF(Respuestas!$A$4:$A$283,A25)</f>
        <v>11</v>
      </c>
      <c r="J25" s="8" t="n">
        <f aca="false">SUMPRODUCT((Respuestas!$A$4:$A$283=A25)*(LEN(TRIM(Respuestas!$D$4:$D$283))&gt;0))</f>
        <v>10</v>
      </c>
      <c r="K25" s="9" t="n">
        <f aca="false">IF(C25="Transcrito",I25-J25,"")</f>
        <v>1</v>
      </c>
      <c r="L25" s="10" t="str">
        <f aca="false">IF(AND(C25="Transcrito",G25&lt;&gt;"Sí"),"Falta consentimiento",IF(AND(C25="Transcrito",J25=0),"Sin frases",IF(AND(C25="Transcrito",D25=""),"Falta rango de edad","")))</f>
        <v/>
      </c>
      <c r="M25" s="11" t="s">
        <v>20</v>
      </c>
    </row>
    <row r="26" customFormat="false" ht="15" hidden="false" customHeight="true" outlineLevel="0" collapsed="false">
      <c r="A26" s="5" t="s">
        <v>50</v>
      </c>
      <c r="B26" s="5" t="s">
        <v>25</v>
      </c>
      <c r="C26" s="6" t="s">
        <v>17</v>
      </c>
      <c r="D26" s="6" t="s">
        <v>28</v>
      </c>
      <c r="E26" s="6" t="s">
        <v>19</v>
      </c>
      <c r="F26" s="6" t="s">
        <v>19</v>
      </c>
      <c r="G26" s="6" t="s">
        <v>19</v>
      </c>
      <c r="H26" s="7" t="n">
        <v>46298</v>
      </c>
      <c r="I26" s="8" t="n">
        <f aca="false">COUNTIF(Respuestas!$A$4:$A$283,A26)</f>
        <v>11</v>
      </c>
      <c r="J26" s="8" t="n">
        <f aca="false">SUMPRODUCT((Respuestas!$A$4:$A$283=A26)*(LEN(TRIM(Respuestas!$D$4:$D$283))&gt;0))</f>
        <v>11</v>
      </c>
      <c r="K26" s="9" t="n">
        <f aca="false">IF(C26="Transcrito",I26-J26,"")</f>
        <v>0</v>
      </c>
      <c r="L26" s="10" t="str">
        <f aca="false">IF(AND(C26="Transcrito",G26&lt;&gt;"Sí"),"Falta consentimiento",IF(AND(C26="Transcrito",J26=0),"Sin frases",IF(AND(C26="Transcrito",D26=""),"Falta rango de edad","")))</f>
        <v/>
      </c>
      <c r="M26" s="11" t="s">
        <v>20</v>
      </c>
    </row>
    <row r="27" customFormat="false" ht="15" hidden="false" customHeight="true" outlineLevel="0" collapsed="false">
      <c r="A27" s="5" t="s">
        <v>51</v>
      </c>
      <c r="B27" s="5" t="s">
        <v>27</v>
      </c>
      <c r="C27" s="6" t="s">
        <v>17</v>
      </c>
      <c r="D27" s="6" t="s">
        <v>18</v>
      </c>
      <c r="E27" s="6" t="s">
        <v>19</v>
      </c>
      <c r="F27" s="6" t="s">
        <v>33</v>
      </c>
      <c r="G27" s="6" t="s">
        <v>19</v>
      </c>
      <c r="H27" s="7" t="n">
        <v>46298</v>
      </c>
      <c r="I27" s="8" t="n">
        <f aca="false">COUNTIF(Respuestas!$A$4:$A$283,A27)</f>
        <v>11</v>
      </c>
      <c r="J27" s="8" t="n">
        <f aca="false">SUMPRODUCT((Respuestas!$A$4:$A$283=A27)*(LEN(TRIM(Respuestas!$D$4:$D$283))&gt;0))</f>
        <v>11</v>
      </c>
      <c r="K27" s="9" t="n">
        <f aca="false">IF(C27="Transcrito",I27-J27,"")</f>
        <v>0</v>
      </c>
      <c r="L27" s="10" t="str">
        <f aca="false">IF(AND(C27="Transcrito",G27&lt;&gt;"Sí"),"Falta consentimiento",IF(AND(C27="Transcrito",J27=0),"Sin frases",IF(AND(C27="Transcrito",D27=""),"Falta rango de edad","")))</f>
        <v/>
      </c>
      <c r="M27" s="11" t="s">
        <v>20</v>
      </c>
    </row>
    <row r="28" customFormat="false" ht="15" hidden="false" customHeight="true" outlineLevel="0" collapsed="false">
      <c r="A28" s="5" t="s">
        <v>52</v>
      </c>
      <c r="B28" s="5" t="s">
        <v>30</v>
      </c>
      <c r="C28" s="6" t="s">
        <v>17</v>
      </c>
      <c r="D28" s="6" t="s">
        <v>23</v>
      </c>
      <c r="E28" s="6" t="s">
        <v>19</v>
      </c>
      <c r="F28" s="6" t="s">
        <v>19</v>
      </c>
      <c r="G28" s="6" t="s">
        <v>19</v>
      </c>
      <c r="H28" s="7" t="n">
        <v>46298</v>
      </c>
      <c r="I28" s="8" t="n">
        <f aca="false">COUNTIF(Respuestas!$A$4:$A$283,A28)</f>
        <v>11</v>
      </c>
      <c r="J28" s="8" t="n">
        <f aca="false">SUMPRODUCT((Respuestas!$A$4:$A$283=A28)*(LEN(TRIM(Respuestas!$D$4:$D$283))&gt;0))</f>
        <v>11</v>
      </c>
      <c r="K28" s="9" t="n">
        <f aca="false">IF(C28="Transcrito",I28-J28,"")</f>
        <v>0</v>
      </c>
      <c r="L28" s="10" t="str">
        <f aca="false">IF(AND(C28="Transcrito",G28&lt;&gt;"Sí"),"Falta consentimiento",IF(AND(C28="Transcrito",J28=0),"Sin frases",IF(AND(C28="Transcrito",D28=""),"Falta rango de edad","")))</f>
        <v/>
      </c>
      <c r="M28" s="11" t="s">
        <v>20</v>
      </c>
    </row>
  </sheetData>
  <mergeCells count="1">
    <mergeCell ref="A2:M2"/>
  </mergeCells>
  <conditionalFormatting sqref="C4:C28">
    <cfRule type="cellIs" priority="2" operator="equal" aboveAverage="0" equalAverage="0" bottom="0" percent="0" rank="0" text="" dxfId="0">
      <formula>"Transcrito"</formula>
    </cfRule>
    <cfRule type="cellIs" priority="3" operator="equal" aboveAverage="0" equalAverage="0" bottom="0" percent="0" rank="0" text="" dxfId="1">
      <formula>"Aplicado"</formula>
    </cfRule>
  </conditionalFormatting>
  <conditionalFormatting sqref="L4:L28">
    <cfRule type="expression" priority="4" aboveAverage="0" equalAverage="0" bottom="0" percent="0" rank="0" text="" dxfId="2">
      <formula>LEN($L4)&gt;0</formula>
    </cfRule>
  </conditionalFormatting>
  <dataValidations count="4">
    <dataValidation allowBlank="true" error="Elige Pendiente, Aplicado o Transcrito." errorStyle="stop" errorTitle="Estado" operator="between" showDropDown="false" showErrorMessage="true" showInputMessage="false" sqref="C4:C28" type="list">
      <formula1>Parametros!$H$4:$H$6</formula1>
      <formula2>0</formula2>
    </dataValidation>
    <dataValidation allowBlank="true" error="Elige un rango de la lista." errorStyle="stop" errorTitle="Rango de edad" operator="between" showDropDown="false" showErrorMessage="true" showInputMessage="false" sqref="D4:D28" type="list">
      <formula1>Parametros!$F$4:$F$7</formula1>
      <formula2>0</formula2>
    </dataValidation>
    <dataValidation allowBlank="true" error="Elige Sí o No." errorStyle="stop" errorTitle="Sí / No" operator="between" showDropDown="false" showErrorMessage="true" showInputMessage="false" sqref="E4:G28" type="list">
      <formula1>Parametros!$G$4:$G$5</formula1>
      <formula2>0</formula2>
    </dataValidation>
    <dataValidation allowBlank="true" error="Escribe una fecha válida." errorStyle="stop" errorTitle="Fecha" operator="greaterThan" showDropDown="false" showErrorMessage="true" showInputMessage="false" sqref="H4:H28" type="date">
      <formula1>36526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7"/>
    <col collapsed="false" customWidth="true" hidden="false" outlineLevel="0" max="3" min="3" style="1" width="11"/>
    <col collapsed="false" customWidth="true" hidden="false" outlineLevel="0" max="4" min="4" style="1" width="52"/>
    <col collapsed="false" customWidth="true" hidden="false" outlineLevel="0" max="5" min="5" style="1" width="60"/>
    <col collapsed="false" customWidth="true" hidden="false" outlineLevel="0" max="6" min="6" style="1" width="30"/>
    <col collapsed="false" customWidth="true" hidden="false" outlineLevel="0" max="7" min="7" style="1" width="8"/>
    <col collapsed="false" customWidth="true" hidden="false" outlineLevel="0" max="8" min="8" style="1" width="20"/>
  </cols>
  <sheetData>
    <row r="1" customFormat="false" ht="17.25" hidden="false" customHeight="true" outlineLevel="0" collapsed="false">
      <c r="A1" s="2" t="s">
        <v>53</v>
      </c>
    </row>
    <row r="2" customFormat="false" ht="42" hidden="false" customHeight="true" outlineLevel="0" collapsed="false">
      <c r="A2" s="3" t="s">
        <v>54</v>
      </c>
      <c r="B2" s="3"/>
      <c r="C2" s="3"/>
      <c r="D2" s="3"/>
      <c r="E2" s="3"/>
      <c r="F2" s="3"/>
      <c r="G2" s="3"/>
      <c r="H2" s="3"/>
    </row>
    <row r="3" customFormat="false" ht="36" hidden="false" customHeight="true" outlineLevel="0" collapsed="false">
      <c r="A3" s="4" t="s">
        <v>2</v>
      </c>
      <c r="B3" s="4" t="s">
        <v>3</v>
      </c>
      <c r="C3" s="4" t="s">
        <v>55</v>
      </c>
      <c r="D3" s="4" t="s">
        <v>56</v>
      </c>
      <c r="E3" s="4" t="s">
        <v>57</v>
      </c>
      <c r="F3" s="4" t="s">
        <v>58</v>
      </c>
      <c r="G3" s="4" t="s">
        <v>59</v>
      </c>
      <c r="H3" s="4" t="s">
        <v>13</v>
      </c>
    </row>
    <row r="4" customFormat="false" ht="21.75" hidden="false" customHeight="true" outlineLevel="0" collapsed="false">
      <c r="A4" s="5" t="s">
        <v>15</v>
      </c>
      <c r="B4" s="9" t="s">
        <v>16</v>
      </c>
      <c r="C4" s="9" t="s">
        <v>60</v>
      </c>
      <c r="D4" s="11" t="s">
        <v>61</v>
      </c>
      <c r="E4" s="12" t="s">
        <v>62</v>
      </c>
      <c r="F4" s="12" t="s">
        <v>63</v>
      </c>
      <c r="G4" s="9" t="n">
        <f aca="false">LEN(TRIM(D4))</f>
        <v>44</v>
      </c>
      <c r="H4" s="13" t="str">
        <f aca="false">IF(LEN(TRIM(D4))=0,"",IF(AND(LEN(TRIM(D4))&lt;3,ISNA(MATCH(F4,Parametros!$K$4:$K$8,0))),"Muy corta",IF(OR(ISNUMBER(SEARCH("@",D4)),ISNUMBER(SEARCH("http",D4)),ISNUMBER(SEARCH("www.",D4))),"Posible dato personal","")))</f>
        <v/>
      </c>
    </row>
    <row r="5" customFormat="false" ht="21.75" hidden="false" customHeight="true" outlineLevel="0" collapsed="false">
      <c r="A5" s="5" t="s">
        <v>15</v>
      </c>
      <c r="B5" s="9" t="s">
        <v>16</v>
      </c>
      <c r="C5" s="9" t="s">
        <v>64</v>
      </c>
      <c r="D5" s="11" t="s">
        <v>65</v>
      </c>
      <c r="E5" s="12" t="s">
        <v>66</v>
      </c>
      <c r="F5" s="12" t="s">
        <v>67</v>
      </c>
      <c r="G5" s="9" t="n">
        <f aca="false">LEN(TRIM(D5))</f>
        <v>37</v>
      </c>
      <c r="H5" s="13" t="str">
        <f aca="false">IF(LEN(TRIM(D5))=0,"",IF(AND(LEN(TRIM(D5))&lt;3,ISNA(MATCH(F5,Parametros!$K$4:$K$8,0))),"Muy corta",IF(OR(ISNUMBER(SEARCH("@",D5)),ISNUMBER(SEARCH("http",D5)),ISNUMBER(SEARCH("www.",D5))),"Posible dato personal","")))</f>
        <v/>
      </c>
    </row>
    <row r="6" customFormat="false" ht="21.75" hidden="false" customHeight="true" outlineLevel="0" collapsed="false">
      <c r="A6" s="5" t="s">
        <v>15</v>
      </c>
      <c r="B6" s="9" t="s">
        <v>16</v>
      </c>
      <c r="C6" s="9" t="s">
        <v>68</v>
      </c>
      <c r="D6" s="11" t="s">
        <v>69</v>
      </c>
      <c r="E6" s="12" t="s">
        <v>70</v>
      </c>
      <c r="F6" s="12" t="s">
        <v>71</v>
      </c>
      <c r="G6" s="9" t="n">
        <f aca="false">LEN(TRIM(D6))</f>
        <v>43</v>
      </c>
      <c r="H6" s="13" t="str">
        <f aca="false">IF(LEN(TRIM(D6))=0,"",IF(AND(LEN(TRIM(D6))&lt;3,ISNA(MATCH(F6,Parametros!$K$4:$K$8,0))),"Muy corta",IF(OR(ISNUMBER(SEARCH("@",D6)),ISNUMBER(SEARCH("http",D6)),ISNUMBER(SEARCH("www.",D6))),"Posible dato personal","")))</f>
        <v/>
      </c>
    </row>
    <row r="7" customFormat="false" ht="21.75" hidden="false" customHeight="true" outlineLevel="0" collapsed="false">
      <c r="A7" s="5" t="s">
        <v>15</v>
      </c>
      <c r="B7" s="9" t="s">
        <v>16</v>
      </c>
      <c r="C7" s="9" t="s">
        <v>72</v>
      </c>
      <c r="D7" s="11" t="s">
        <v>73</v>
      </c>
      <c r="E7" s="12" t="s">
        <v>74</v>
      </c>
      <c r="F7" s="12" t="s">
        <v>75</v>
      </c>
      <c r="G7" s="9" t="n">
        <f aca="false">LEN(TRIM(D7))</f>
        <v>58</v>
      </c>
      <c r="H7" s="13" t="str">
        <f aca="false">IF(LEN(TRIM(D7))=0,"",IF(AND(LEN(TRIM(D7))&lt;3,ISNA(MATCH(F7,Parametros!$K$4:$K$8,0))),"Muy corta",IF(OR(ISNUMBER(SEARCH("@",D7)),ISNUMBER(SEARCH("http",D7)),ISNUMBER(SEARCH("www.",D7))),"Posible dato personal","")))</f>
        <v/>
      </c>
    </row>
    <row r="8" customFormat="false" ht="21.75" hidden="false" customHeight="true" outlineLevel="0" collapsed="false">
      <c r="A8" s="5" t="s">
        <v>15</v>
      </c>
      <c r="B8" s="9" t="s">
        <v>16</v>
      </c>
      <c r="C8" s="9" t="s">
        <v>76</v>
      </c>
      <c r="D8" s="11" t="s">
        <v>77</v>
      </c>
      <c r="E8" s="12" t="s">
        <v>78</v>
      </c>
      <c r="F8" s="12" t="s">
        <v>79</v>
      </c>
      <c r="G8" s="9" t="n">
        <f aca="false">LEN(TRIM(D8))</f>
        <v>55</v>
      </c>
      <c r="H8" s="13" t="str">
        <f aca="false">IF(LEN(TRIM(D8))=0,"",IF(AND(LEN(TRIM(D8))&lt;3,ISNA(MATCH(F8,Parametros!$K$4:$K$8,0))),"Muy corta",IF(OR(ISNUMBER(SEARCH("@",D8)),ISNUMBER(SEARCH("http",D8)),ISNUMBER(SEARCH("www.",D8))),"Posible dato personal","")))</f>
        <v/>
      </c>
    </row>
    <row r="9" customFormat="false" ht="21.75" hidden="false" customHeight="true" outlineLevel="0" collapsed="false">
      <c r="A9" s="5" t="s">
        <v>15</v>
      </c>
      <c r="B9" s="9" t="s">
        <v>16</v>
      </c>
      <c r="C9" s="9" t="s">
        <v>80</v>
      </c>
      <c r="D9" s="11" t="s">
        <v>81</v>
      </c>
      <c r="E9" s="12" t="s">
        <v>82</v>
      </c>
      <c r="F9" s="12" t="s">
        <v>83</v>
      </c>
      <c r="G9" s="9" t="n">
        <f aca="false">LEN(TRIM(D9))</f>
        <v>57</v>
      </c>
      <c r="H9" s="13" t="str">
        <f aca="false">IF(LEN(TRIM(D9))=0,"",IF(AND(LEN(TRIM(D9))&lt;3,ISNA(MATCH(F9,Parametros!$K$4:$K$8,0))),"Muy corta",IF(OR(ISNUMBER(SEARCH("@",D9)),ISNUMBER(SEARCH("http",D9)),ISNUMBER(SEARCH("www.",D9))),"Posible dato personal","")))</f>
        <v/>
      </c>
    </row>
    <row r="10" customFormat="false" ht="21.75" hidden="false" customHeight="true" outlineLevel="0" collapsed="false">
      <c r="A10" s="5" t="s">
        <v>15</v>
      </c>
      <c r="B10" s="9" t="s">
        <v>16</v>
      </c>
      <c r="C10" s="9" t="s">
        <v>84</v>
      </c>
      <c r="D10" s="11" t="s">
        <v>85</v>
      </c>
      <c r="E10" s="12" t="s">
        <v>86</v>
      </c>
      <c r="F10" s="12" t="s">
        <v>87</v>
      </c>
      <c r="G10" s="9" t="n">
        <f aca="false">LEN(TRIM(D10))</f>
        <v>70</v>
      </c>
      <c r="H10" s="13" t="str">
        <f aca="false">IF(LEN(TRIM(D10))=0,"",IF(AND(LEN(TRIM(D10))&lt;3,ISNA(MATCH(F10,Parametros!$K$4:$K$8,0))),"Muy corta",IF(OR(ISNUMBER(SEARCH("@",D10)),ISNUMBER(SEARCH("http",D10)),ISNUMBER(SEARCH("www.",D10))),"Posible dato personal","")))</f>
        <v/>
      </c>
    </row>
    <row r="11" customFormat="false" ht="21.75" hidden="false" customHeight="true" outlineLevel="0" collapsed="false">
      <c r="A11" s="5" t="s">
        <v>15</v>
      </c>
      <c r="B11" s="9" t="s">
        <v>16</v>
      </c>
      <c r="C11" s="9" t="s">
        <v>88</v>
      </c>
      <c r="D11" s="11" t="s">
        <v>89</v>
      </c>
      <c r="E11" s="12" t="s">
        <v>90</v>
      </c>
      <c r="F11" s="12" t="s">
        <v>91</v>
      </c>
      <c r="G11" s="9" t="n">
        <f aca="false">LEN(TRIM(D11))</f>
        <v>36</v>
      </c>
      <c r="H11" s="13" t="str">
        <f aca="false">IF(LEN(TRIM(D11))=0,"",IF(AND(LEN(TRIM(D11))&lt;3,ISNA(MATCH(F11,Parametros!$K$4:$K$8,0))),"Muy corta",IF(OR(ISNUMBER(SEARCH("@",D11)),ISNUMBER(SEARCH("http",D11)),ISNUMBER(SEARCH("www.",D11))),"Posible dato personal","")))</f>
        <v/>
      </c>
    </row>
    <row r="12" customFormat="false" ht="21.75" hidden="false" customHeight="true" outlineLevel="0" collapsed="false">
      <c r="A12" s="5" t="s">
        <v>15</v>
      </c>
      <c r="B12" s="9" t="s">
        <v>16</v>
      </c>
      <c r="C12" s="9" t="s">
        <v>92</v>
      </c>
      <c r="D12" s="11" t="s">
        <v>93</v>
      </c>
      <c r="E12" s="12" t="s">
        <v>94</v>
      </c>
      <c r="F12" s="12" t="s">
        <v>95</v>
      </c>
      <c r="G12" s="9" t="n">
        <f aca="false">LEN(TRIM(D12))</f>
        <v>38</v>
      </c>
      <c r="H12" s="13" t="str">
        <f aca="false">IF(LEN(TRIM(D12))=0,"",IF(AND(LEN(TRIM(D12))&lt;3,ISNA(MATCH(F12,Parametros!$K$4:$K$8,0))),"Muy corta",IF(OR(ISNUMBER(SEARCH("@",D12)),ISNUMBER(SEARCH("http",D12)),ISNUMBER(SEARCH("www.",D12))),"Posible dato personal","")))</f>
        <v/>
      </c>
    </row>
    <row r="13" customFormat="false" ht="21.75" hidden="false" customHeight="true" outlineLevel="0" collapsed="false">
      <c r="A13" s="5" t="s">
        <v>15</v>
      </c>
      <c r="B13" s="9" t="s">
        <v>16</v>
      </c>
      <c r="C13" s="9" t="s">
        <v>96</v>
      </c>
      <c r="D13" s="11" t="s">
        <v>97</v>
      </c>
      <c r="E13" s="12" t="s">
        <v>98</v>
      </c>
      <c r="F13" s="12" t="s">
        <v>99</v>
      </c>
      <c r="G13" s="9" t="n">
        <f aca="false">LEN(TRIM(D13))</f>
        <v>12</v>
      </c>
      <c r="H13" s="13" t="str">
        <f aca="false">IF(LEN(TRIM(D13))=0,"",IF(AND(LEN(TRIM(D13))&lt;3,ISNA(MATCH(F13,Parametros!$K$4:$K$8,0))),"Muy corta",IF(OR(ISNUMBER(SEARCH("@",D13)),ISNUMBER(SEARCH("http",D13)),ISNUMBER(SEARCH("www.",D13))),"Posible dato personal","")))</f>
        <v/>
      </c>
    </row>
    <row r="14" customFormat="false" ht="21.75" hidden="false" customHeight="true" outlineLevel="0" collapsed="false">
      <c r="A14" s="5" t="s">
        <v>15</v>
      </c>
      <c r="B14" s="9" t="s">
        <v>16</v>
      </c>
      <c r="C14" s="9" t="s">
        <v>100</v>
      </c>
      <c r="D14" s="11" t="s">
        <v>101</v>
      </c>
      <c r="E14" s="12" t="s">
        <v>102</v>
      </c>
      <c r="F14" s="12" t="s">
        <v>103</v>
      </c>
      <c r="G14" s="9" t="n">
        <f aca="false">LEN(TRIM(D14))</f>
        <v>26</v>
      </c>
      <c r="H14" s="13" t="str">
        <f aca="false">IF(LEN(TRIM(D14))=0,"",IF(AND(LEN(TRIM(D14))&lt;3,ISNA(MATCH(F14,Parametros!$K$4:$K$8,0))),"Muy corta",IF(OR(ISNUMBER(SEARCH("@",D14)),ISNUMBER(SEARCH("http",D14)),ISNUMBER(SEARCH("www.",D14))),"Posible dato personal","")))</f>
        <v/>
      </c>
    </row>
    <row r="15" customFormat="false" ht="21.75" hidden="false" customHeight="true" outlineLevel="0" collapsed="false">
      <c r="A15" s="5" t="s">
        <v>15</v>
      </c>
      <c r="B15" s="9" t="s">
        <v>16</v>
      </c>
      <c r="C15" s="9" t="s">
        <v>104</v>
      </c>
      <c r="D15" s="11" t="s">
        <v>105</v>
      </c>
      <c r="E15" s="12" t="s">
        <v>106</v>
      </c>
      <c r="F15" s="12" t="s">
        <v>107</v>
      </c>
      <c r="G15" s="9" t="n">
        <f aca="false">LEN(TRIM(D15))</f>
        <v>30</v>
      </c>
      <c r="H15" s="13" t="str">
        <f aca="false">IF(LEN(TRIM(D15))=0,"",IF(AND(LEN(TRIM(D15))&lt;3,ISNA(MATCH(F15,Parametros!$K$4:$K$8,0))),"Muy corta",IF(OR(ISNUMBER(SEARCH("@",D15)),ISNUMBER(SEARCH("http",D15)),ISNUMBER(SEARCH("www.",D15))),"Posible dato personal","")))</f>
        <v/>
      </c>
    </row>
    <row r="16" customFormat="false" ht="21.75" hidden="false" customHeight="true" outlineLevel="0" collapsed="false">
      <c r="A16" s="5" t="s">
        <v>21</v>
      </c>
      <c r="B16" s="9" t="s">
        <v>22</v>
      </c>
      <c r="C16" s="9" t="s">
        <v>108</v>
      </c>
      <c r="D16" s="11" t="s">
        <v>109</v>
      </c>
      <c r="E16" s="12" t="s">
        <v>110</v>
      </c>
      <c r="F16" s="12" t="s">
        <v>111</v>
      </c>
      <c r="G16" s="9" t="n">
        <f aca="false">LEN(TRIM(D16))</f>
        <v>38</v>
      </c>
      <c r="H16" s="13" t="str">
        <f aca="false">IF(LEN(TRIM(D16))=0,"",IF(AND(LEN(TRIM(D16))&lt;3,ISNA(MATCH(F16,Parametros!$K$4:$K$8,0))),"Muy corta",IF(OR(ISNUMBER(SEARCH("@",D16)),ISNUMBER(SEARCH("http",D16)),ISNUMBER(SEARCH("www.",D16))),"Posible dato personal","")))</f>
        <v/>
      </c>
    </row>
    <row r="17" customFormat="false" ht="15" hidden="false" customHeight="true" outlineLevel="0" collapsed="false">
      <c r="A17" s="5" t="s">
        <v>21</v>
      </c>
      <c r="B17" s="9" t="s">
        <v>22</v>
      </c>
      <c r="C17" s="9" t="s">
        <v>112</v>
      </c>
      <c r="D17" s="11" t="s">
        <v>113</v>
      </c>
      <c r="E17" s="12" t="s">
        <v>114</v>
      </c>
      <c r="F17" s="12" t="s">
        <v>115</v>
      </c>
      <c r="G17" s="9" t="n">
        <f aca="false">LEN(TRIM(D17))</f>
        <v>28</v>
      </c>
      <c r="H17" s="13" t="str">
        <f aca="false">IF(LEN(TRIM(D17))=0,"",IF(AND(LEN(TRIM(D17))&lt;3,ISNA(MATCH(F17,Parametros!$K$4:$K$8,0))),"Muy corta",IF(OR(ISNUMBER(SEARCH("@",D17)),ISNUMBER(SEARCH("http",D17)),ISNUMBER(SEARCH("www.",D17))),"Posible dato personal","")))</f>
        <v/>
      </c>
    </row>
    <row r="18" customFormat="false" ht="21.75" hidden="false" customHeight="true" outlineLevel="0" collapsed="false">
      <c r="A18" s="5" t="s">
        <v>21</v>
      </c>
      <c r="B18" s="9" t="s">
        <v>22</v>
      </c>
      <c r="C18" s="9" t="s">
        <v>116</v>
      </c>
      <c r="D18" s="11" t="s">
        <v>117</v>
      </c>
      <c r="E18" s="12" t="s">
        <v>118</v>
      </c>
      <c r="F18" s="12" t="s">
        <v>119</v>
      </c>
      <c r="G18" s="9" t="n">
        <f aca="false">LEN(TRIM(D18))</f>
        <v>33</v>
      </c>
      <c r="H18" s="13" t="str">
        <f aca="false">IF(LEN(TRIM(D18))=0,"",IF(AND(LEN(TRIM(D18))&lt;3,ISNA(MATCH(F18,Parametros!$K$4:$K$8,0))),"Muy corta",IF(OR(ISNUMBER(SEARCH("@",D18)),ISNUMBER(SEARCH("http",D18)),ISNUMBER(SEARCH("www.",D18))),"Posible dato personal","")))</f>
        <v/>
      </c>
    </row>
    <row r="19" customFormat="false" ht="21.75" hidden="false" customHeight="true" outlineLevel="0" collapsed="false">
      <c r="A19" s="5" t="s">
        <v>21</v>
      </c>
      <c r="B19" s="9" t="s">
        <v>22</v>
      </c>
      <c r="C19" s="9" t="s">
        <v>120</v>
      </c>
      <c r="D19" s="11" t="s">
        <v>121</v>
      </c>
      <c r="E19" s="12" t="s">
        <v>122</v>
      </c>
      <c r="F19" s="12" t="s">
        <v>123</v>
      </c>
      <c r="G19" s="9" t="n">
        <f aca="false">LEN(TRIM(D19))</f>
        <v>33</v>
      </c>
      <c r="H19" s="13" t="str">
        <f aca="false">IF(LEN(TRIM(D19))=0,"",IF(AND(LEN(TRIM(D19))&lt;3,ISNA(MATCH(F19,Parametros!$K$4:$K$8,0))),"Muy corta",IF(OR(ISNUMBER(SEARCH("@",D19)),ISNUMBER(SEARCH("http",D19)),ISNUMBER(SEARCH("www.",D19))),"Posible dato personal","")))</f>
        <v/>
      </c>
    </row>
    <row r="20" customFormat="false" ht="21.75" hidden="false" customHeight="true" outlineLevel="0" collapsed="false">
      <c r="A20" s="5" t="s">
        <v>21</v>
      </c>
      <c r="B20" s="9" t="s">
        <v>22</v>
      </c>
      <c r="C20" s="9" t="s">
        <v>124</v>
      </c>
      <c r="D20" s="11" t="s">
        <v>125</v>
      </c>
      <c r="E20" s="12" t="s">
        <v>126</v>
      </c>
      <c r="F20" s="12" t="s">
        <v>127</v>
      </c>
      <c r="G20" s="9" t="n">
        <f aca="false">LEN(TRIM(D20))</f>
        <v>47</v>
      </c>
      <c r="H20" s="13" t="str">
        <f aca="false">IF(LEN(TRIM(D20))=0,"",IF(AND(LEN(TRIM(D20))&lt;3,ISNA(MATCH(F20,Parametros!$K$4:$K$8,0))),"Muy corta",IF(OR(ISNUMBER(SEARCH("@",D20)),ISNUMBER(SEARCH("http",D20)),ISNUMBER(SEARCH("www.",D20))),"Posible dato personal","")))</f>
        <v/>
      </c>
    </row>
    <row r="21" customFormat="false" ht="21.75" hidden="false" customHeight="true" outlineLevel="0" collapsed="false">
      <c r="A21" s="5" t="s">
        <v>21</v>
      </c>
      <c r="B21" s="9" t="s">
        <v>22</v>
      </c>
      <c r="C21" s="9" t="s">
        <v>128</v>
      </c>
      <c r="D21" s="11"/>
      <c r="E21" s="12" t="s">
        <v>129</v>
      </c>
      <c r="F21" s="12" t="s">
        <v>130</v>
      </c>
      <c r="G21" s="9" t="n">
        <f aca="false">LEN(TRIM(D21))</f>
        <v>0</v>
      </c>
      <c r="H21" s="13" t="str">
        <f aca="false">IF(LEN(TRIM(D21))=0,"",IF(AND(LEN(TRIM(D21))&lt;3,ISNA(MATCH(F21,Parametros!$K$4:$K$8,0))),"Muy corta",IF(OR(ISNUMBER(SEARCH("@",D21)),ISNUMBER(SEARCH("http",D21)),ISNUMBER(SEARCH("www.",D21))),"Posible dato personal","")))</f>
        <v/>
      </c>
    </row>
    <row r="22" customFormat="false" ht="15" hidden="false" customHeight="true" outlineLevel="0" collapsed="false">
      <c r="A22" s="5" t="s">
        <v>21</v>
      </c>
      <c r="B22" s="9" t="s">
        <v>22</v>
      </c>
      <c r="C22" s="9" t="s">
        <v>131</v>
      </c>
      <c r="D22" s="11" t="s">
        <v>132</v>
      </c>
      <c r="E22" s="12" t="s">
        <v>133</v>
      </c>
      <c r="F22" s="12" t="s">
        <v>134</v>
      </c>
      <c r="G22" s="9" t="n">
        <f aca="false">LEN(TRIM(D22))</f>
        <v>42</v>
      </c>
      <c r="H22" s="13" t="str">
        <f aca="false">IF(LEN(TRIM(D22))=0,"",IF(AND(LEN(TRIM(D22))&lt;3,ISNA(MATCH(F22,Parametros!$K$4:$K$8,0))),"Muy corta",IF(OR(ISNUMBER(SEARCH("@",D22)),ISNUMBER(SEARCH("http",D22)),ISNUMBER(SEARCH("www.",D22))),"Posible dato personal","")))</f>
        <v/>
      </c>
    </row>
    <row r="23" customFormat="false" ht="15" hidden="false" customHeight="true" outlineLevel="0" collapsed="false">
      <c r="A23" s="5" t="s">
        <v>21</v>
      </c>
      <c r="B23" s="9" t="s">
        <v>22</v>
      </c>
      <c r="C23" s="9" t="s">
        <v>135</v>
      </c>
      <c r="D23" s="11" t="s">
        <v>136</v>
      </c>
      <c r="E23" s="12" t="s">
        <v>137</v>
      </c>
      <c r="F23" s="12" t="s">
        <v>138</v>
      </c>
      <c r="G23" s="9" t="n">
        <f aca="false">LEN(TRIM(D23))</f>
        <v>46</v>
      </c>
      <c r="H23" s="13" t="str">
        <f aca="false">IF(LEN(TRIM(D23))=0,"",IF(AND(LEN(TRIM(D23))&lt;3,ISNA(MATCH(F23,Parametros!$K$4:$K$8,0))),"Muy corta",IF(OR(ISNUMBER(SEARCH("@",D23)),ISNUMBER(SEARCH("http",D23)),ISNUMBER(SEARCH("www.",D23))),"Posible dato personal","")))</f>
        <v/>
      </c>
    </row>
    <row r="24" customFormat="false" ht="21.75" hidden="false" customHeight="true" outlineLevel="0" collapsed="false">
      <c r="A24" s="5" t="s">
        <v>21</v>
      </c>
      <c r="B24" s="9" t="s">
        <v>22</v>
      </c>
      <c r="C24" s="9" t="s">
        <v>139</v>
      </c>
      <c r="D24" s="11" t="s">
        <v>140</v>
      </c>
      <c r="E24" s="12" t="s">
        <v>141</v>
      </c>
      <c r="F24" s="12" t="s">
        <v>142</v>
      </c>
      <c r="G24" s="9" t="n">
        <f aca="false">LEN(TRIM(D24))</f>
        <v>27</v>
      </c>
      <c r="H24" s="13" t="str">
        <f aca="false">IF(LEN(TRIM(D24))=0,"",IF(AND(LEN(TRIM(D24))&lt;3,ISNA(MATCH(F24,Parametros!$K$4:$K$8,0))),"Muy corta",IF(OR(ISNUMBER(SEARCH("@",D24)),ISNUMBER(SEARCH("http",D24)),ISNUMBER(SEARCH("www.",D24))),"Posible dato personal","")))</f>
        <v/>
      </c>
    </row>
    <row r="25" customFormat="false" ht="21.75" hidden="false" customHeight="true" outlineLevel="0" collapsed="false">
      <c r="A25" s="5" t="s">
        <v>21</v>
      </c>
      <c r="B25" s="9" t="s">
        <v>22</v>
      </c>
      <c r="C25" s="9" t="s">
        <v>143</v>
      </c>
      <c r="D25" s="11" t="s">
        <v>144</v>
      </c>
      <c r="E25" s="12" t="s">
        <v>145</v>
      </c>
      <c r="F25" s="12" t="s">
        <v>146</v>
      </c>
      <c r="G25" s="9" t="n">
        <f aca="false">LEN(TRIM(D25))</f>
        <v>7</v>
      </c>
      <c r="H25" s="13" t="str">
        <f aca="false">IF(LEN(TRIM(D25))=0,"",IF(AND(LEN(TRIM(D25))&lt;3,ISNA(MATCH(F25,Parametros!$K$4:$K$8,0))),"Muy corta",IF(OR(ISNUMBER(SEARCH("@",D25)),ISNUMBER(SEARCH("http",D25)),ISNUMBER(SEARCH("www.",D25))),"Posible dato personal","")))</f>
        <v/>
      </c>
    </row>
    <row r="26" customFormat="false" ht="21.75" hidden="false" customHeight="true" outlineLevel="0" collapsed="false">
      <c r="A26" s="5" t="s">
        <v>21</v>
      </c>
      <c r="B26" s="9" t="s">
        <v>22</v>
      </c>
      <c r="C26" s="9" t="s">
        <v>147</v>
      </c>
      <c r="D26" s="11" t="s">
        <v>148</v>
      </c>
      <c r="E26" s="12" t="s">
        <v>149</v>
      </c>
      <c r="F26" s="12" t="s">
        <v>103</v>
      </c>
      <c r="G26" s="9" t="n">
        <f aca="false">LEN(TRIM(D26))</f>
        <v>18</v>
      </c>
      <c r="H26" s="13" t="str">
        <f aca="false">IF(LEN(TRIM(D26))=0,"",IF(AND(LEN(TRIM(D26))&lt;3,ISNA(MATCH(F26,Parametros!$K$4:$K$8,0))),"Muy corta",IF(OR(ISNUMBER(SEARCH("@",D26)),ISNUMBER(SEARCH("http",D26)),ISNUMBER(SEARCH("www.",D26))),"Posible dato personal","")))</f>
        <v/>
      </c>
    </row>
    <row r="27" customFormat="false" ht="21.75" hidden="false" customHeight="true" outlineLevel="0" collapsed="false">
      <c r="A27" s="5" t="s">
        <v>24</v>
      </c>
      <c r="B27" s="9" t="s">
        <v>25</v>
      </c>
      <c r="C27" s="9" t="s">
        <v>150</v>
      </c>
      <c r="D27" s="11" t="s">
        <v>151</v>
      </c>
      <c r="E27" s="12" t="s">
        <v>152</v>
      </c>
      <c r="F27" s="12" t="s">
        <v>153</v>
      </c>
      <c r="G27" s="9" t="n">
        <f aca="false">LEN(TRIM(D27))</f>
        <v>49</v>
      </c>
      <c r="H27" s="13" t="str">
        <f aca="false">IF(LEN(TRIM(D27))=0,"",IF(AND(LEN(TRIM(D27))&lt;3,ISNA(MATCH(F27,Parametros!$K$4:$K$8,0))),"Muy corta",IF(OR(ISNUMBER(SEARCH("@",D27)),ISNUMBER(SEARCH("http",D27)),ISNUMBER(SEARCH("www.",D27))),"Posible dato personal","")))</f>
        <v/>
      </c>
    </row>
    <row r="28" customFormat="false" ht="21.75" hidden="false" customHeight="true" outlineLevel="0" collapsed="false">
      <c r="A28" s="5" t="s">
        <v>24</v>
      </c>
      <c r="B28" s="9" t="s">
        <v>25</v>
      </c>
      <c r="C28" s="9" t="s">
        <v>154</v>
      </c>
      <c r="D28" s="11" t="s">
        <v>155</v>
      </c>
      <c r="E28" s="12" t="s">
        <v>156</v>
      </c>
      <c r="F28" s="12" t="s">
        <v>157</v>
      </c>
      <c r="G28" s="9" t="n">
        <f aca="false">LEN(TRIM(D28))</f>
        <v>30</v>
      </c>
      <c r="H28" s="13" t="str">
        <f aca="false">IF(LEN(TRIM(D28))=0,"",IF(AND(LEN(TRIM(D28))&lt;3,ISNA(MATCH(F28,Parametros!$K$4:$K$8,0))),"Muy corta",IF(OR(ISNUMBER(SEARCH("@",D28)),ISNUMBER(SEARCH("http",D28)),ISNUMBER(SEARCH("www.",D28))),"Posible dato personal","")))</f>
        <v/>
      </c>
    </row>
    <row r="29" customFormat="false" ht="21.75" hidden="false" customHeight="true" outlineLevel="0" collapsed="false">
      <c r="A29" s="5" t="s">
        <v>24</v>
      </c>
      <c r="B29" s="9" t="s">
        <v>25</v>
      </c>
      <c r="C29" s="9" t="s">
        <v>158</v>
      </c>
      <c r="D29" s="11" t="s">
        <v>159</v>
      </c>
      <c r="E29" s="12" t="s">
        <v>160</v>
      </c>
      <c r="F29" s="12" t="s">
        <v>161</v>
      </c>
      <c r="G29" s="9" t="n">
        <f aca="false">LEN(TRIM(D29))</f>
        <v>45</v>
      </c>
      <c r="H29" s="13" t="str">
        <f aca="false">IF(LEN(TRIM(D29))=0,"",IF(AND(LEN(TRIM(D29))&lt;3,ISNA(MATCH(F29,Parametros!$K$4:$K$8,0))),"Muy corta",IF(OR(ISNUMBER(SEARCH("@",D29)),ISNUMBER(SEARCH("http",D29)),ISNUMBER(SEARCH("www.",D29))),"Posible dato personal","")))</f>
        <v/>
      </c>
    </row>
    <row r="30" customFormat="false" ht="21.75" hidden="false" customHeight="true" outlineLevel="0" collapsed="false">
      <c r="A30" s="5" t="s">
        <v>24</v>
      </c>
      <c r="B30" s="9" t="s">
        <v>25</v>
      </c>
      <c r="C30" s="9" t="s">
        <v>162</v>
      </c>
      <c r="D30" s="11" t="s">
        <v>163</v>
      </c>
      <c r="E30" s="12" t="s">
        <v>164</v>
      </c>
      <c r="F30" s="12" t="s">
        <v>165</v>
      </c>
      <c r="G30" s="9" t="n">
        <f aca="false">LEN(TRIM(D30))</f>
        <v>36</v>
      </c>
      <c r="H30" s="13" t="str">
        <f aca="false">IF(LEN(TRIM(D30))=0,"",IF(AND(LEN(TRIM(D30))&lt;3,ISNA(MATCH(F30,Parametros!$K$4:$K$8,0))),"Muy corta",IF(OR(ISNUMBER(SEARCH("@",D30)),ISNUMBER(SEARCH("http",D30)),ISNUMBER(SEARCH("www.",D30))),"Posible dato personal","")))</f>
        <v/>
      </c>
    </row>
    <row r="31" customFormat="false" ht="21.75" hidden="false" customHeight="true" outlineLevel="0" collapsed="false">
      <c r="A31" s="5" t="s">
        <v>24</v>
      </c>
      <c r="B31" s="9" t="s">
        <v>25</v>
      </c>
      <c r="C31" s="9" t="s">
        <v>166</v>
      </c>
      <c r="D31" s="11" t="s">
        <v>167</v>
      </c>
      <c r="E31" s="12" t="s">
        <v>168</v>
      </c>
      <c r="F31" s="12" t="s">
        <v>169</v>
      </c>
      <c r="G31" s="9" t="n">
        <f aca="false">LEN(TRIM(D31))</f>
        <v>30</v>
      </c>
      <c r="H31" s="13" t="str">
        <f aca="false">IF(LEN(TRIM(D31))=0,"",IF(AND(LEN(TRIM(D31))&lt;3,ISNA(MATCH(F31,Parametros!$K$4:$K$8,0))),"Muy corta",IF(OR(ISNUMBER(SEARCH("@",D31)),ISNUMBER(SEARCH("http",D31)),ISNUMBER(SEARCH("www.",D31))),"Posible dato personal","")))</f>
        <v/>
      </c>
    </row>
    <row r="32" customFormat="false" ht="21.75" hidden="false" customHeight="true" outlineLevel="0" collapsed="false">
      <c r="A32" s="5" t="s">
        <v>24</v>
      </c>
      <c r="B32" s="9" t="s">
        <v>25</v>
      </c>
      <c r="C32" s="9" t="s">
        <v>170</v>
      </c>
      <c r="D32" s="11" t="s">
        <v>171</v>
      </c>
      <c r="E32" s="12" t="s">
        <v>172</v>
      </c>
      <c r="F32" s="12" t="s">
        <v>173</v>
      </c>
      <c r="G32" s="9" t="n">
        <f aca="false">LEN(TRIM(D32))</f>
        <v>38</v>
      </c>
      <c r="H32" s="13" t="str">
        <f aca="false">IF(LEN(TRIM(D32))=0,"",IF(AND(LEN(TRIM(D32))&lt;3,ISNA(MATCH(F32,Parametros!$K$4:$K$8,0))),"Muy corta",IF(OR(ISNUMBER(SEARCH("@",D32)),ISNUMBER(SEARCH("http",D32)),ISNUMBER(SEARCH("www.",D32))),"Posible dato personal","")))</f>
        <v/>
      </c>
    </row>
    <row r="33" customFormat="false" ht="15" hidden="false" customHeight="true" outlineLevel="0" collapsed="false">
      <c r="A33" s="5" t="s">
        <v>24</v>
      </c>
      <c r="B33" s="9" t="s">
        <v>25</v>
      </c>
      <c r="C33" s="9" t="s">
        <v>174</v>
      </c>
      <c r="D33" s="11"/>
      <c r="E33" s="12" t="s">
        <v>175</v>
      </c>
      <c r="F33" s="12" t="s">
        <v>176</v>
      </c>
      <c r="G33" s="9" t="n">
        <f aca="false">LEN(TRIM(D33))</f>
        <v>0</v>
      </c>
      <c r="H33" s="13" t="str">
        <f aca="false">IF(LEN(TRIM(D33))=0,"",IF(AND(LEN(TRIM(D33))&lt;3,ISNA(MATCH(F33,Parametros!$K$4:$K$8,0))),"Muy corta",IF(OR(ISNUMBER(SEARCH("@",D33)),ISNUMBER(SEARCH("http",D33)),ISNUMBER(SEARCH("www.",D33))),"Posible dato personal","")))</f>
        <v/>
      </c>
    </row>
    <row r="34" customFormat="false" ht="21.75" hidden="false" customHeight="true" outlineLevel="0" collapsed="false">
      <c r="A34" s="5" t="s">
        <v>24</v>
      </c>
      <c r="B34" s="9" t="s">
        <v>25</v>
      </c>
      <c r="C34" s="9" t="s">
        <v>177</v>
      </c>
      <c r="D34" s="11" t="s">
        <v>178</v>
      </c>
      <c r="E34" s="12" t="s">
        <v>179</v>
      </c>
      <c r="F34" s="12" t="s">
        <v>180</v>
      </c>
      <c r="G34" s="9" t="n">
        <f aca="false">LEN(TRIM(D34))</f>
        <v>39</v>
      </c>
      <c r="H34" s="13" t="str">
        <f aca="false">IF(LEN(TRIM(D34))=0,"",IF(AND(LEN(TRIM(D34))&lt;3,ISNA(MATCH(F34,Parametros!$K$4:$K$8,0))),"Muy corta",IF(OR(ISNUMBER(SEARCH("@",D34)),ISNUMBER(SEARCH("http",D34)),ISNUMBER(SEARCH("www.",D34))),"Posible dato personal","")))</f>
        <v/>
      </c>
    </row>
    <row r="35" customFormat="false" ht="21.75" hidden="false" customHeight="true" outlineLevel="0" collapsed="false">
      <c r="A35" s="5" t="s">
        <v>24</v>
      </c>
      <c r="B35" s="9" t="s">
        <v>25</v>
      </c>
      <c r="C35" s="9" t="s">
        <v>181</v>
      </c>
      <c r="D35" s="11" t="s">
        <v>182</v>
      </c>
      <c r="E35" s="12" t="s">
        <v>183</v>
      </c>
      <c r="F35" s="12" t="s">
        <v>184</v>
      </c>
      <c r="G35" s="9" t="n">
        <f aca="false">LEN(TRIM(D35))</f>
        <v>42</v>
      </c>
      <c r="H35" s="13" t="str">
        <f aca="false">IF(LEN(TRIM(D35))=0,"",IF(AND(LEN(TRIM(D35))&lt;3,ISNA(MATCH(F35,Parametros!$K$4:$K$8,0))),"Muy corta",IF(OR(ISNUMBER(SEARCH("@",D35)),ISNUMBER(SEARCH("http",D35)),ISNUMBER(SEARCH("www.",D35))),"Posible dato personal","")))</f>
        <v/>
      </c>
    </row>
    <row r="36" customFormat="false" ht="21.75" hidden="false" customHeight="true" outlineLevel="0" collapsed="false">
      <c r="A36" s="5" t="s">
        <v>24</v>
      </c>
      <c r="B36" s="9" t="s">
        <v>25</v>
      </c>
      <c r="C36" s="9" t="s">
        <v>185</v>
      </c>
      <c r="D36" s="11" t="s">
        <v>186</v>
      </c>
      <c r="E36" s="12" t="s">
        <v>187</v>
      </c>
      <c r="F36" s="12" t="s">
        <v>188</v>
      </c>
      <c r="G36" s="9" t="n">
        <f aca="false">LEN(TRIM(D36))</f>
        <v>2</v>
      </c>
      <c r="H36" s="13" t="str">
        <f aca="false">IF(LEN(TRIM(D36))=0,"",IF(AND(LEN(TRIM(D36))&lt;3,ISNA(MATCH(F36,Parametros!$K$4:$K$8,0))),"Muy corta",IF(OR(ISNUMBER(SEARCH("@",D36)),ISNUMBER(SEARCH("http",D36)),ISNUMBER(SEARCH("www.",D36))),"Posible dato personal","")))</f>
        <v/>
      </c>
    </row>
    <row r="37" customFormat="false" ht="21.75" hidden="false" customHeight="true" outlineLevel="0" collapsed="false">
      <c r="A37" s="5" t="s">
        <v>24</v>
      </c>
      <c r="B37" s="9" t="s">
        <v>25</v>
      </c>
      <c r="C37" s="9" t="s">
        <v>189</v>
      </c>
      <c r="D37" s="11" t="s">
        <v>190</v>
      </c>
      <c r="E37" s="12" t="s">
        <v>191</v>
      </c>
      <c r="F37" s="12" t="s">
        <v>192</v>
      </c>
      <c r="G37" s="9" t="n">
        <f aca="false">LEN(TRIM(D37))</f>
        <v>29</v>
      </c>
      <c r="H37" s="13" t="str">
        <f aca="false">IF(LEN(TRIM(D37))=0,"",IF(AND(LEN(TRIM(D37))&lt;3,ISNA(MATCH(F37,Parametros!$K$4:$K$8,0))),"Muy corta",IF(OR(ISNUMBER(SEARCH("@",D37)),ISNUMBER(SEARCH("http",D37)),ISNUMBER(SEARCH("www.",D37))),"Posible dato personal","")))</f>
        <v/>
      </c>
    </row>
    <row r="38" customFormat="false" ht="21.75" hidden="false" customHeight="true" outlineLevel="0" collapsed="false">
      <c r="A38" s="5" t="s">
        <v>26</v>
      </c>
      <c r="B38" s="9" t="s">
        <v>27</v>
      </c>
      <c r="C38" s="9" t="s">
        <v>193</v>
      </c>
      <c r="D38" s="11" t="s">
        <v>194</v>
      </c>
      <c r="E38" s="12" t="s">
        <v>195</v>
      </c>
      <c r="F38" s="12" t="s">
        <v>196</v>
      </c>
      <c r="G38" s="9" t="n">
        <f aca="false">LEN(TRIM(D38))</f>
        <v>52</v>
      </c>
      <c r="H38" s="13" t="str">
        <f aca="false">IF(LEN(TRIM(D38))=0,"",IF(AND(LEN(TRIM(D38))&lt;3,ISNA(MATCH(F38,Parametros!$K$4:$K$8,0))),"Muy corta",IF(OR(ISNUMBER(SEARCH("@",D38)),ISNUMBER(SEARCH("http",D38)),ISNUMBER(SEARCH("www.",D38))),"Posible dato personal","")))</f>
        <v/>
      </c>
    </row>
    <row r="39" customFormat="false" ht="21.75" hidden="false" customHeight="true" outlineLevel="0" collapsed="false">
      <c r="A39" s="5" t="s">
        <v>26</v>
      </c>
      <c r="B39" s="9" t="s">
        <v>27</v>
      </c>
      <c r="C39" s="9" t="s">
        <v>197</v>
      </c>
      <c r="D39" s="11" t="s">
        <v>198</v>
      </c>
      <c r="E39" s="12" t="s">
        <v>199</v>
      </c>
      <c r="F39" s="12" t="s">
        <v>200</v>
      </c>
      <c r="G39" s="9" t="n">
        <f aca="false">LEN(TRIM(D39))</f>
        <v>23</v>
      </c>
      <c r="H39" s="13" t="str">
        <f aca="false">IF(LEN(TRIM(D39))=0,"",IF(AND(LEN(TRIM(D39))&lt;3,ISNA(MATCH(F39,Parametros!$K$4:$K$8,0))),"Muy corta",IF(OR(ISNUMBER(SEARCH("@",D39)),ISNUMBER(SEARCH("http",D39)),ISNUMBER(SEARCH("www.",D39))),"Posible dato personal","")))</f>
        <v/>
      </c>
    </row>
    <row r="40" customFormat="false" ht="21.75" hidden="false" customHeight="true" outlineLevel="0" collapsed="false">
      <c r="A40" s="5" t="s">
        <v>26</v>
      </c>
      <c r="B40" s="9" t="s">
        <v>27</v>
      </c>
      <c r="C40" s="9" t="s">
        <v>201</v>
      </c>
      <c r="D40" s="11" t="s">
        <v>202</v>
      </c>
      <c r="E40" s="12" t="s">
        <v>203</v>
      </c>
      <c r="F40" s="12" t="s">
        <v>204</v>
      </c>
      <c r="G40" s="9" t="n">
        <f aca="false">LEN(TRIM(D40))</f>
        <v>38</v>
      </c>
      <c r="H40" s="13" t="str">
        <f aca="false">IF(LEN(TRIM(D40))=0,"",IF(AND(LEN(TRIM(D40))&lt;3,ISNA(MATCH(F40,Parametros!$K$4:$K$8,0))),"Muy corta",IF(OR(ISNUMBER(SEARCH("@",D40)),ISNUMBER(SEARCH("http",D40)),ISNUMBER(SEARCH("www.",D40))),"Posible dato personal","")))</f>
        <v/>
      </c>
    </row>
    <row r="41" customFormat="false" ht="21.75" hidden="false" customHeight="true" outlineLevel="0" collapsed="false">
      <c r="A41" s="5" t="s">
        <v>26</v>
      </c>
      <c r="B41" s="9" t="s">
        <v>27</v>
      </c>
      <c r="C41" s="9" t="s">
        <v>205</v>
      </c>
      <c r="D41" s="11" t="s">
        <v>206</v>
      </c>
      <c r="E41" s="12" t="s">
        <v>207</v>
      </c>
      <c r="F41" s="12" t="s">
        <v>208</v>
      </c>
      <c r="G41" s="9" t="n">
        <f aca="false">LEN(TRIM(D41))</f>
        <v>44</v>
      </c>
      <c r="H41" s="13" t="str">
        <f aca="false">IF(LEN(TRIM(D41))=0,"",IF(AND(LEN(TRIM(D41))&lt;3,ISNA(MATCH(F41,Parametros!$K$4:$K$8,0))),"Muy corta",IF(OR(ISNUMBER(SEARCH("@",D41)),ISNUMBER(SEARCH("http",D41)),ISNUMBER(SEARCH("www.",D41))),"Posible dato personal","")))</f>
        <v/>
      </c>
    </row>
    <row r="42" customFormat="false" ht="21.75" hidden="false" customHeight="true" outlineLevel="0" collapsed="false">
      <c r="A42" s="5" t="s">
        <v>26</v>
      </c>
      <c r="B42" s="9" t="s">
        <v>27</v>
      </c>
      <c r="C42" s="9" t="s">
        <v>209</v>
      </c>
      <c r="D42" s="11" t="s">
        <v>210</v>
      </c>
      <c r="E42" s="12" t="s">
        <v>211</v>
      </c>
      <c r="F42" s="12" t="s">
        <v>212</v>
      </c>
      <c r="G42" s="9" t="n">
        <f aca="false">LEN(TRIM(D42))</f>
        <v>34</v>
      </c>
      <c r="H42" s="13" t="str">
        <f aca="false">IF(LEN(TRIM(D42))=0,"",IF(AND(LEN(TRIM(D42))&lt;3,ISNA(MATCH(F42,Parametros!$K$4:$K$8,0))),"Muy corta",IF(OR(ISNUMBER(SEARCH("@",D42)),ISNUMBER(SEARCH("http",D42)),ISNUMBER(SEARCH("www.",D42))),"Posible dato personal","")))</f>
        <v/>
      </c>
    </row>
    <row r="43" customFormat="false" ht="21.75" hidden="false" customHeight="true" outlineLevel="0" collapsed="false">
      <c r="A43" s="5" t="s">
        <v>26</v>
      </c>
      <c r="B43" s="9" t="s">
        <v>27</v>
      </c>
      <c r="C43" s="9" t="s">
        <v>213</v>
      </c>
      <c r="D43" s="11" t="s">
        <v>214</v>
      </c>
      <c r="E43" s="12" t="s">
        <v>215</v>
      </c>
      <c r="F43" s="12" t="s">
        <v>216</v>
      </c>
      <c r="G43" s="9" t="n">
        <f aca="false">LEN(TRIM(D43))</f>
        <v>33</v>
      </c>
      <c r="H43" s="13" t="str">
        <f aca="false">IF(LEN(TRIM(D43))=0,"",IF(AND(LEN(TRIM(D43))&lt;3,ISNA(MATCH(F43,Parametros!$K$4:$K$8,0))),"Muy corta",IF(OR(ISNUMBER(SEARCH("@",D43)),ISNUMBER(SEARCH("http",D43)),ISNUMBER(SEARCH("www.",D43))),"Posible dato personal","")))</f>
        <v/>
      </c>
    </row>
    <row r="44" customFormat="false" ht="21.75" hidden="false" customHeight="true" outlineLevel="0" collapsed="false">
      <c r="A44" s="5" t="s">
        <v>26</v>
      </c>
      <c r="B44" s="9" t="s">
        <v>27</v>
      </c>
      <c r="C44" s="9" t="s">
        <v>217</v>
      </c>
      <c r="D44" s="11" t="s">
        <v>218</v>
      </c>
      <c r="E44" s="12" t="s">
        <v>219</v>
      </c>
      <c r="F44" s="12" t="s">
        <v>220</v>
      </c>
      <c r="G44" s="9" t="n">
        <f aca="false">LEN(TRIM(D44))</f>
        <v>43</v>
      </c>
      <c r="H44" s="13" t="str">
        <f aca="false">IF(LEN(TRIM(D44))=0,"",IF(AND(LEN(TRIM(D44))&lt;3,ISNA(MATCH(F44,Parametros!$K$4:$K$8,0))),"Muy corta",IF(OR(ISNUMBER(SEARCH("@",D44)),ISNUMBER(SEARCH("http",D44)),ISNUMBER(SEARCH("www.",D44))),"Posible dato personal","")))</f>
        <v/>
      </c>
    </row>
    <row r="45" customFormat="false" ht="21.75" hidden="false" customHeight="true" outlineLevel="0" collapsed="false">
      <c r="A45" s="5" t="s">
        <v>26</v>
      </c>
      <c r="B45" s="9" t="s">
        <v>27</v>
      </c>
      <c r="C45" s="9" t="s">
        <v>221</v>
      </c>
      <c r="D45" s="11" t="s">
        <v>222</v>
      </c>
      <c r="E45" s="12" t="s">
        <v>223</v>
      </c>
      <c r="F45" s="12" t="s">
        <v>224</v>
      </c>
      <c r="G45" s="9" t="n">
        <f aca="false">LEN(TRIM(D45))</f>
        <v>30</v>
      </c>
      <c r="H45" s="13" t="str">
        <f aca="false">IF(LEN(TRIM(D45))=0,"",IF(AND(LEN(TRIM(D45))&lt;3,ISNA(MATCH(F45,Parametros!$K$4:$K$8,0))),"Muy corta",IF(OR(ISNUMBER(SEARCH("@",D45)),ISNUMBER(SEARCH("http",D45)),ISNUMBER(SEARCH("www.",D45))),"Posible dato personal","")))</f>
        <v/>
      </c>
    </row>
    <row r="46" customFormat="false" ht="21.75" hidden="false" customHeight="true" outlineLevel="0" collapsed="false">
      <c r="A46" s="5" t="s">
        <v>26</v>
      </c>
      <c r="B46" s="9" t="s">
        <v>27</v>
      </c>
      <c r="C46" s="9" t="s">
        <v>225</v>
      </c>
      <c r="D46" s="11" t="s">
        <v>226</v>
      </c>
      <c r="E46" s="12" t="s">
        <v>227</v>
      </c>
      <c r="F46" s="12" t="s">
        <v>228</v>
      </c>
      <c r="G46" s="9" t="n">
        <f aca="false">LEN(TRIM(D46))</f>
        <v>49</v>
      </c>
      <c r="H46" s="13" t="str">
        <f aca="false">IF(LEN(TRIM(D46))=0,"",IF(AND(LEN(TRIM(D46))&lt;3,ISNA(MATCH(F46,Parametros!$K$4:$K$8,0))),"Muy corta",IF(OR(ISNUMBER(SEARCH("@",D46)),ISNUMBER(SEARCH("http",D46)),ISNUMBER(SEARCH("www.",D46))),"Posible dato personal","")))</f>
        <v/>
      </c>
    </row>
    <row r="47" customFormat="false" ht="21.75" hidden="false" customHeight="true" outlineLevel="0" collapsed="false">
      <c r="A47" s="5" t="s">
        <v>26</v>
      </c>
      <c r="B47" s="9" t="s">
        <v>27</v>
      </c>
      <c r="C47" s="9" t="s">
        <v>229</v>
      </c>
      <c r="D47" s="11" t="s">
        <v>230</v>
      </c>
      <c r="E47" s="12" t="s">
        <v>231</v>
      </c>
      <c r="F47" s="12" t="s">
        <v>232</v>
      </c>
      <c r="G47" s="9" t="n">
        <f aca="false">LEN(TRIM(D47))</f>
        <v>2</v>
      </c>
      <c r="H47" s="13" t="str">
        <f aca="false">IF(LEN(TRIM(D47))=0,"",IF(AND(LEN(TRIM(D47))&lt;3,ISNA(MATCH(F47,Parametros!$K$4:$K$8,0))),"Muy corta",IF(OR(ISNUMBER(SEARCH("@",D47)),ISNUMBER(SEARCH("http",D47)),ISNUMBER(SEARCH("www.",D47))),"Posible dato personal","")))</f>
        <v/>
      </c>
    </row>
    <row r="48" customFormat="false" ht="21.75" hidden="false" customHeight="true" outlineLevel="0" collapsed="false">
      <c r="A48" s="5" t="s">
        <v>26</v>
      </c>
      <c r="B48" s="9" t="s">
        <v>27</v>
      </c>
      <c r="C48" s="9" t="s">
        <v>233</v>
      </c>
      <c r="D48" s="11" t="s">
        <v>234</v>
      </c>
      <c r="E48" s="12" t="s">
        <v>235</v>
      </c>
      <c r="F48" s="12" t="s">
        <v>236</v>
      </c>
      <c r="G48" s="9" t="n">
        <f aca="false">LEN(TRIM(D48))</f>
        <v>14</v>
      </c>
      <c r="H48" s="13" t="str">
        <f aca="false">IF(LEN(TRIM(D48))=0,"",IF(AND(LEN(TRIM(D48))&lt;3,ISNA(MATCH(F48,Parametros!$K$4:$K$8,0))),"Muy corta",IF(OR(ISNUMBER(SEARCH("@",D48)),ISNUMBER(SEARCH("http",D48)),ISNUMBER(SEARCH("www.",D48))),"Posible dato personal","")))</f>
        <v/>
      </c>
    </row>
    <row r="49" customFormat="false" ht="21.75" hidden="false" customHeight="true" outlineLevel="0" collapsed="false">
      <c r="A49" s="5" t="s">
        <v>29</v>
      </c>
      <c r="B49" s="9" t="s">
        <v>30</v>
      </c>
      <c r="C49" s="9" t="s">
        <v>237</v>
      </c>
      <c r="D49" s="11" t="s">
        <v>238</v>
      </c>
      <c r="E49" s="12" t="s">
        <v>239</v>
      </c>
      <c r="F49" s="12" t="s">
        <v>240</v>
      </c>
      <c r="G49" s="9" t="n">
        <f aca="false">LEN(TRIM(D49))</f>
        <v>45</v>
      </c>
      <c r="H49" s="13" t="str">
        <f aca="false">IF(LEN(TRIM(D49))=0,"",IF(AND(LEN(TRIM(D49))&lt;3,ISNA(MATCH(F49,Parametros!$K$4:$K$8,0))),"Muy corta",IF(OR(ISNUMBER(SEARCH("@",D49)),ISNUMBER(SEARCH("http",D49)),ISNUMBER(SEARCH("www.",D49))),"Posible dato personal","")))</f>
        <v/>
      </c>
    </row>
    <row r="50" customFormat="false" ht="21.75" hidden="false" customHeight="true" outlineLevel="0" collapsed="false">
      <c r="A50" s="5" t="s">
        <v>29</v>
      </c>
      <c r="B50" s="9" t="s">
        <v>30</v>
      </c>
      <c r="C50" s="9" t="s">
        <v>241</v>
      </c>
      <c r="D50" s="11" t="s">
        <v>242</v>
      </c>
      <c r="E50" s="12" t="s">
        <v>243</v>
      </c>
      <c r="F50" s="12" t="s">
        <v>244</v>
      </c>
      <c r="G50" s="9" t="n">
        <f aca="false">LEN(TRIM(D50))</f>
        <v>60</v>
      </c>
      <c r="H50" s="13" t="str">
        <f aca="false">IF(LEN(TRIM(D50))=0,"",IF(AND(LEN(TRIM(D50))&lt;3,ISNA(MATCH(F50,Parametros!$K$4:$K$8,0))),"Muy corta",IF(OR(ISNUMBER(SEARCH("@",D50)),ISNUMBER(SEARCH("http",D50)),ISNUMBER(SEARCH("www.",D50))),"Posible dato personal","")))</f>
        <v/>
      </c>
    </row>
    <row r="51" customFormat="false" ht="21.75" hidden="false" customHeight="true" outlineLevel="0" collapsed="false">
      <c r="A51" s="5" t="s">
        <v>29</v>
      </c>
      <c r="B51" s="9" t="s">
        <v>30</v>
      </c>
      <c r="C51" s="9" t="s">
        <v>245</v>
      </c>
      <c r="D51" s="11" t="s">
        <v>246</v>
      </c>
      <c r="E51" s="12" t="s">
        <v>247</v>
      </c>
      <c r="F51" s="12" t="s">
        <v>248</v>
      </c>
      <c r="G51" s="9" t="n">
        <f aca="false">LEN(TRIM(D51))</f>
        <v>35</v>
      </c>
      <c r="H51" s="13" t="str">
        <f aca="false">IF(LEN(TRIM(D51))=0,"",IF(AND(LEN(TRIM(D51))&lt;3,ISNA(MATCH(F51,Parametros!$K$4:$K$8,0))),"Muy corta",IF(OR(ISNUMBER(SEARCH("@",D51)),ISNUMBER(SEARCH("http",D51)),ISNUMBER(SEARCH("www.",D51))),"Posible dato personal","")))</f>
        <v/>
      </c>
    </row>
    <row r="52" customFormat="false" ht="21.75" hidden="false" customHeight="true" outlineLevel="0" collapsed="false">
      <c r="A52" s="5" t="s">
        <v>29</v>
      </c>
      <c r="B52" s="9" t="s">
        <v>30</v>
      </c>
      <c r="C52" s="9" t="s">
        <v>249</v>
      </c>
      <c r="D52" s="11" t="s">
        <v>250</v>
      </c>
      <c r="E52" s="12" t="s">
        <v>251</v>
      </c>
      <c r="F52" s="12" t="s">
        <v>252</v>
      </c>
      <c r="G52" s="9" t="n">
        <f aca="false">LEN(TRIM(D52))</f>
        <v>42</v>
      </c>
      <c r="H52" s="13" t="str">
        <f aca="false">IF(LEN(TRIM(D52))=0,"",IF(AND(LEN(TRIM(D52))&lt;3,ISNA(MATCH(F52,Parametros!$K$4:$K$8,0))),"Muy corta",IF(OR(ISNUMBER(SEARCH("@",D52)),ISNUMBER(SEARCH("http",D52)),ISNUMBER(SEARCH("www.",D52))),"Posible dato personal","")))</f>
        <v/>
      </c>
    </row>
    <row r="53" customFormat="false" ht="21.75" hidden="false" customHeight="true" outlineLevel="0" collapsed="false">
      <c r="A53" s="5" t="s">
        <v>29</v>
      </c>
      <c r="B53" s="9" t="s">
        <v>30</v>
      </c>
      <c r="C53" s="9" t="s">
        <v>253</v>
      </c>
      <c r="D53" s="11" t="s">
        <v>254</v>
      </c>
      <c r="E53" s="12" t="s">
        <v>255</v>
      </c>
      <c r="F53" s="12" t="s">
        <v>256</v>
      </c>
      <c r="G53" s="9" t="n">
        <f aca="false">LEN(TRIM(D53))</f>
        <v>42</v>
      </c>
      <c r="H53" s="13" t="str">
        <f aca="false">IF(LEN(TRIM(D53))=0,"",IF(AND(LEN(TRIM(D53))&lt;3,ISNA(MATCH(F53,Parametros!$K$4:$K$8,0))),"Muy corta",IF(OR(ISNUMBER(SEARCH("@",D53)),ISNUMBER(SEARCH("http",D53)),ISNUMBER(SEARCH("www.",D53))),"Posible dato personal","")))</f>
        <v/>
      </c>
    </row>
    <row r="54" customFormat="false" ht="15" hidden="false" customHeight="true" outlineLevel="0" collapsed="false">
      <c r="A54" s="5" t="s">
        <v>29</v>
      </c>
      <c r="B54" s="9" t="s">
        <v>30</v>
      </c>
      <c r="C54" s="9" t="s">
        <v>257</v>
      </c>
      <c r="D54" s="11" t="s">
        <v>258</v>
      </c>
      <c r="E54" s="12" t="s">
        <v>259</v>
      </c>
      <c r="F54" s="12" t="s">
        <v>260</v>
      </c>
      <c r="G54" s="9" t="n">
        <f aca="false">LEN(TRIM(D54))</f>
        <v>43</v>
      </c>
      <c r="H54" s="13" t="str">
        <f aca="false">IF(LEN(TRIM(D54))=0,"",IF(AND(LEN(TRIM(D54))&lt;3,ISNA(MATCH(F54,Parametros!$K$4:$K$8,0))),"Muy corta",IF(OR(ISNUMBER(SEARCH("@",D54)),ISNUMBER(SEARCH("http",D54)),ISNUMBER(SEARCH("www.",D54))),"Posible dato personal","")))</f>
        <v/>
      </c>
    </row>
    <row r="55" customFormat="false" ht="15" hidden="false" customHeight="true" outlineLevel="0" collapsed="false">
      <c r="A55" s="5" t="s">
        <v>29</v>
      </c>
      <c r="B55" s="9" t="s">
        <v>30</v>
      </c>
      <c r="C55" s="9" t="s">
        <v>261</v>
      </c>
      <c r="D55" s="11" t="s">
        <v>262</v>
      </c>
      <c r="E55" s="12" t="s">
        <v>263</v>
      </c>
      <c r="F55" s="12" t="s">
        <v>264</v>
      </c>
      <c r="G55" s="9" t="n">
        <f aca="false">LEN(TRIM(D55))</f>
        <v>26</v>
      </c>
      <c r="H55" s="13" t="str">
        <f aca="false">IF(LEN(TRIM(D55))=0,"",IF(AND(LEN(TRIM(D55))&lt;3,ISNA(MATCH(F55,Parametros!$K$4:$K$8,0))),"Muy corta",IF(OR(ISNUMBER(SEARCH("@",D55)),ISNUMBER(SEARCH("http",D55)),ISNUMBER(SEARCH("www.",D55))),"Posible dato personal","")))</f>
        <v/>
      </c>
    </row>
    <row r="56" customFormat="false" ht="21.75" hidden="false" customHeight="true" outlineLevel="0" collapsed="false">
      <c r="A56" s="5" t="s">
        <v>29</v>
      </c>
      <c r="B56" s="9" t="s">
        <v>30</v>
      </c>
      <c r="C56" s="9" t="s">
        <v>265</v>
      </c>
      <c r="D56" s="11" t="s">
        <v>266</v>
      </c>
      <c r="E56" s="12" t="s">
        <v>267</v>
      </c>
      <c r="F56" s="12" t="s">
        <v>268</v>
      </c>
      <c r="G56" s="9" t="n">
        <f aca="false">LEN(TRIM(D56))</f>
        <v>28</v>
      </c>
      <c r="H56" s="13" t="str">
        <f aca="false">IF(LEN(TRIM(D56))=0,"",IF(AND(LEN(TRIM(D56))&lt;3,ISNA(MATCH(F56,Parametros!$K$4:$K$8,0))),"Muy corta",IF(OR(ISNUMBER(SEARCH("@",D56)),ISNUMBER(SEARCH("http",D56)),ISNUMBER(SEARCH("www.",D56))),"Posible dato personal","")))</f>
        <v/>
      </c>
    </row>
    <row r="57" customFormat="false" ht="15" hidden="false" customHeight="true" outlineLevel="0" collapsed="false">
      <c r="A57" s="5" t="s">
        <v>29</v>
      </c>
      <c r="B57" s="9" t="s">
        <v>30</v>
      </c>
      <c r="C57" s="9" t="s">
        <v>269</v>
      </c>
      <c r="D57" s="11" t="s">
        <v>270</v>
      </c>
      <c r="E57" s="12" t="s">
        <v>271</v>
      </c>
      <c r="F57" s="12" t="s">
        <v>272</v>
      </c>
      <c r="G57" s="9" t="n">
        <f aca="false">LEN(TRIM(D57))</f>
        <v>4</v>
      </c>
      <c r="H57" s="13" t="str">
        <f aca="false">IF(LEN(TRIM(D57))=0,"",IF(AND(LEN(TRIM(D57))&lt;3,ISNA(MATCH(F57,Parametros!$K$4:$K$8,0))),"Muy corta",IF(OR(ISNUMBER(SEARCH("@",D57)),ISNUMBER(SEARCH("http",D57)),ISNUMBER(SEARCH("www.",D57))),"Posible dato personal","")))</f>
        <v/>
      </c>
    </row>
    <row r="58" customFormat="false" ht="32.25" hidden="false" customHeight="true" outlineLevel="0" collapsed="false">
      <c r="A58" s="5" t="s">
        <v>29</v>
      </c>
      <c r="B58" s="9" t="s">
        <v>30</v>
      </c>
      <c r="C58" s="9" t="s">
        <v>273</v>
      </c>
      <c r="D58" s="11" t="s">
        <v>274</v>
      </c>
      <c r="E58" s="12" t="s">
        <v>275</v>
      </c>
      <c r="F58" s="12" t="s">
        <v>103</v>
      </c>
      <c r="G58" s="9" t="n">
        <f aca="false">LEN(TRIM(D58))</f>
        <v>38</v>
      </c>
      <c r="H58" s="13" t="str">
        <f aca="false">IF(LEN(TRIM(D58))=0,"",IF(AND(LEN(TRIM(D58))&lt;3,ISNA(MATCH(F58,Parametros!$K$4:$K$8,0))),"Muy corta",IF(OR(ISNUMBER(SEARCH("@",D58)),ISNUMBER(SEARCH("http",D58)),ISNUMBER(SEARCH("www.",D58))),"Posible dato personal","")))</f>
        <v/>
      </c>
    </row>
    <row r="59" customFormat="false" ht="15" hidden="false" customHeight="true" outlineLevel="0" collapsed="false">
      <c r="A59" s="5" t="s">
        <v>29</v>
      </c>
      <c r="B59" s="9" t="s">
        <v>30</v>
      </c>
      <c r="C59" s="9" t="s">
        <v>276</v>
      </c>
      <c r="D59" s="11" t="s">
        <v>277</v>
      </c>
      <c r="E59" s="12" t="s">
        <v>278</v>
      </c>
      <c r="F59" s="12" t="s">
        <v>279</v>
      </c>
      <c r="G59" s="9" t="n">
        <f aca="false">LEN(TRIM(D59))</f>
        <v>35</v>
      </c>
      <c r="H59" s="13" t="str">
        <f aca="false">IF(LEN(TRIM(D59))=0,"",IF(AND(LEN(TRIM(D59))&lt;3,ISNA(MATCH(F59,Parametros!$K$4:$K$8,0))),"Muy corta",IF(OR(ISNUMBER(SEARCH("@",D59)),ISNUMBER(SEARCH("http",D59)),ISNUMBER(SEARCH("www.",D59))),"Posible dato personal","")))</f>
        <v/>
      </c>
    </row>
    <row r="60" customFormat="false" ht="21.75" hidden="false" customHeight="true" outlineLevel="0" collapsed="false">
      <c r="A60" s="5" t="s">
        <v>31</v>
      </c>
      <c r="B60" s="9" t="s">
        <v>16</v>
      </c>
      <c r="C60" s="9" t="s">
        <v>60</v>
      </c>
      <c r="D60" s="11" t="s">
        <v>280</v>
      </c>
      <c r="E60" s="12" t="s">
        <v>62</v>
      </c>
      <c r="F60" s="12" t="s">
        <v>63</v>
      </c>
      <c r="G60" s="9" t="n">
        <f aca="false">LEN(TRIM(D60))</f>
        <v>101</v>
      </c>
      <c r="H60" s="13" t="str">
        <f aca="false">IF(LEN(TRIM(D60))=0,"",IF(AND(LEN(TRIM(D60))&lt;3,ISNA(MATCH(F60,Parametros!$K$4:$K$8,0))),"Muy corta",IF(OR(ISNUMBER(SEARCH("@",D60)),ISNUMBER(SEARCH("http",D60)),ISNUMBER(SEARCH("www.",D60))),"Posible dato personal","")))</f>
        <v/>
      </c>
    </row>
    <row r="61" customFormat="false" ht="21.75" hidden="false" customHeight="true" outlineLevel="0" collapsed="false">
      <c r="A61" s="5" t="s">
        <v>31</v>
      </c>
      <c r="B61" s="9" t="s">
        <v>16</v>
      </c>
      <c r="C61" s="9" t="s">
        <v>64</v>
      </c>
      <c r="D61" s="11" t="s">
        <v>281</v>
      </c>
      <c r="E61" s="12" t="s">
        <v>66</v>
      </c>
      <c r="F61" s="12" t="s">
        <v>67</v>
      </c>
      <c r="G61" s="9" t="n">
        <f aca="false">LEN(TRIM(D61))</f>
        <v>61</v>
      </c>
      <c r="H61" s="13" t="str">
        <f aca="false">IF(LEN(TRIM(D61))=0,"",IF(AND(LEN(TRIM(D61))&lt;3,ISNA(MATCH(F61,Parametros!$K$4:$K$8,0))),"Muy corta",IF(OR(ISNUMBER(SEARCH("@",D61)),ISNUMBER(SEARCH("http",D61)),ISNUMBER(SEARCH("www.",D61))),"Posible dato personal","")))</f>
        <v/>
      </c>
    </row>
    <row r="62" customFormat="false" ht="21.75" hidden="false" customHeight="true" outlineLevel="0" collapsed="false">
      <c r="A62" s="5" t="s">
        <v>31</v>
      </c>
      <c r="B62" s="9" t="s">
        <v>16</v>
      </c>
      <c r="C62" s="9" t="s">
        <v>68</v>
      </c>
      <c r="D62" s="11" t="s">
        <v>282</v>
      </c>
      <c r="E62" s="12" t="s">
        <v>70</v>
      </c>
      <c r="F62" s="12" t="s">
        <v>71</v>
      </c>
      <c r="G62" s="9" t="n">
        <f aca="false">LEN(TRIM(D62))</f>
        <v>71</v>
      </c>
      <c r="H62" s="13" t="str">
        <f aca="false">IF(LEN(TRIM(D62))=0,"",IF(AND(LEN(TRIM(D62))&lt;3,ISNA(MATCH(F62,Parametros!$K$4:$K$8,0))),"Muy corta",IF(OR(ISNUMBER(SEARCH("@",D62)),ISNUMBER(SEARCH("http",D62)),ISNUMBER(SEARCH("www.",D62))),"Posible dato personal","")))</f>
        <v/>
      </c>
    </row>
    <row r="63" customFormat="false" ht="21.75" hidden="false" customHeight="true" outlineLevel="0" collapsed="false">
      <c r="A63" s="5" t="s">
        <v>31</v>
      </c>
      <c r="B63" s="9" t="s">
        <v>16</v>
      </c>
      <c r="C63" s="9" t="s">
        <v>72</v>
      </c>
      <c r="D63" s="11" t="s">
        <v>283</v>
      </c>
      <c r="E63" s="12" t="s">
        <v>74</v>
      </c>
      <c r="F63" s="12" t="s">
        <v>75</v>
      </c>
      <c r="G63" s="9" t="n">
        <f aca="false">LEN(TRIM(D63))</f>
        <v>59</v>
      </c>
      <c r="H63" s="13" t="str">
        <f aca="false">IF(LEN(TRIM(D63))=0,"",IF(AND(LEN(TRIM(D63))&lt;3,ISNA(MATCH(F63,Parametros!$K$4:$K$8,0))),"Muy corta",IF(OR(ISNUMBER(SEARCH("@",D63)),ISNUMBER(SEARCH("http",D63)),ISNUMBER(SEARCH("www.",D63))),"Posible dato personal","")))</f>
        <v/>
      </c>
    </row>
    <row r="64" customFormat="false" ht="21.75" hidden="false" customHeight="true" outlineLevel="0" collapsed="false">
      <c r="A64" s="5" t="s">
        <v>31</v>
      </c>
      <c r="B64" s="9" t="s">
        <v>16</v>
      </c>
      <c r="C64" s="9" t="s">
        <v>76</v>
      </c>
      <c r="D64" s="11" t="s">
        <v>284</v>
      </c>
      <c r="E64" s="12" t="s">
        <v>78</v>
      </c>
      <c r="F64" s="12" t="s">
        <v>79</v>
      </c>
      <c r="G64" s="9" t="n">
        <f aca="false">LEN(TRIM(D64))</f>
        <v>46</v>
      </c>
      <c r="H64" s="13" t="str">
        <f aca="false">IF(LEN(TRIM(D64))=0,"",IF(AND(LEN(TRIM(D64))&lt;3,ISNA(MATCH(F64,Parametros!$K$4:$K$8,0))),"Muy corta",IF(OR(ISNUMBER(SEARCH("@",D64)),ISNUMBER(SEARCH("http",D64)),ISNUMBER(SEARCH("www.",D64))),"Posible dato personal","")))</f>
        <v/>
      </c>
    </row>
    <row r="65" customFormat="false" ht="21.75" hidden="false" customHeight="true" outlineLevel="0" collapsed="false">
      <c r="A65" s="5" t="s">
        <v>31</v>
      </c>
      <c r="B65" s="9" t="s">
        <v>16</v>
      </c>
      <c r="C65" s="9" t="s">
        <v>80</v>
      </c>
      <c r="D65" s="11" t="s">
        <v>285</v>
      </c>
      <c r="E65" s="12" t="s">
        <v>82</v>
      </c>
      <c r="F65" s="12" t="s">
        <v>83</v>
      </c>
      <c r="G65" s="9" t="n">
        <f aca="false">LEN(TRIM(D65))</f>
        <v>48</v>
      </c>
      <c r="H65" s="13" t="str">
        <f aca="false">IF(LEN(TRIM(D65))=0,"",IF(AND(LEN(TRIM(D65))&lt;3,ISNA(MATCH(F65,Parametros!$K$4:$K$8,0))),"Muy corta",IF(OR(ISNUMBER(SEARCH("@",D65)),ISNUMBER(SEARCH("http",D65)),ISNUMBER(SEARCH("www.",D65))),"Posible dato personal","")))</f>
        <v/>
      </c>
    </row>
    <row r="66" customFormat="false" ht="21.75" hidden="false" customHeight="true" outlineLevel="0" collapsed="false">
      <c r="A66" s="5" t="s">
        <v>31</v>
      </c>
      <c r="B66" s="9" t="s">
        <v>16</v>
      </c>
      <c r="C66" s="9" t="s">
        <v>84</v>
      </c>
      <c r="D66" s="11" t="s">
        <v>286</v>
      </c>
      <c r="E66" s="12" t="s">
        <v>86</v>
      </c>
      <c r="F66" s="12" t="s">
        <v>87</v>
      </c>
      <c r="G66" s="9" t="n">
        <f aca="false">LEN(TRIM(D66))</f>
        <v>51</v>
      </c>
      <c r="H66" s="13" t="str">
        <f aca="false">IF(LEN(TRIM(D66))=0,"",IF(AND(LEN(TRIM(D66))&lt;3,ISNA(MATCH(F66,Parametros!$K$4:$K$8,0))),"Muy corta",IF(OR(ISNUMBER(SEARCH("@",D66)),ISNUMBER(SEARCH("http",D66)),ISNUMBER(SEARCH("www.",D66))),"Posible dato personal","")))</f>
        <v/>
      </c>
    </row>
    <row r="67" customFormat="false" ht="21.75" hidden="false" customHeight="true" outlineLevel="0" collapsed="false">
      <c r="A67" s="5" t="s">
        <v>31</v>
      </c>
      <c r="B67" s="9" t="s">
        <v>16</v>
      </c>
      <c r="C67" s="9" t="s">
        <v>88</v>
      </c>
      <c r="D67" s="11" t="s">
        <v>287</v>
      </c>
      <c r="E67" s="12" t="s">
        <v>90</v>
      </c>
      <c r="F67" s="12" t="s">
        <v>91</v>
      </c>
      <c r="G67" s="9" t="n">
        <f aca="false">LEN(TRIM(D67))</f>
        <v>57</v>
      </c>
      <c r="H67" s="13" t="str">
        <f aca="false">IF(LEN(TRIM(D67))=0,"",IF(AND(LEN(TRIM(D67))&lt;3,ISNA(MATCH(F67,Parametros!$K$4:$K$8,0))),"Muy corta",IF(OR(ISNUMBER(SEARCH("@",D67)),ISNUMBER(SEARCH("http",D67)),ISNUMBER(SEARCH("www.",D67))),"Posible dato personal","")))</f>
        <v/>
      </c>
    </row>
    <row r="68" customFormat="false" ht="21.75" hidden="false" customHeight="true" outlineLevel="0" collapsed="false">
      <c r="A68" s="5" t="s">
        <v>31</v>
      </c>
      <c r="B68" s="9" t="s">
        <v>16</v>
      </c>
      <c r="C68" s="9" t="s">
        <v>92</v>
      </c>
      <c r="D68" s="11" t="s">
        <v>288</v>
      </c>
      <c r="E68" s="12" t="s">
        <v>94</v>
      </c>
      <c r="F68" s="12" t="s">
        <v>95</v>
      </c>
      <c r="G68" s="9" t="n">
        <f aca="false">LEN(TRIM(D68))</f>
        <v>50</v>
      </c>
      <c r="H68" s="13" t="str">
        <f aca="false">IF(LEN(TRIM(D68))=0,"",IF(AND(LEN(TRIM(D68))&lt;3,ISNA(MATCH(F68,Parametros!$K$4:$K$8,0))),"Muy corta",IF(OR(ISNUMBER(SEARCH("@",D68)),ISNUMBER(SEARCH("http",D68)),ISNUMBER(SEARCH("www.",D68))),"Posible dato personal","")))</f>
        <v/>
      </c>
    </row>
    <row r="69" customFormat="false" ht="21.75" hidden="false" customHeight="true" outlineLevel="0" collapsed="false">
      <c r="A69" s="5" t="s">
        <v>31</v>
      </c>
      <c r="B69" s="9" t="s">
        <v>16</v>
      </c>
      <c r="C69" s="9" t="s">
        <v>96</v>
      </c>
      <c r="D69" s="11" t="s">
        <v>289</v>
      </c>
      <c r="E69" s="12" t="s">
        <v>98</v>
      </c>
      <c r="F69" s="12" t="s">
        <v>99</v>
      </c>
      <c r="G69" s="9" t="n">
        <f aca="false">LEN(TRIM(D69))</f>
        <v>29</v>
      </c>
      <c r="H69" s="13" t="str">
        <f aca="false">IF(LEN(TRIM(D69))=0,"",IF(AND(LEN(TRIM(D69))&lt;3,ISNA(MATCH(F69,Parametros!$K$4:$K$8,0))),"Muy corta",IF(OR(ISNUMBER(SEARCH("@",D69)),ISNUMBER(SEARCH("http",D69)),ISNUMBER(SEARCH("www.",D69))),"Posible dato personal","")))</f>
        <v/>
      </c>
    </row>
    <row r="70" customFormat="false" ht="21.75" hidden="false" customHeight="true" outlineLevel="0" collapsed="false">
      <c r="A70" s="5" t="s">
        <v>31</v>
      </c>
      <c r="B70" s="9" t="s">
        <v>16</v>
      </c>
      <c r="C70" s="9" t="s">
        <v>100</v>
      </c>
      <c r="D70" s="11" t="s">
        <v>290</v>
      </c>
      <c r="E70" s="12" t="s">
        <v>102</v>
      </c>
      <c r="F70" s="12" t="s">
        <v>103</v>
      </c>
      <c r="G70" s="9" t="n">
        <f aca="false">LEN(TRIM(D70))</f>
        <v>26</v>
      </c>
      <c r="H70" s="13" t="str">
        <f aca="false">IF(LEN(TRIM(D70))=0,"",IF(AND(LEN(TRIM(D70))&lt;3,ISNA(MATCH(F70,Parametros!$K$4:$K$8,0))),"Muy corta",IF(OR(ISNUMBER(SEARCH("@",D70)),ISNUMBER(SEARCH("http",D70)),ISNUMBER(SEARCH("www.",D70))),"Posible dato personal","")))</f>
        <v/>
      </c>
    </row>
    <row r="71" customFormat="false" ht="21.75" hidden="false" customHeight="true" outlineLevel="0" collapsed="false">
      <c r="A71" s="5" t="s">
        <v>31</v>
      </c>
      <c r="B71" s="9" t="s">
        <v>16</v>
      </c>
      <c r="C71" s="9" t="s">
        <v>104</v>
      </c>
      <c r="D71" s="11" t="s">
        <v>291</v>
      </c>
      <c r="E71" s="12" t="s">
        <v>106</v>
      </c>
      <c r="F71" s="12" t="s">
        <v>107</v>
      </c>
      <c r="G71" s="9" t="n">
        <f aca="false">LEN(TRIM(D71))</f>
        <v>44</v>
      </c>
      <c r="H71" s="13" t="str">
        <f aca="false">IF(LEN(TRIM(D71))=0,"",IF(AND(LEN(TRIM(D71))&lt;3,ISNA(MATCH(F71,Parametros!$K$4:$K$8,0))),"Muy corta",IF(OR(ISNUMBER(SEARCH("@",D71)),ISNUMBER(SEARCH("http",D71)),ISNUMBER(SEARCH("www.",D71))),"Posible dato personal","")))</f>
        <v/>
      </c>
    </row>
    <row r="72" customFormat="false" ht="21.75" hidden="false" customHeight="true" outlineLevel="0" collapsed="false">
      <c r="A72" s="5" t="s">
        <v>32</v>
      </c>
      <c r="B72" s="9" t="s">
        <v>22</v>
      </c>
      <c r="C72" s="9" t="s">
        <v>108</v>
      </c>
      <c r="D72" s="11" t="s">
        <v>292</v>
      </c>
      <c r="E72" s="12" t="s">
        <v>110</v>
      </c>
      <c r="F72" s="12" t="s">
        <v>111</v>
      </c>
      <c r="G72" s="9" t="n">
        <f aca="false">LEN(TRIM(D72))</f>
        <v>48</v>
      </c>
      <c r="H72" s="13" t="str">
        <f aca="false">IF(LEN(TRIM(D72))=0,"",IF(AND(LEN(TRIM(D72))&lt;3,ISNA(MATCH(F72,Parametros!$K$4:$K$8,0))),"Muy corta",IF(OR(ISNUMBER(SEARCH("@",D72)),ISNUMBER(SEARCH("http",D72)),ISNUMBER(SEARCH("www.",D72))),"Posible dato personal","")))</f>
        <v/>
      </c>
    </row>
    <row r="73" customFormat="false" ht="15" hidden="false" customHeight="true" outlineLevel="0" collapsed="false">
      <c r="A73" s="5" t="s">
        <v>32</v>
      </c>
      <c r="B73" s="9" t="s">
        <v>22</v>
      </c>
      <c r="C73" s="9" t="s">
        <v>112</v>
      </c>
      <c r="D73" s="11" t="s">
        <v>293</v>
      </c>
      <c r="E73" s="12" t="s">
        <v>114</v>
      </c>
      <c r="F73" s="12" t="s">
        <v>115</v>
      </c>
      <c r="G73" s="9" t="n">
        <f aca="false">LEN(TRIM(D73))</f>
        <v>57</v>
      </c>
      <c r="H73" s="13" t="str">
        <f aca="false">IF(LEN(TRIM(D73))=0,"",IF(AND(LEN(TRIM(D73))&lt;3,ISNA(MATCH(F73,Parametros!$K$4:$K$8,0))),"Muy corta",IF(OR(ISNUMBER(SEARCH("@",D73)),ISNUMBER(SEARCH("http",D73)),ISNUMBER(SEARCH("www.",D73))),"Posible dato personal","")))</f>
        <v/>
      </c>
    </row>
    <row r="74" customFormat="false" ht="21.75" hidden="false" customHeight="true" outlineLevel="0" collapsed="false">
      <c r="A74" s="5" t="s">
        <v>32</v>
      </c>
      <c r="B74" s="9" t="s">
        <v>22</v>
      </c>
      <c r="C74" s="9" t="s">
        <v>116</v>
      </c>
      <c r="D74" s="11" t="s">
        <v>294</v>
      </c>
      <c r="E74" s="12" t="s">
        <v>118</v>
      </c>
      <c r="F74" s="12" t="s">
        <v>119</v>
      </c>
      <c r="G74" s="9" t="n">
        <f aca="false">LEN(TRIM(D74))</f>
        <v>65</v>
      </c>
      <c r="H74" s="13" t="str">
        <f aca="false">IF(LEN(TRIM(D74))=0,"",IF(AND(LEN(TRIM(D74))&lt;3,ISNA(MATCH(F74,Parametros!$K$4:$K$8,0))),"Muy corta",IF(OR(ISNUMBER(SEARCH("@",D74)),ISNUMBER(SEARCH("http",D74)),ISNUMBER(SEARCH("www.",D74))),"Posible dato personal","")))</f>
        <v/>
      </c>
    </row>
    <row r="75" customFormat="false" ht="21.75" hidden="false" customHeight="true" outlineLevel="0" collapsed="false">
      <c r="A75" s="5" t="s">
        <v>32</v>
      </c>
      <c r="B75" s="9" t="s">
        <v>22</v>
      </c>
      <c r="C75" s="9" t="s">
        <v>120</v>
      </c>
      <c r="D75" s="11" t="s">
        <v>295</v>
      </c>
      <c r="E75" s="12" t="s">
        <v>122</v>
      </c>
      <c r="F75" s="12" t="s">
        <v>123</v>
      </c>
      <c r="G75" s="9" t="n">
        <f aca="false">LEN(TRIM(D75))</f>
        <v>83</v>
      </c>
      <c r="H75" s="13" t="str">
        <f aca="false">IF(LEN(TRIM(D75))=0,"",IF(AND(LEN(TRIM(D75))&lt;3,ISNA(MATCH(F75,Parametros!$K$4:$K$8,0))),"Muy corta",IF(OR(ISNUMBER(SEARCH("@",D75)),ISNUMBER(SEARCH("http",D75)),ISNUMBER(SEARCH("www.",D75))),"Posible dato personal","")))</f>
        <v/>
      </c>
    </row>
    <row r="76" customFormat="false" ht="21.75" hidden="false" customHeight="true" outlineLevel="0" collapsed="false">
      <c r="A76" s="5" t="s">
        <v>32</v>
      </c>
      <c r="B76" s="9" t="s">
        <v>22</v>
      </c>
      <c r="C76" s="9" t="s">
        <v>124</v>
      </c>
      <c r="D76" s="11" t="s">
        <v>296</v>
      </c>
      <c r="E76" s="12" t="s">
        <v>126</v>
      </c>
      <c r="F76" s="12" t="s">
        <v>127</v>
      </c>
      <c r="G76" s="9" t="n">
        <f aca="false">LEN(TRIM(D76))</f>
        <v>49</v>
      </c>
      <c r="H76" s="13" t="str">
        <f aca="false">IF(LEN(TRIM(D76))=0,"",IF(AND(LEN(TRIM(D76))&lt;3,ISNA(MATCH(F76,Parametros!$K$4:$K$8,0))),"Muy corta",IF(OR(ISNUMBER(SEARCH("@",D76)),ISNUMBER(SEARCH("http",D76)),ISNUMBER(SEARCH("www.",D76))),"Posible dato personal","")))</f>
        <v/>
      </c>
    </row>
    <row r="77" customFormat="false" ht="21.75" hidden="false" customHeight="true" outlineLevel="0" collapsed="false">
      <c r="A77" s="5" t="s">
        <v>32</v>
      </c>
      <c r="B77" s="9" t="s">
        <v>22</v>
      </c>
      <c r="C77" s="9" t="s">
        <v>128</v>
      </c>
      <c r="D77" s="11" t="s">
        <v>297</v>
      </c>
      <c r="E77" s="12" t="s">
        <v>129</v>
      </c>
      <c r="F77" s="12" t="s">
        <v>130</v>
      </c>
      <c r="G77" s="9" t="n">
        <f aca="false">LEN(TRIM(D77))</f>
        <v>65</v>
      </c>
      <c r="H77" s="13" t="str">
        <f aca="false">IF(LEN(TRIM(D77))=0,"",IF(AND(LEN(TRIM(D77))&lt;3,ISNA(MATCH(F77,Parametros!$K$4:$K$8,0))),"Muy corta",IF(OR(ISNUMBER(SEARCH("@",D77)),ISNUMBER(SEARCH("http",D77)),ISNUMBER(SEARCH("www.",D77))),"Posible dato personal","")))</f>
        <v/>
      </c>
    </row>
    <row r="78" customFormat="false" ht="15" hidden="false" customHeight="true" outlineLevel="0" collapsed="false">
      <c r="A78" s="5" t="s">
        <v>32</v>
      </c>
      <c r="B78" s="9" t="s">
        <v>22</v>
      </c>
      <c r="C78" s="9" t="s">
        <v>131</v>
      </c>
      <c r="D78" s="11" t="s">
        <v>298</v>
      </c>
      <c r="E78" s="12" t="s">
        <v>133</v>
      </c>
      <c r="F78" s="12" t="s">
        <v>134</v>
      </c>
      <c r="G78" s="9" t="n">
        <f aca="false">LEN(TRIM(D78))</f>
        <v>48</v>
      </c>
      <c r="H78" s="13" t="str">
        <f aca="false">IF(LEN(TRIM(D78))=0,"",IF(AND(LEN(TRIM(D78))&lt;3,ISNA(MATCH(F78,Parametros!$K$4:$K$8,0))),"Muy corta",IF(OR(ISNUMBER(SEARCH("@",D78)),ISNUMBER(SEARCH("http",D78)),ISNUMBER(SEARCH("www.",D78))),"Posible dato personal","")))</f>
        <v/>
      </c>
    </row>
    <row r="79" customFormat="false" ht="15" hidden="false" customHeight="true" outlineLevel="0" collapsed="false">
      <c r="A79" s="5" t="s">
        <v>32</v>
      </c>
      <c r="B79" s="9" t="s">
        <v>22</v>
      </c>
      <c r="C79" s="9" t="s">
        <v>135</v>
      </c>
      <c r="D79" s="11" t="s">
        <v>299</v>
      </c>
      <c r="E79" s="12" t="s">
        <v>137</v>
      </c>
      <c r="F79" s="12" t="s">
        <v>138</v>
      </c>
      <c r="G79" s="9" t="n">
        <f aca="false">LEN(TRIM(D79))</f>
        <v>47</v>
      </c>
      <c r="H79" s="13" t="str">
        <f aca="false">IF(LEN(TRIM(D79))=0,"",IF(AND(LEN(TRIM(D79))&lt;3,ISNA(MATCH(F79,Parametros!$K$4:$K$8,0))),"Muy corta",IF(OR(ISNUMBER(SEARCH("@",D79)),ISNUMBER(SEARCH("http",D79)),ISNUMBER(SEARCH("www.",D79))),"Posible dato personal","")))</f>
        <v/>
      </c>
    </row>
    <row r="80" customFormat="false" ht="21.75" hidden="false" customHeight="true" outlineLevel="0" collapsed="false">
      <c r="A80" s="5" t="s">
        <v>32</v>
      </c>
      <c r="B80" s="9" t="s">
        <v>22</v>
      </c>
      <c r="C80" s="9" t="s">
        <v>139</v>
      </c>
      <c r="D80" s="11" t="s">
        <v>300</v>
      </c>
      <c r="E80" s="12" t="s">
        <v>141</v>
      </c>
      <c r="F80" s="12" t="s">
        <v>142</v>
      </c>
      <c r="G80" s="9" t="n">
        <f aca="false">LEN(TRIM(D80))</f>
        <v>56</v>
      </c>
      <c r="H80" s="13" t="str">
        <f aca="false">IF(LEN(TRIM(D80))=0,"",IF(AND(LEN(TRIM(D80))&lt;3,ISNA(MATCH(F80,Parametros!$K$4:$K$8,0))),"Muy corta",IF(OR(ISNUMBER(SEARCH("@",D80)),ISNUMBER(SEARCH("http",D80)),ISNUMBER(SEARCH("www.",D80))),"Posible dato personal","")))</f>
        <v/>
      </c>
    </row>
    <row r="81" customFormat="false" ht="21.75" hidden="false" customHeight="true" outlineLevel="0" collapsed="false">
      <c r="A81" s="5" t="s">
        <v>32</v>
      </c>
      <c r="B81" s="9" t="s">
        <v>22</v>
      </c>
      <c r="C81" s="9" t="s">
        <v>143</v>
      </c>
      <c r="D81" s="11" t="s">
        <v>301</v>
      </c>
      <c r="E81" s="12" t="s">
        <v>145</v>
      </c>
      <c r="F81" s="12" t="s">
        <v>146</v>
      </c>
      <c r="G81" s="9" t="n">
        <f aca="false">LEN(TRIM(D81))</f>
        <v>33</v>
      </c>
      <c r="H81" s="13" t="str">
        <f aca="false">IF(LEN(TRIM(D81))=0,"",IF(AND(LEN(TRIM(D81))&lt;3,ISNA(MATCH(F81,Parametros!$K$4:$K$8,0))),"Muy corta",IF(OR(ISNUMBER(SEARCH("@",D81)),ISNUMBER(SEARCH("http",D81)),ISNUMBER(SEARCH("www.",D81))),"Posible dato personal","")))</f>
        <v/>
      </c>
    </row>
    <row r="82" customFormat="false" ht="21.75" hidden="false" customHeight="true" outlineLevel="0" collapsed="false">
      <c r="A82" s="5" t="s">
        <v>32</v>
      </c>
      <c r="B82" s="9" t="s">
        <v>22</v>
      </c>
      <c r="C82" s="9" t="s">
        <v>147</v>
      </c>
      <c r="D82" s="11" t="s">
        <v>302</v>
      </c>
      <c r="E82" s="12" t="s">
        <v>149</v>
      </c>
      <c r="F82" s="12" t="s">
        <v>103</v>
      </c>
      <c r="G82" s="9" t="n">
        <f aca="false">LEN(TRIM(D82))</f>
        <v>29</v>
      </c>
      <c r="H82" s="13" t="str">
        <f aca="false">IF(LEN(TRIM(D82))=0,"",IF(AND(LEN(TRIM(D82))&lt;3,ISNA(MATCH(F82,Parametros!$K$4:$K$8,0))),"Muy corta",IF(OR(ISNUMBER(SEARCH("@",D82)),ISNUMBER(SEARCH("http",D82)),ISNUMBER(SEARCH("www.",D82))),"Posible dato personal","")))</f>
        <v/>
      </c>
    </row>
    <row r="83" customFormat="false" ht="21.75" hidden="false" customHeight="true" outlineLevel="0" collapsed="false">
      <c r="A83" s="5" t="s">
        <v>34</v>
      </c>
      <c r="B83" s="9" t="s">
        <v>25</v>
      </c>
      <c r="C83" s="9" t="s">
        <v>150</v>
      </c>
      <c r="D83" s="11" t="s">
        <v>303</v>
      </c>
      <c r="E83" s="12" t="s">
        <v>152</v>
      </c>
      <c r="F83" s="12" t="s">
        <v>153</v>
      </c>
      <c r="G83" s="9" t="n">
        <f aca="false">LEN(TRIM(D83))</f>
        <v>73</v>
      </c>
      <c r="H83" s="13" t="str">
        <f aca="false">IF(LEN(TRIM(D83))=0,"",IF(AND(LEN(TRIM(D83))&lt;3,ISNA(MATCH(F83,Parametros!$K$4:$K$8,0))),"Muy corta",IF(OR(ISNUMBER(SEARCH("@",D83)),ISNUMBER(SEARCH("http",D83)),ISNUMBER(SEARCH("www.",D83))),"Posible dato personal","")))</f>
        <v/>
      </c>
    </row>
    <row r="84" customFormat="false" ht="21.75" hidden="false" customHeight="true" outlineLevel="0" collapsed="false">
      <c r="A84" s="5" t="s">
        <v>34</v>
      </c>
      <c r="B84" s="9" t="s">
        <v>25</v>
      </c>
      <c r="C84" s="9" t="s">
        <v>154</v>
      </c>
      <c r="D84" s="11" t="s">
        <v>304</v>
      </c>
      <c r="E84" s="12" t="s">
        <v>156</v>
      </c>
      <c r="F84" s="12" t="s">
        <v>157</v>
      </c>
      <c r="G84" s="9" t="n">
        <f aca="false">LEN(TRIM(D84))</f>
        <v>67</v>
      </c>
      <c r="H84" s="13" t="str">
        <f aca="false">IF(LEN(TRIM(D84))=0,"",IF(AND(LEN(TRIM(D84))&lt;3,ISNA(MATCH(F84,Parametros!$K$4:$K$8,0))),"Muy corta",IF(OR(ISNUMBER(SEARCH("@",D84)),ISNUMBER(SEARCH("http",D84)),ISNUMBER(SEARCH("www.",D84))),"Posible dato personal","")))</f>
        <v/>
      </c>
    </row>
    <row r="85" customFormat="false" ht="21.75" hidden="false" customHeight="true" outlineLevel="0" collapsed="false">
      <c r="A85" s="5" t="s">
        <v>34</v>
      </c>
      <c r="B85" s="9" t="s">
        <v>25</v>
      </c>
      <c r="C85" s="9" t="s">
        <v>158</v>
      </c>
      <c r="D85" s="11" t="s">
        <v>305</v>
      </c>
      <c r="E85" s="12" t="s">
        <v>160</v>
      </c>
      <c r="F85" s="12" t="s">
        <v>161</v>
      </c>
      <c r="G85" s="9" t="n">
        <f aca="false">LEN(TRIM(D85))</f>
        <v>58</v>
      </c>
      <c r="H85" s="13" t="str">
        <f aca="false">IF(LEN(TRIM(D85))=0,"",IF(AND(LEN(TRIM(D85))&lt;3,ISNA(MATCH(F85,Parametros!$K$4:$K$8,0))),"Muy corta",IF(OR(ISNUMBER(SEARCH("@",D85)),ISNUMBER(SEARCH("http",D85)),ISNUMBER(SEARCH("www.",D85))),"Posible dato personal","")))</f>
        <v/>
      </c>
    </row>
    <row r="86" customFormat="false" ht="21.75" hidden="false" customHeight="true" outlineLevel="0" collapsed="false">
      <c r="A86" s="5" t="s">
        <v>34</v>
      </c>
      <c r="B86" s="9" t="s">
        <v>25</v>
      </c>
      <c r="C86" s="9" t="s">
        <v>162</v>
      </c>
      <c r="D86" s="11" t="s">
        <v>306</v>
      </c>
      <c r="E86" s="12" t="s">
        <v>164</v>
      </c>
      <c r="F86" s="12" t="s">
        <v>165</v>
      </c>
      <c r="G86" s="9" t="n">
        <f aca="false">LEN(TRIM(D86))</f>
        <v>48</v>
      </c>
      <c r="H86" s="13" t="str">
        <f aca="false">IF(LEN(TRIM(D86))=0,"",IF(AND(LEN(TRIM(D86))&lt;3,ISNA(MATCH(F86,Parametros!$K$4:$K$8,0))),"Muy corta",IF(OR(ISNUMBER(SEARCH("@",D86)),ISNUMBER(SEARCH("http",D86)),ISNUMBER(SEARCH("www.",D86))),"Posible dato personal","")))</f>
        <v/>
      </c>
    </row>
    <row r="87" customFormat="false" ht="21.75" hidden="false" customHeight="true" outlineLevel="0" collapsed="false">
      <c r="A87" s="5" t="s">
        <v>34</v>
      </c>
      <c r="B87" s="9" t="s">
        <v>25</v>
      </c>
      <c r="C87" s="9" t="s">
        <v>166</v>
      </c>
      <c r="D87" s="11" t="s">
        <v>307</v>
      </c>
      <c r="E87" s="12" t="s">
        <v>168</v>
      </c>
      <c r="F87" s="12" t="s">
        <v>169</v>
      </c>
      <c r="G87" s="9" t="n">
        <f aca="false">LEN(TRIM(D87))</f>
        <v>25</v>
      </c>
      <c r="H87" s="13" t="str">
        <f aca="false">IF(LEN(TRIM(D87))=0,"",IF(AND(LEN(TRIM(D87))&lt;3,ISNA(MATCH(F87,Parametros!$K$4:$K$8,0))),"Muy corta",IF(OR(ISNUMBER(SEARCH("@",D87)),ISNUMBER(SEARCH("http",D87)),ISNUMBER(SEARCH("www.",D87))),"Posible dato personal","")))</f>
        <v/>
      </c>
    </row>
    <row r="88" customFormat="false" ht="21.75" hidden="false" customHeight="true" outlineLevel="0" collapsed="false">
      <c r="A88" s="5" t="s">
        <v>34</v>
      </c>
      <c r="B88" s="9" t="s">
        <v>25</v>
      </c>
      <c r="C88" s="9" t="s">
        <v>170</v>
      </c>
      <c r="D88" s="11" t="s">
        <v>308</v>
      </c>
      <c r="E88" s="12" t="s">
        <v>172</v>
      </c>
      <c r="F88" s="12" t="s">
        <v>173</v>
      </c>
      <c r="G88" s="9" t="n">
        <f aca="false">LEN(TRIM(D88))</f>
        <v>49</v>
      </c>
      <c r="H88" s="13" t="str">
        <f aca="false">IF(LEN(TRIM(D88))=0,"",IF(AND(LEN(TRIM(D88))&lt;3,ISNA(MATCH(F88,Parametros!$K$4:$K$8,0))),"Muy corta",IF(OR(ISNUMBER(SEARCH("@",D88)),ISNUMBER(SEARCH("http",D88)),ISNUMBER(SEARCH("www.",D88))),"Posible dato personal","")))</f>
        <v/>
      </c>
    </row>
    <row r="89" customFormat="false" ht="15" hidden="false" customHeight="true" outlineLevel="0" collapsed="false">
      <c r="A89" s="5" t="s">
        <v>34</v>
      </c>
      <c r="B89" s="9" t="s">
        <v>25</v>
      </c>
      <c r="C89" s="9" t="s">
        <v>174</v>
      </c>
      <c r="D89" s="11" t="s">
        <v>309</v>
      </c>
      <c r="E89" s="12" t="s">
        <v>175</v>
      </c>
      <c r="F89" s="12" t="s">
        <v>176</v>
      </c>
      <c r="G89" s="9" t="n">
        <f aca="false">LEN(TRIM(D89))</f>
        <v>39</v>
      </c>
      <c r="H89" s="13" t="str">
        <f aca="false">IF(LEN(TRIM(D89))=0,"",IF(AND(LEN(TRIM(D89))&lt;3,ISNA(MATCH(F89,Parametros!$K$4:$K$8,0))),"Muy corta",IF(OR(ISNUMBER(SEARCH("@",D89)),ISNUMBER(SEARCH("http",D89)),ISNUMBER(SEARCH("www.",D89))),"Posible dato personal","")))</f>
        <v/>
      </c>
    </row>
    <row r="90" customFormat="false" ht="21.75" hidden="false" customHeight="true" outlineLevel="0" collapsed="false">
      <c r="A90" s="5" t="s">
        <v>34</v>
      </c>
      <c r="B90" s="9" t="s">
        <v>25</v>
      </c>
      <c r="C90" s="9" t="s">
        <v>177</v>
      </c>
      <c r="D90" s="11" t="s">
        <v>310</v>
      </c>
      <c r="E90" s="12" t="s">
        <v>179</v>
      </c>
      <c r="F90" s="12" t="s">
        <v>180</v>
      </c>
      <c r="G90" s="9" t="n">
        <f aca="false">LEN(TRIM(D90))</f>
        <v>65</v>
      </c>
      <c r="H90" s="13" t="str">
        <f aca="false">IF(LEN(TRIM(D90))=0,"",IF(AND(LEN(TRIM(D90))&lt;3,ISNA(MATCH(F90,Parametros!$K$4:$K$8,0))),"Muy corta",IF(OR(ISNUMBER(SEARCH("@",D90)),ISNUMBER(SEARCH("http",D90)),ISNUMBER(SEARCH("www.",D90))),"Posible dato personal","")))</f>
        <v/>
      </c>
    </row>
    <row r="91" customFormat="false" ht="21.75" hidden="false" customHeight="true" outlineLevel="0" collapsed="false">
      <c r="A91" s="5" t="s">
        <v>34</v>
      </c>
      <c r="B91" s="9" t="s">
        <v>25</v>
      </c>
      <c r="C91" s="9" t="s">
        <v>181</v>
      </c>
      <c r="D91" s="11" t="s">
        <v>311</v>
      </c>
      <c r="E91" s="12" t="s">
        <v>183</v>
      </c>
      <c r="F91" s="12" t="s">
        <v>184</v>
      </c>
      <c r="G91" s="9" t="n">
        <f aca="false">LEN(TRIM(D91))</f>
        <v>55</v>
      </c>
      <c r="H91" s="13" t="str">
        <f aca="false">IF(LEN(TRIM(D91))=0,"",IF(AND(LEN(TRIM(D91))&lt;3,ISNA(MATCH(F91,Parametros!$K$4:$K$8,0))),"Muy corta",IF(OR(ISNUMBER(SEARCH("@",D91)),ISNUMBER(SEARCH("http",D91)),ISNUMBER(SEARCH("www.",D91))),"Posible dato personal","")))</f>
        <v/>
      </c>
    </row>
    <row r="92" customFormat="false" ht="21.75" hidden="false" customHeight="true" outlineLevel="0" collapsed="false">
      <c r="A92" s="5" t="s">
        <v>34</v>
      </c>
      <c r="B92" s="9" t="s">
        <v>25</v>
      </c>
      <c r="C92" s="9" t="s">
        <v>185</v>
      </c>
      <c r="D92" s="11" t="s">
        <v>312</v>
      </c>
      <c r="E92" s="12" t="s">
        <v>187</v>
      </c>
      <c r="F92" s="12" t="s">
        <v>188</v>
      </c>
      <c r="G92" s="9" t="n">
        <f aca="false">LEN(TRIM(D92))</f>
        <v>9</v>
      </c>
      <c r="H92" s="13" t="str">
        <f aca="false">IF(LEN(TRIM(D92))=0,"",IF(AND(LEN(TRIM(D92))&lt;3,ISNA(MATCH(F92,Parametros!$K$4:$K$8,0))),"Muy corta",IF(OR(ISNUMBER(SEARCH("@",D92)),ISNUMBER(SEARCH("http",D92)),ISNUMBER(SEARCH("www.",D92))),"Posible dato personal","")))</f>
        <v/>
      </c>
    </row>
    <row r="93" customFormat="false" ht="21.75" hidden="false" customHeight="true" outlineLevel="0" collapsed="false">
      <c r="A93" s="5" t="s">
        <v>34</v>
      </c>
      <c r="B93" s="9" t="s">
        <v>25</v>
      </c>
      <c r="C93" s="9" t="s">
        <v>189</v>
      </c>
      <c r="D93" s="11" t="s">
        <v>313</v>
      </c>
      <c r="E93" s="12" t="s">
        <v>191</v>
      </c>
      <c r="F93" s="12" t="s">
        <v>192</v>
      </c>
      <c r="G93" s="9" t="n">
        <f aca="false">LEN(TRIM(D93))</f>
        <v>41</v>
      </c>
      <c r="H93" s="13" t="str">
        <f aca="false">IF(LEN(TRIM(D93))=0,"",IF(AND(LEN(TRIM(D93))&lt;3,ISNA(MATCH(F93,Parametros!$K$4:$K$8,0))),"Muy corta",IF(OR(ISNUMBER(SEARCH("@",D93)),ISNUMBER(SEARCH("http",D93)),ISNUMBER(SEARCH("www.",D93))),"Posible dato personal","")))</f>
        <v/>
      </c>
    </row>
    <row r="94" customFormat="false" ht="21.75" hidden="false" customHeight="true" outlineLevel="0" collapsed="false">
      <c r="A94" s="5" t="s">
        <v>35</v>
      </c>
      <c r="B94" s="9" t="s">
        <v>27</v>
      </c>
      <c r="C94" s="9" t="s">
        <v>193</v>
      </c>
      <c r="D94" s="11" t="s">
        <v>314</v>
      </c>
      <c r="E94" s="12" t="s">
        <v>195</v>
      </c>
      <c r="F94" s="12" t="s">
        <v>196</v>
      </c>
      <c r="G94" s="9" t="n">
        <f aca="false">LEN(TRIM(D94))</f>
        <v>61</v>
      </c>
      <c r="H94" s="13" t="str">
        <f aca="false">IF(LEN(TRIM(D94))=0,"",IF(AND(LEN(TRIM(D94))&lt;3,ISNA(MATCH(F94,Parametros!$K$4:$K$8,0))),"Muy corta",IF(OR(ISNUMBER(SEARCH("@",D94)),ISNUMBER(SEARCH("http",D94)),ISNUMBER(SEARCH("www.",D94))),"Posible dato personal","")))</f>
        <v/>
      </c>
    </row>
    <row r="95" customFormat="false" ht="21.75" hidden="false" customHeight="true" outlineLevel="0" collapsed="false">
      <c r="A95" s="5" t="s">
        <v>35</v>
      </c>
      <c r="B95" s="9" t="s">
        <v>27</v>
      </c>
      <c r="C95" s="9" t="s">
        <v>197</v>
      </c>
      <c r="D95" s="11" t="s">
        <v>315</v>
      </c>
      <c r="E95" s="12" t="s">
        <v>199</v>
      </c>
      <c r="F95" s="12" t="s">
        <v>200</v>
      </c>
      <c r="G95" s="9" t="n">
        <f aca="false">LEN(TRIM(D95))</f>
        <v>55</v>
      </c>
      <c r="H95" s="13" t="str">
        <f aca="false">IF(LEN(TRIM(D95))=0,"",IF(AND(LEN(TRIM(D95))&lt;3,ISNA(MATCH(F95,Parametros!$K$4:$K$8,0))),"Muy corta",IF(OR(ISNUMBER(SEARCH("@",D95)),ISNUMBER(SEARCH("http",D95)),ISNUMBER(SEARCH("www.",D95))),"Posible dato personal","")))</f>
        <v/>
      </c>
    </row>
    <row r="96" customFormat="false" ht="21.75" hidden="false" customHeight="true" outlineLevel="0" collapsed="false">
      <c r="A96" s="5" t="s">
        <v>35</v>
      </c>
      <c r="B96" s="9" t="s">
        <v>27</v>
      </c>
      <c r="C96" s="9" t="s">
        <v>201</v>
      </c>
      <c r="D96" s="11" t="s">
        <v>316</v>
      </c>
      <c r="E96" s="12" t="s">
        <v>203</v>
      </c>
      <c r="F96" s="12" t="s">
        <v>204</v>
      </c>
      <c r="G96" s="9" t="n">
        <f aca="false">LEN(TRIM(D96))</f>
        <v>43</v>
      </c>
      <c r="H96" s="13" t="str">
        <f aca="false">IF(LEN(TRIM(D96))=0,"",IF(AND(LEN(TRIM(D96))&lt;3,ISNA(MATCH(F96,Parametros!$K$4:$K$8,0))),"Muy corta",IF(OR(ISNUMBER(SEARCH("@",D96)),ISNUMBER(SEARCH("http",D96)),ISNUMBER(SEARCH("www.",D96))),"Posible dato personal","")))</f>
        <v/>
      </c>
    </row>
    <row r="97" customFormat="false" ht="21.75" hidden="false" customHeight="true" outlineLevel="0" collapsed="false">
      <c r="A97" s="5" t="s">
        <v>35</v>
      </c>
      <c r="B97" s="9" t="s">
        <v>27</v>
      </c>
      <c r="C97" s="9" t="s">
        <v>205</v>
      </c>
      <c r="D97" s="11" t="s">
        <v>317</v>
      </c>
      <c r="E97" s="12" t="s">
        <v>207</v>
      </c>
      <c r="F97" s="12" t="s">
        <v>208</v>
      </c>
      <c r="G97" s="9" t="n">
        <f aca="false">LEN(TRIM(D97))</f>
        <v>58</v>
      </c>
      <c r="H97" s="13" t="str">
        <f aca="false">IF(LEN(TRIM(D97))=0,"",IF(AND(LEN(TRIM(D97))&lt;3,ISNA(MATCH(F97,Parametros!$K$4:$K$8,0))),"Muy corta",IF(OR(ISNUMBER(SEARCH("@",D97)),ISNUMBER(SEARCH("http",D97)),ISNUMBER(SEARCH("www.",D97))),"Posible dato personal","")))</f>
        <v/>
      </c>
    </row>
    <row r="98" customFormat="false" ht="21.75" hidden="false" customHeight="true" outlineLevel="0" collapsed="false">
      <c r="A98" s="5" t="s">
        <v>35</v>
      </c>
      <c r="B98" s="9" t="s">
        <v>27</v>
      </c>
      <c r="C98" s="9" t="s">
        <v>209</v>
      </c>
      <c r="D98" s="11" t="s">
        <v>318</v>
      </c>
      <c r="E98" s="12" t="s">
        <v>211</v>
      </c>
      <c r="F98" s="12" t="s">
        <v>212</v>
      </c>
      <c r="G98" s="9" t="n">
        <f aca="false">LEN(TRIM(D98))</f>
        <v>52</v>
      </c>
      <c r="H98" s="13" t="str">
        <f aca="false">IF(LEN(TRIM(D98))=0,"",IF(AND(LEN(TRIM(D98))&lt;3,ISNA(MATCH(F98,Parametros!$K$4:$K$8,0))),"Muy corta",IF(OR(ISNUMBER(SEARCH("@",D98)),ISNUMBER(SEARCH("http",D98)),ISNUMBER(SEARCH("www.",D98))),"Posible dato personal","")))</f>
        <v/>
      </c>
    </row>
    <row r="99" customFormat="false" ht="21.75" hidden="false" customHeight="true" outlineLevel="0" collapsed="false">
      <c r="A99" s="5" t="s">
        <v>35</v>
      </c>
      <c r="B99" s="9" t="s">
        <v>27</v>
      </c>
      <c r="C99" s="9" t="s">
        <v>213</v>
      </c>
      <c r="D99" s="11" t="s">
        <v>319</v>
      </c>
      <c r="E99" s="12" t="s">
        <v>215</v>
      </c>
      <c r="F99" s="12" t="s">
        <v>216</v>
      </c>
      <c r="G99" s="9" t="n">
        <f aca="false">LEN(TRIM(D99))</f>
        <v>67</v>
      </c>
      <c r="H99" s="13" t="str">
        <f aca="false">IF(LEN(TRIM(D99))=0,"",IF(AND(LEN(TRIM(D99))&lt;3,ISNA(MATCH(F99,Parametros!$K$4:$K$8,0))),"Muy corta",IF(OR(ISNUMBER(SEARCH("@",D99)),ISNUMBER(SEARCH("http",D99)),ISNUMBER(SEARCH("www.",D99))),"Posible dato personal","")))</f>
        <v/>
      </c>
    </row>
    <row r="100" customFormat="false" ht="21.75" hidden="false" customHeight="true" outlineLevel="0" collapsed="false">
      <c r="A100" s="5" t="s">
        <v>35</v>
      </c>
      <c r="B100" s="9" t="s">
        <v>27</v>
      </c>
      <c r="C100" s="9" t="s">
        <v>217</v>
      </c>
      <c r="D100" s="11" t="s">
        <v>320</v>
      </c>
      <c r="E100" s="12" t="s">
        <v>219</v>
      </c>
      <c r="F100" s="12" t="s">
        <v>220</v>
      </c>
      <c r="G100" s="9" t="n">
        <f aca="false">LEN(TRIM(D100))</f>
        <v>61</v>
      </c>
      <c r="H100" s="13" t="str">
        <f aca="false">IF(LEN(TRIM(D100))=0,"",IF(AND(LEN(TRIM(D100))&lt;3,ISNA(MATCH(F100,Parametros!$K$4:$K$8,0))),"Muy corta",IF(OR(ISNUMBER(SEARCH("@",D100)),ISNUMBER(SEARCH("http",D100)),ISNUMBER(SEARCH("www.",D100))),"Posible dato personal","")))</f>
        <v/>
      </c>
    </row>
    <row r="101" customFormat="false" ht="21.75" hidden="false" customHeight="true" outlineLevel="0" collapsed="false">
      <c r="A101" s="5" t="s">
        <v>35</v>
      </c>
      <c r="B101" s="9" t="s">
        <v>27</v>
      </c>
      <c r="C101" s="9" t="s">
        <v>221</v>
      </c>
      <c r="D101" s="11" t="s">
        <v>321</v>
      </c>
      <c r="E101" s="12" t="s">
        <v>223</v>
      </c>
      <c r="F101" s="12" t="s">
        <v>224</v>
      </c>
      <c r="G101" s="9" t="n">
        <f aca="false">LEN(TRIM(D101))</f>
        <v>55</v>
      </c>
      <c r="H101" s="13" t="str">
        <f aca="false">IF(LEN(TRIM(D101))=0,"",IF(AND(LEN(TRIM(D101))&lt;3,ISNA(MATCH(F101,Parametros!$K$4:$K$8,0))),"Muy corta",IF(OR(ISNUMBER(SEARCH("@",D101)),ISNUMBER(SEARCH("http",D101)),ISNUMBER(SEARCH("www.",D101))),"Posible dato personal","")))</f>
        <v/>
      </c>
    </row>
    <row r="102" customFormat="false" ht="21.75" hidden="false" customHeight="true" outlineLevel="0" collapsed="false">
      <c r="A102" s="5" t="s">
        <v>35</v>
      </c>
      <c r="B102" s="9" t="s">
        <v>27</v>
      </c>
      <c r="C102" s="9" t="s">
        <v>225</v>
      </c>
      <c r="D102" s="11" t="s">
        <v>322</v>
      </c>
      <c r="E102" s="12" t="s">
        <v>227</v>
      </c>
      <c r="F102" s="12" t="s">
        <v>228</v>
      </c>
      <c r="G102" s="9" t="n">
        <f aca="false">LEN(TRIM(D102))</f>
        <v>51</v>
      </c>
      <c r="H102" s="13" t="str">
        <f aca="false">IF(LEN(TRIM(D102))=0,"",IF(AND(LEN(TRIM(D102))&lt;3,ISNA(MATCH(F102,Parametros!$K$4:$K$8,0))),"Muy corta",IF(OR(ISNUMBER(SEARCH("@",D102)),ISNUMBER(SEARCH("http",D102)),ISNUMBER(SEARCH("www.",D102))),"Posible dato personal","")))</f>
        <v/>
      </c>
    </row>
    <row r="103" customFormat="false" ht="21.75" hidden="false" customHeight="true" outlineLevel="0" collapsed="false">
      <c r="A103" s="5" t="s">
        <v>35</v>
      </c>
      <c r="B103" s="9" t="s">
        <v>27</v>
      </c>
      <c r="C103" s="9" t="s">
        <v>229</v>
      </c>
      <c r="D103" s="11" t="s">
        <v>323</v>
      </c>
      <c r="E103" s="12" t="s">
        <v>231</v>
      </c>
      <c r="F103" s="12" t="s">
        <v>232</v>
      </c>
      <c r="G103" s="9" t="n">
        <f aca="false">LEN(TRIM(D103))</f>
        <v>16</v>
      </c>
      <c r="H103" s="13" t="str">
        <f aca="false">IF(LEN(TRIM(D103))=0,"",IF(AND(LEN(TRIM(D103))&lt;3,ISNA(MATCH(F103,Parametros!$K$4:$K$8,0))),"Muy corta",IF(OR(ISNUMBER(SEARCH("@",D103)),ISNUMBER(SEARCH("http",D103)),ISNUMBER(SEARCH("www.",D103))),"Posible dato personal","")))</f>
        <v/>
      </c>
    </row>
    <row r="104" customFormat="false" ht="21.75" hidden="false" customHeight="true" outlineLevel="0" collapsed="false">
      <c r="A104" s="5" t="s">
        <v>35</v>
      </c>
      <c r="B104" s="9" t="s">
        <v>27</v>
      </c>
      <c r="C104" s="9" t="s">
        <v>233</v>
      </c>
      <c r="D104" s="11" t="s">
        <v>324</v>
      </c>
      <c r="E104" s="12" t="s">
        <v>235</v>
      </c>
      <c r="F104" s="12" t="s">
        <v>236</v>
      </c>
      <c r="G104" s="9" t="n">
        <f aca="false">LEN(TRIM(D104))</f>
        <v>27</v>
      </c>
      <c r="H104" s="13" t="str">
        <f aca="false">IF(LEN(TRIM(D104))=0,"",IF(AND(LEN(TRIM(D104))&lt;3,ISNA(MATCH(F104,Parametros!$K$4:$K$8,0))),"Muy corta",IF(OR(ISNUMBER(SEARCH("@",D104)),ISNUMBER(SEARCH("http",D104)),ISNUMBER(SEARCH("www.",D104))),"Posible dato personal","")))</f>
        <v/>
      </c>
    </row>
    <row r="105" customFormat="false" ht="21.75" hidden="false" customHeight="true" outlineLevel="0" collapsed="false">
      <c r="A105" s="5" t="s">
        <v>36</v>
      </c>
      <c r="B105" s="9" t="s">
        <v>30</v>
      </c>
      <c r="C105" s="9" t="s">
        <v>237</v>
      </c>
      <c r="D105" s="11" t="s">
        <v>325</v>
      </c>
      <c r="E105" s="12" t="s">
        <v>239</v>
      </c>
      <c r="F105" s="12" t="s">
        <v>240</v>
      </c>
      <c r="G105" s="9" t="n">
        <f aca="false">LEN(TRIM(D105))</f>
        <v>53</v>
      </c>
      <c r="H105" s="13" t="str">
        <f aca="false">IF(LEN(TRIM(D105))=0,"",IF(AND(LEN(TRIM(D105))&lt;3,ISNA(MATCH(F105,Parametros!$K$4:$K$8,0))),"Muy corta",IF(OR(ISNUMBER(SEARCH("@",D105)),ISNUMBER(SEARCH("http",D105)),ISNUMBER(SEARCH("www.",D105))),"Posible dato personal","")))</f>
        <v/>
      </c>
    </row>
    <row r="106" customFormat="false" ht="21.75" hidden="false" customHeight="true" outlineLevel="0" collapsed="false">
      <c r="A106" s="5" t="s">
        <v>36</v>
      </c>
      <c r="B106" s="9" t="s">
        <v>30</v>
      </c>
      <c r="C106" s="9" t="s">
        <v>241</v>
      </c>
      <c r="D106" s="11" t="s">
        <v>326</v>
      </c>
      <c r="E106" s="12" t="s">
        <v>243</v>
      </c>
      <c r="F106" s="12" t="s">
        <v>244</v>
      </c>
      <c r="G106" s="9" t="n">
        <f aca="false">LEN(TRIM(D106))</f>
        <v>35</v>
      </c>
      <c r="H106" s="13" t="str">
        <f aca="false">IF(LEN(TRIM(D106))=0,"",IF(AND(LEN(TRIM(D106))&lt;3,ISNA(MATCH(F106,Parametros!$K$4:$K$8,0))),"Muy corta",IF(OR(ISNUMBER(SEARCH("@",D106)),ISNUMBER(SEARCH("http",D106)),ISNUMBER(SEARCH("www.",D106))),"Posible dato personal","")))</f>
        <v/>
      </c>
    </row>
    <row r="107" customFormat="false" ht="21.75" hidden="false" customHeight="true" outlineLevel="0" collapsed="false">
      <c r="A107" s="5" t="s">
        <v>36</v>
      </c>
      <c r="B107" s="9" t="s">
        <v>30</v>
      </c>
      <c r="C107" s="9" t="s">
        <v>245</v>
      </c>
      <c r="D107" s="11" t="s">
        <v>327</v>
      </c>
      <c r="E107" s="12" t="s">
        <v>247</v>
      </c>
      <c r="F107" s="12" t="s">
        <v>248</v>
      </c>
      <c r="G107" s="9" t="n">
        <f aca="false">LEN(TRIM(D107))</f>
        <v>44</v>
      </c>
      <c r="H107" s="13" t="str">
        <f aca="false">IF(LEN(TRIM(D107))=0,"",IF(AND(LEN(TRIM(D107))&lt;3,ISNA(MATCH(F107,Parametros!$K$4:$K$8,0))),"Muy corta",IF(OR(ISNUMBER(SEARCH("@",D107)),ISNUMBER(SEARCH("http",D107)),ISNUMBER(SEARCH("www.",D107))),"Posible dato personal","")))</f>
        <v/>
      </c>
    </row>
    <row r="108" customFormat="false" ht="21.75" hidden="false" customHeight="true" outlineLevel="0" collapsed="false">
      <c r="A108" s="5" t="s">
        <v>36</v>
      </c>
      <c r="B108" s="9" t="s">
        <v>30</v>
      </c>
      <c r="C108" s="9" t="s">
        <v>249</v>
      </c>
      <c r="D108" s="11" t="s">
        <v>328</v>
      </c>
      <c r="E108" s="12" t="s">
        <v>251</v>
      </c>
      <c r="F108" s="12" t="s">
        <v>252</v>
      </c>
      <c r="G108" s="9" t="n">
        <f aca="false">LEN(TRIM(D108))</f>
        <v>75</v>
      </c>
      <c r="H108" s="13" t="str">
        <f aca="false">IF(LEN(TRIM(D108))=0,"",IF(AND(LEN(TRIM(D108))&lt;3,ISNA(MATCH(F108,Parametros!$K$4:$K$8,0))),"Muy corta",IF(OR(ISNUMBER(SEARCH("@",D108)),ISNUMBER(SEARCH("http",D108)),ISNUMBER(SEARCH("www.",D108))),"Posible dato personal","")))</f>
        <v/>
      </c>
    </row>
    <row r="109" customFormat="false" ht="21.75" hidden="false" customHeight="true" outlineLevel="0" collapsed="false">
      <c r="A109" s="5" t="s">
        <v>36</v>
      </c>
      <c r="B109" s="9" t="s">
        <v>30</v>
      </c>
      <c r="C109" s="9" t="s">
        <v>253</v>
      </c>
      <c r="D109" s="11" t="s">
        <v>329</v>
      </c>
      <c r="E109" s="12" t="s">
        <v>255</v>
      </c>
      <c r="F109" s="12" t="s">
        <v>256</v>
      </c>
      <c r="G109" s="9" t="n">
        <f aca="false">LEN(TRIM(D109))</f>
        <v>57</v>
      </c>
      <c r="H109" s="13" t="str">
        <f aca="false">IF(LEN(TRIM(D109))=0,"",IF(AND(LEN(TRIM(D109))&lt;3,ISNA(MATCH(F109,Parametros!$K$4:$K$8,0))),"Muy corta",IF(OR(ISNUMBER(SEARCH("@",D109)),ISNUMBER(SEARCH("http",D109)),ISNUMBER(SEARCH("www.",D109))),"Posible dato personal","")))</f>
        <v/>
      </c>
    </row>
    <row r="110" customFormat="false" ht="15" hidden="false" customHeight="true" outlineLevel="0" collapsed="false">
      <c r="A110" s="5" t="s">
        <v>36</v>
      </c>
      <c r="B110" s="9" t="s">
        <v>30</v>
      </c>
      <c r="C110" s="9" t="s">
        <v>257</v>
      </c>
      <c r="D110" s="11" t="s">
        <v>330</v>
      </c>
      <c r="E110" s="12" t="s">
        <v>259</v>
      </c>
      <c r="F110" s="12" t="s">
        <v>260</v>
      </c>
      <c r="G110" s="9" t="n">
        <f aca="false">LEN(TRIM(D110))</f>
        <v>52</v>
      </c>
      <c r="H110" s="13" t="str">
        <f aca="false">IF(LEN(TRIM(D110))=0,"",IF(AND(LEN(TRIM(D110))&lt;3,ISNA(MATCH(F110,Parametros!$K$4:$K$8,0))),"Muy corta",IF(OR(ISNUMBER(SEARCH("@",D110)),ISNUMBER(SEARCH("http",D110)),ISNUMBER(SEARCH("www.",D110))),"Posible dato personal","")))</f>
        <v/>
      </c>
    </row>
    <row r="111" customFormat="false" ht="15" hidden="false" customHeight="true" outlineLevel="0" collapsed="false">
      <c r="A111" s="5" t="s">
        <v>36</v>
      </c>
      <c r="B111" s="9" t="s">
        <v>30</v>
      </c>
      <c r="C111" s="9" t="s">
        <v>261</v>
      </c>
      <c r="D111" s="11" t="s">
        <v>331</v>
      </c>
      <c r="E111" s="12" t="s">
        <v>263</v>
      </c>
      <c r="F111" s="12" t="s">
        <v>264</v>
      </c>
      <c r="G111" s="9" t="n">
        <f aca="false">LEN(TRIM(D111))</f>
        <v>65</v>
      </c>
      <c r="H111" s="13" t="str">
        <f aca="false">IF(LEN(TRIM(D111))=0,"",IF(AND(LEN(TRIM(D111))&lt;3,ISNA(MATCH(F111,Parametros!$K$4:$K$8,0))),"Muy corta",IF(OR(ISNUMBER(SEARCH("@",D111)),ISNUMBER(SEARCH("http",D111)),ISNUMBER(SEARCH("www.",D111))),"Posible dato personal","")))</f>
        <v/>
      </c>
    </row>
    <row r="112" customFormat="false" ht="21.75" hidden="false" customHeight="true" outlineLevel="0" collapsed="false">
      <c r="A112" s="5" t="s">
        <v>36</v>
      </c>
      <c r="B112" s="9" t="s">
        <v>30</v>
      </c>
      <c r="C112" s="9" t="s">
        <v>265</v>
      </c>
      <c r="D112" s="11" t="s">
        <v>332</v>
      </c>
      <c r="E112" s="12" t="s">
        <v>267</v>
      </c>
      <c r="F112" s="12" t="s">
        <v>268</v>
      </c>
      <c r="G112" s="9" t="n">
        <f aca="false">LEN(TRIM(D112))</f>
        <v>44</v>
      </c>
      <c r="H112" s="13" t="str">
        <f aca="false">IF(LEN(TRIM(D112))=0,"",IF(AND(LEN(TRIM(D112))&lt;3,ISNA(MATCH(F112,Parametros!$K$4:$K$8,0))),"Muy corta",IF(OR(ISNUMBER(SEARCH("@",D112)),ISNUMBER(SEARCH("http",D112)),ISNUMBER(SEARCH("www.",D112))),"Posible dato personal","")))</f>
        <v/>
      </c>
    </row>
    <row r="113" customFormat="false" ht="15" hidden="false" customHeight="true" outlineLevel="0" collapsed="false">
      <c r="A113" s="5" t="s">
        <v>36</v>
      </c>
      <c r="B113" s="9" t="s">
        <v>30</v>
      </c>
      <c r="C113" s="9" t="s">
        <v>269</v>
      </c>
      <c r="D113" s="11" t="s">
        <v>333</v>
      </c>
      <c r="E113" s="12" t="s">
        <v>271</v>
      </c>
      <c r="F113" s="12" t="s">
        <v>272</v>
      </c>
      <c r="G113" s="9" t="n">
        <f aca="false">LEN(TRIM(D113))</f>
        <v>13</v>
      </c>
      <c r="H113" s="13" t="str">
        <f aca="false">IF(LEN(TRIM(D113))=0,"",IF(AND(LEN(TRIM(D113))&lt;3,ISNA(MATCH(F113,Parametros!$K$4:$K$8,0))),"Muy corta",IF(OR(ISNUMBER(SEARCH("@",D113)),ISNUMBER(SEARCH("http",D113)),ISNUMBER(SEARCH("www.",D113))),"Posible dato personal","")))</f>
        <v/>
      </c>
    </row>
    <row r="114" customFormat="false" ht="32.25" hidden="false" customHeight="true" outlineLevel="0" collapsed="false">
      <c r="A114" s="5" t="s">
        <v>36</v>
      </c>
      <c r="B114" s="9" t="s">
        <v>30</v>
      </c>
      <c r="C114" s="9" t="s">
        <v>273</v>
      </c>
      <c r="D114" s="11" t="s">
        <v>334</v>
      </c>
      <c r="E114" s="12" t="s">
        <v>275</v>
      </c>
      <c r="F114" s="12" t="s">
        <v>103</v>
      </c>
      <c r="G114" s="9" t="n">
        <f aca="false">LEN(TRIM(D114))</f>
        <v>29</v>
      </c>
      <c r="H114" s="13" t="str">
        <f aca="false">IF(LEN(TRIM(D114))=0,"",IF(AND(LEN(TRIM(D114))&lt;3,ISNA(MATCH(F114,Parametros!$K$4:$K$8,0))),"Muy corta",IF(OR(ISNUMBER(SEARCH("@",D114)),ISNUMBER(SEARCH("http",D114)),ISNUMBER(SEARCH("www.",D114))),"Posible dato personal","")))</f>
        <v/>
      </c>
    </row>
    <row r="115" customFormat="false" ht="15" hidden="false" customHeight="true" outlineLevel="0" collapsed="false">
      <c r="A115" s="5" t="s">
        <v>36</v>
      </c>
      <c r="B115" s="9" t="s">
        <v>30</v>
      </c>
      <c r="C115" s="9" t="s">
        <v>276</v>
      </c>
      <c r="D115" s="11" t="s">
        <v>335</v>
      </c>
      <c r="E115" s="12" t="s">
        <v>278</v>
      </c>
      <c r="F115" s="12" t="s">
        <v>279</v>
      </c>
      <c r="G115" s="9" t="n">
        <f aca="false">LEN(TRIM(D115))</f>
        <v>29</v>
      </c>
      <c r="H115" s="13" t="str">
        <f aca="false">IF(LEN(TRIM(D115))=0,"",IF(AND(LEN(TRIM(D115))&lt;3,ISNA(MATCH(F115,Parametros!$K$4:$K$8,0))),"Muy corta",IF(OR(ISNUMBER(SEARCH("@",D115)),ISNUMBER(SEARCH("http",D115)),ISNUMBER(SEARCH("www.",D115))),"Posible dato personal","")))</f>
        <v/>
      </c>
    </row>
    <row r="116" customFormat="false" ht="21.75" hidden="false" customHeight="true" outlineLevel="0" collapsed="false">
      <c r="A116" s="5" t="s">
        <v>37</v>
      </c>
      <c r="B116" s="9" t="s">
        <v>16</v>
      </c>
      <c r="C116" s="9" t="s">
        <v>60</v>
      </c>
      <c r="D116" s="11" t="s">
        <v>336</v>
      </c>
      <c r="E116" s="12" t="s">
        <v>62</v>
      </c>
      <c r="F116" s="12" t="s">
        <v>63</v>
      </c>
      <c r="G116" s="9" t="n">
        <f aca="false">LEN(TRIM(D116))</f>
        <v>40</v>
      </c>
      <c r="H116" s="13" t="str">
        <f aca="false">IF(LEN(TRIM(D116))=0,"",IF(AND(LEN(TRIM(D116))&lt;3,ISNA(MATCH(F116,Parametros!$K$4:$K$8,0))),"Muy corta",IF(OR(ISNUMBER(SEARCH("@",D116)),ISNUMBER(SEARCH("http",D116)),ISNUMBER(SEARCH("www.",D116))),"Posible dato personal","")))</f>
        <v/>
      </c>
    </row>
    <row r="117" customFormat="false" ht="21.75" hidden="false" customHeight="true" outlineLevel="0" collapsed="false">
      <c r="A117" s="5" t="s">
        <v>37</v>
      </c>
      <c r="B117" s="9" t="s">
        <v>16</v>
      </c>
      <c r="C117" s="9" t="s">
        <v>64</v>
      </c>
      <c r="D117" s="11" t="s">
        <v>337</v>
      </c>
      <c r="E117" s="12" t="s">
        <v>66</v>
      </c>
      <c r="F117" s="12" t="s">
        <v>67</v>
      </c>
      <c r="G117" s="9" t="n">
        <f aca="false">LEN(TRIM(D117))</f>
        <v>49</v>
      </c>
      <c r="H117" s="13" t="str">
        <f aca="false">IF(LEN(TRIM(D117))=0,"",IF(AND(LEN(TRIM(D117))&lt;3,ISNA(MATCH(F117,Parametros!$K$4:$K$8,0))),"Muy corta",IF(OR(ISNUMBER(SEARCH("@",D117)),ISNUMBER(SEARCH("http",D117)),ISNUMBER(SEARCH("www.",D117))),"Posible dato personal","")))</f>
        <v/>
      </c>
    </row>
    <row r="118" customFormat="false" ht="21.75" hidden="false" customHeight="true" outlineLevel="0" collapsed="false">
      <c r="A118" s="5" t="s">
        <v>37</v>
      </c>
      <c r="B118" s="9" t="s">
        <v>16</v>
      </c>
      <c r="C118" s="9" t="s">
        <v>68</v>
      </c>
      <c r="D118" s="11" t="s">
        <v>338</v>
      </c>
      <c r="E118" s="12" t="s">
        <v>70</v>
      </c>
      <c r="F118" s="12" t="s">
        <v>71</v>
      </c>
      <c r="G118" s="9" t="n">
        <f aca="false">LEN(TRIM(D118))</f>
        <v>30</v>
      </c>
      <c r="H118" s="13" t="str">
        <f aca="false">IF(LEN(TRIM(D118))=0,"",IF(AND(LEN(TRIM(D118))&lt;3,ISNA(MATCH(F118,Parametros!$K$4:$K$8,0))),"Muy corta",IF(OR(ISNUMBER(SEARCH("@",D118)),ISNUMBER(SEARCH("http",D118)),ISNUMBER(SEARCH("www.",D118))),"Posible dato personal","")))</f>
        <v/>
      </c>
    </row>
    <row r="119" customFormat="false" ht="21.75" hidden="false" customHeight="true" outlineLevel="0" collapsed="false">
      <c r="A119" s="5" t="s">
        <v>37</v>
      </c>
      <c r="B119" s="9" t="s">
        <v>16</v>
      </c>
      <c r="C119" s="9" t="s">
        <v>72</v>
      </c>
      <c r="D119" s="11" t="s">
        <v>339</v>
      </c>
      <c r="E119" s="12" t="s">
        <v>74</v>
      </c>
      <c r="F119" s="12" t="s">
        <v>75</v>
      </c>
      <c r="G119" s="9" t="n">
        <f aca="false">LEN(TRIM(D119))</f>
        <v>41</v>
      </c>
      <c r="H119" s="13" t="str">
        <f aca="false">IF(LEN(TRIM(D119))=0,"",IF(AND(LEN(TRIM(D119))&lt;3,ISNA(MATCH(F119,Parametros!$K$4:$K$8,0))),"Muy corta",IF(OR(ISNUMBER(SEARCH("@",D119)),ISNUMBER(SEARCH("http",D119)),ISNUMBER(SEARCH("www.",D119))),"Posible dato personal","")))</f>
        <v/>
      </c>
    </row>
    <row r="120" customFormat="false" ht="21.75" hidden="false" customHeight="true" outlineLevel="0" collapsed="false">
      <c r="A120" s="5" t="s">
        <v>37</v>
      </c>
      <c r="B120" s="9" t="s">
        <v>16</v>
      </c>
      <c r="C120" s="9" t="s">
        <v>76</v>
      </c>
      <c r="D120" s="11" t="s">
        <v>340</v>
      </c>
      <c r="E120" s="12" t="s">
        <v>78</v>
      </c>
      <c r="F120" s="12" t="s">
        <v>79</v>
      </c>
      <c r="G120" s="9" t="n">
        <f aca="false">LEN(TRIM(D120))</f>
        <v>43</v>
      </c>
      <c r="H120" s="13" t="str">
        <f aca="false">IF(LEN(TRIM(D120))=0,"",IF(AND(LEN(TRIM(D120))&lt;3,ISNA(MATCH(F120,Parametros!$K$4:$K$8,0))),"Muy corta",IF(OR(ISNUMBER(SEARCH("@",D120)),ISNUMBER(SEARCH("http",D120)),ISNUMBER(SEARCH("www.",D120))),"Posible dato personal","")))</f>
        <v/>
      </c>
    </row>
    <row r="121" customFormat="false" ht="21.75" hidden="false" customHeight="true" outlineLevel="0" collapsed="false">
      <c r="A121" s="5" t="s">
        <v>37</v>
      </c>
      <c r="B121" s="9" t="s">
        <v>16</v>
      </c>
      <c r="C121" s="9" t="s">
        <v>80</v>
      </c>
      <c r="D121" s="11" t="s">
        <v>341</v>
      </c>
      <c r="E121" s="12" t="s">
        <v>82</v>
      </c>
      <c r="F121" s="12" t="s">
        <v>83</v>
      </c>
      <c r="G121" s="9" t="n">
        <f aca="false">LEN(TRIM(D121))</f>
        <v>44</v>
      </c>
      <c r="H121" s="13" t="str">
        <f aca="false">IF(LEN(TRIM(D121))=0,"",IF(AND(LEN(TRIM(D121))&lt;3,ISNA(MATCH(F121,Parametros!$K$4:$K$8,0))),"Muy corta",IF(OR(ISNUMBER(SEARCH("@",D121)),ISNUMBER(SEARCH("http",D121)),ISNUMBER(SEARCH("www.",D121))),"Posible dato personal","")))</f>
        <v/>
      </c>
    </row>
    <row r="122" customFormat="false" ht="21.75" hidden="false" customHeight="true" outlineLevel="0" collapsed="false">
      <c r="A122" s="5" t="s">
        <v>37</v>
      </c>
      <c r="B122" s="9" t="s">
        <v>16</v>
      </c>
      <c r="C122" s="9" t="s">
        <v>84</v>
      </c>
      <c r="D122" s="11" t="s">
        <v>342</v>
      </c>
      <c r="E122" s="12" t="s">
        <v>86</v>
      </c>
      <c r="F122" s="12" t="s">
        <v>87</v>
      </c>
      <c r="G122" s="9" t="n">
        <f aca="false">LEN(TRIM(D122))</f>
        <v>58</v>
      </c>
      <c r="H122" s="13" t="str">
        <f aca="false">IF(LEN(TRIM(D122))=0,"",IF(AND(LEN(TRIM(D122))&lt;3,ISNA(MATCH(F122,Parametros!$K$4:$K$8,0))),"Muy corta",IF(OR(ISNUMBER(SEARCH("@",D122)),ISNUMBER(SEARCH("http",D122)),ISNUMBER(SEARCH("www.",D122))),"Posible dato personal","")))</f>
        <v/>
      </c>
    </row>
    <row r="123" customFormat="false" ht="21.75" hidden="false" customHeight="true" outlineLevel="0" collapsed="false">
      <c r="A123" s="5" t="s">
        <v>37</v>
      </c>
      <c r="B123" s="9" t="s">
        <v>16</v>
      </c>
      <c r="C123" s="9" t="s">
        <v>88</v>
      </c>
      <c r="D123" s="11" t="s">
        <v>343</v>
      </c>
      <c r="E123" s="12" t="s">
        <v>90</v>
      </c>
      <c r="F123" s="12" t="s">
        <v>91</v>
      </c>
      <c r="G123" s="9" t="n">
        <f aca="false">LEN(TRIM(D123))</f>
        <v>45</v>
      </c>
      <c r="H123" s="13" t="str">
        <f aca="false">IF(LEN(TRIM(D123))=0,"",IF(AND(LEN(TRIM(D123))&lt;3,ISNA(MATCH(F123,Parametros!$K$4:$K$8,0))),"Muy corta",IF(OR(ISNUMBER(SEARCH("@",D123)),ISNUMBER(SEARCH("http",D123)),ISNUMBER(SEARCH("www.",D123))),"Posible dato personal","")))</f>
        <v/>
      </c>
    </row>
    <row r="124" customFormat="false" ht="21.75" hidden="false" customHeight="true" outlineLevel="0" collapsed="false">
      <c r="A124" s="5" t="s">
        <v>37</v>
      </c>
      <c r="B124" s="9" t="s">
        <v>16</v>
      </c>
      <c r="C124" s="9" t="s">
        <v>92</v>
      </c>
      <c r="D124" s="11" t="s">
        <v>344</v>
      </c>
      <c r="E124" s="12" t="s">
        <v>94</v>
      </c>
      <c r="F124" s="12" t="s">
        <v>95</v>
      </c>
      <c r="G124" s="9" t="n">
        <f aca="false">LEN(TRIM(D124))</f>
        <v>36</v>
      </c>
      <c r="H124" s="13" t="str">
        <f aca="false">IF(LEN(TRIM(D124))=0,"",IF(AND(LEN(TRIM(D124))&lt;3,ISNA(MATCH(F124,Parametros!$K$4:$K$8,0))),"Muy corta",IF(OR(ISNUMBER(SEARCH("@",D124)),ISNUMBER(SEARCH("http",D124)),ISNUMBER(SEARCH("www.",D124))),"Posible dato personal","")))</f>
        <v/>
      </c>
    </row>
    <row r="125" customFormat="false" ht="21.75" hidden="false" customHeight="true" outlineLevel="0" collapsed="false">
      <c r="A125" s="5" t="s">
        <v>37</v>
      </c>
      <c r="B125" s="9" t="s">
        <v>16</v>
      </c>
      <c r="C125" s="9" t="s">
        <v>96</v>
      </c>
      <c r="D125" s="11" t="s">
        <v>345</v>
      </c>
      <c r="E125" s="12" t="s">
        <v>98</v>
      </c>
      <c r="F125" s="12" t="s">
        <v>99</v>
      </c>
      <c r="G125" s="9" t="n">
        <f aca="false">LEN(TRIM(D125))</f>
        <v>24</v>
      </c>
      <c r="H125" s="13" t="str">
        <f aca="false">IF(LEN(TRIM(D125))=0,"",IF(AND(LEN(TRIM(D125))&lt;3,ISNA(MATCH(F125,Parametros!$K$4:$K$8,0))),"Muy corta",IF(OR(ISNUMBER(SEARCH("@",D125)),ISNUMBER(SEARCH("http",D125)),ISNUMBER(SEARCH("www.",D125))),"Posible dato personal","")))</f>
        <v/>
      </c>
    </row>
    <row r="126" customFormat="false" ht="21.75" hidden="false" customHeight="true" outlineLevel="0" collapsed="false">
      <c r="A126" s="5" t="s">
        <v>37</v>
      </c>
      <c r="B126" s="9" t="s">
        <v>16</v>
      </c>
      <c r="C126" s="9" t="s">
        <v>100</v>
      </c>
      <c r="D126" s="11" t="s">
        <v>346</v>
      </c>
      <c r="E126" s="12" t="s">
        <v>102</v>
      </c>
      <c r="F126" s="12" t="s">
        <v>103</v>
      </c>
      <c r="G126" s="9" t="n">
        <f aca="false">LEN(TRIM(D126))</f>
        <v>34</v>
      </c>
      <c r="H126" s="13" t="str">
        <f aca="false">IF(LEN(TRIM(D126))=0,"",IF(AND(LEN(TRIM(D126))&lt;3,ISNA(MATCH(F126,Parametros!$K$4:$K$8,0))),"Muy corta",IF(OR(ISNUMBER(SEARCH("@",D126)),ISNUMBER(SEARCH("http",D126)),ISNUMBER(SEARCH("www.",D126))),"Posible dato personal","")))</f>
        <v/>
      </c>
    </row>
    <row r="127" customFormat="false" ht="21.75" hidden="false" customHeight="true" outlineLevel="0" collapsed="false">
      <c r="A127" s="5" t="s">
        <v>37</v>
      </c>
      <c r="B127" s="9" t="s">
        <v>16</v>
      </c>
      <c r="C127" s="9" t="s">
        <v>104</v>
      </c>
      <c r="D127" s="11" t="s">
        <v>347</v>
      </c>
      <c r="E127" s="12" t="s">
        <v>106</v>
      </c>
      <c r="F127" s="12" t="s">
        <v>107</v>
      </c>
      <c r="G127" s="9" t="n">
        <f aca="false">LEN(TRIM(D127))</f>
        <v>21</v>
      </c>
      <c r="H127" s="13" t="str">
        <f aca="false">IF(LEN(TRIM(D127))=0,"",IF(AND(LEN(TRIM(D127))&lt;3,ISNA(MATCH(F127,Parametros!$K$4:$K$8,0))),"Muy corta",IF(OR(ISNUMBER(SEARCH("@",D127)),ISNUMBER(SEARCH("http",D127)),ISNUMBER(SEARCH("www.",D127))),"Posible dato personal","")))</f>
        <v/>
      </c>
    </row>
    <row r="128" customFormat="false" ht="21.75" hidden="false" customHeight="true" outlineLevel="0" collapsed="false">
      <c r="A128" s="5" t="s">
        <v>39</v>
      </c>
      <c r="B128" s="9" t="s">
        <v>22</v>
      </c>
      <c r="C128" s="9" t="s">
        <v>108</v>
      </c>
      <c r="D128" s="11" t="s">
        <v>348</v>
      </c>
      <c r="E128" s="12" t="s">
        <v>110</v>
      </c>
      <c r="F128" s="12" t="s">
        <v>111</v>
      </c>
      <c r="G128" s="9" t="n">
        <f aca="false">LEN(TRIM(D128))</f>
        <v>51</v>
      </c>
      <c r="H128" s="13" t="str">
        <f aca="false">IF(LEN(TRIM(D128))=0,"",IF(AND(LEN(TRIM(D128))&lt;3,ISNA(MATCH(F128,Parametros!$K$4:$K$8,0))),"Muy corta",IF(OR(ISNUMBER(SEARCH("@",D128)),ISNUMBER(SEARCH("http",D128)),ISNUMBER(SEARCH("www.",D128))),"Posible dato personal","")))</f>
        <v/>
      </c>
    </row>
    <row r="129" customFormat="false" ht="15" hidden="false" customHeight="true" outlineLevel="0" collapsed="false">
      <c r="A129" s="5" t="s">
        <v>39</v>
      </c>
      <c r="B129" s="9" t="s">
        <v>22</v>
      </c>
      <c r="C129" s="9" t="s">
        <v>112</v>
      </c>
      <c r="D129" s="11" t="s">
        <v>349</v>
      </c>
      <c r="E129" s="12" t="s">
        <v>114</v>
      </c>
      <c r="F129" s="12" t="s">
        <v>115</v>
      </c>
      <c r="G129" s="9" t="n">
        <f aca="false">LEN(TRIM(D129))</f>
        <v>50</v>
      </c>
      <c r="H129" s="13" t="str">
        <f aca="false">IF(LEN(TRIM(D129))=0,"",IF(AND(LEN(TRIM(D129))&lt;3,ISNA(MATCH(F129,Parametros!$K$4:$K$8,0))),"Muy corta",IF(OR(ISNUMBER(SEARCH("@",D129)),ISNUMBER(SEARCH("http",D129)),ISNUMBER(SEARCH("www.",D129))),"Posible dato personal","")))</f>
        <v/>
      </c>
    </row>
    <row r="130" customFormat="false" ht="21.75" hidden="false" customHeight="true" outlineLevel="0" collapsed="false">
      <c r="A130" s="5" t="s">
        <v>39</v>
      </c>
      <c r="B130" s="9" t="s">
        <v>22</v>
      </c>
      <c r="C130" s="9" t="s">
        <v>116</v>
      </c>
      <c r="D130" s="11" t="s">
        <v>350</v>
      </c>
      <c r="E130" s="12" t="s">
        <v>118</v>
      </c>
      <c r="F130" s="12" t="s">
        <v>119</v>
      </c>
      <c r="G130" s="9" t="n">
        <f aca="false">LEN(TRIM(D130))</f>
        <v>42</v>
      </c>
      <c r="H130" s="13" t="str">
        <f aca="false">IF(LEN(TRIM(D130))=0,"",IF(AND(LEN(TRIM(D130))&lt;3,ISNA(MATCH(F130,Parametros!$K$4:$K$8,0))),"Muy corta",IF(OR(ISNUMBER(SEARCH("@",D130)),ISNUMBER(SEARCH("http",D130)),ISNUMBER(SEARCH("www.",D130))),"Posible dato personal","")))</f>
        <v/>
      </c>
    </row>
    <row r="131" customFormat="false" ht="21.75" hidden="false" customHeight="true" outlineLevel="0" collapsed="false">
      <c r="A131" s="5" t="s">
        <v>39</v>
      </c>
      <c r="B131" s="9" t="s">
        <v>22</v>
      </c>
      <c r="C131" s="9" t="s">
        <v>120</v>
      </c>
      <c r="D131" s="11" t="s">
        <v>351</v>
      </c>
      <c r="E131" s="12" t="s">
        <v>122</v>
      </c>
      <c r="F131" s="12" t="s">
        <v>123</v>
      </c>
      <c r="G131" s="9" t="n">
        <f aca="false">LEN(TRIM(D131))</f>
        <v>38</v>
      </c>
      <c r="H131" s="13" t="str">
        <f aca="false">IF(LEN(TRIM(D131))=0,"",IF(AND(LEN(TRIM(D131))&lt;3,ISNA(MATCH(F131,Parametros!$K$4:$K$8,0))),"Muy corta",IF(OR(ISNUMBER(SEARCH("@",D131)),ISNUMBER(SEARCH("http",D131)),ISNUMBER(SEARCH("www.",D131))),"Posible dato personal","")))</f>
        <v/>
      </c>
    </row>
    <row r="132" customFormat="false" ht="21.75" hidden="false" customHeight="true" outlineLevel="0" collapsed="false">
      <c r="A132" s="5" t="s">
        <v>39</v>
      </c>
      <c r="B132" s="9" t="s">
        <v>22</v>
      </c>
      <c r="C132" s="9" t="s">
        <v>124</v>
      </c>
      <c r="D132" s="11" t="s">
        <v>352</v>
      </c>
      <c r="E132" s="12" t="s">
        <v>126</v>
      </c>
      <c r="F132" s="12" t="s">
        <v>127</v>
      </c>
      <c r="G132" s="9" t="n">
        <f aca="false">LEN(TRIM(D132))</f>
        <v>45</v>
      </c>
      <c r="H132" s="13" t="str">
        <f aca="false">IF(LEN(TRIM(D132))=0,"",IF(AND(LEN(TRIM(D132))&lt;3,ISNA(MATCH(F132,Parametros!$K$4:$K$8,0))),"Muy corta",IF(OR(ISNUMBER(SEARCH("@",D132)),ISNUMBER(SEARCH("http",D132)),ISNUMBER(SEARCH("www.",D132))),"Posible dato personal","")))</f>
        <v/>
      </c>
    </row>
    <row r="133" customFormat="false" ht="21.75" hidden="false" customHeight="true" outlineLevel="0" collapsed="false">
      <c r="A133" s="5" t="s">
        <v>39</v>
      </c>
      <c r="B133" s="9" t="s">
        <v>22</v>
      </c>
      <c r="C133" s="9" t="s">
        <v>128</v>
      </c>
      <c r="D133" s="11" t="s">
        <v>353</v>
      </c>
      <c r="E133" s="12" t="s">
        <v>129</v>
      </c>
      <c r="F133" s="12" t="s">
        <v>130</v>
      </c>
      <c r="G133" s="9" t="n">
        <f aca="false">LEN(TRIM(D133))</f>
        <v>61</v>
      </c>
      <c r="H133" s="13" t="str">
        <f aca="false">IF(LEN(TRIM(D133))=0,"",IF(AND(LEN(TRIM(D133))&lt;3,ISNA(MATCH(F133,Parametros!$K$4:$K$8,0))),"Muy corta",IF(OR(ISNUMBER(SEARCH("@",D133)),ISNUMBER(SEARCH("http",D133)),ISNUMBER(SEARCH("www.",D133))),"Posible dato personal","")))</f>
        <v/>
      </c>
    </row>
    <row r="134" customFormat="false" ht="15" hidden="false" customHeight="true" outlineLevel="0" collapsed="false">
      <c r="A134" s="5" t="s">
        <v>39</v>
      </c>
      <c r="B134" s="9" t="s">
        <v>22</v>
      </c>
      <c r="C134" s="9" t="s">
        <v>131</v>
      </c>
      <c r="D134" s="11" t="s">
        <v>354</v>
      </c>
      <c r="E134" s="12" t="s">
        <v>133</v>
      </c>
      <c r="F134" s="12" t="s">
        <v>134</v>
      </c>
      <c r="G134" s="9" t="n">
        <f aca="false">LEN(TRIM(D134))</f>
        <v>49</v>
      </c>
      <c r="H134" s="13" t="str">
        <f aca="false">IF(LEN(TRIM(D134))=0,"",IF(AND(LEN(TRIM(D134))&lt;3,ISNA(MATCH(F134,Parametros!$K$4:$K$8,0))),"Muy corta",IF(OR(ISNUMBER(SEARCH("@",D134)),ISNUMBER(SEARCH("http",D134)),ISNUMBER(SEARCH("www.",D134))),"Posible dato personal","")))</f>
        <v/>
      </c>
    </row>
    <row r="135" customFormat="false" ht="15" hidden="false" customHeight="true" outlineLevel="0" collapsed="false">
      <c r="A135" s="5" t="s">
        <v>39</v>
      </c>
      <c r="B135" s="9" t="s">
        <v>22</v>
      </c>
      <c r="C135" s="9" t="s">
        <v>135</v>
      </c>
      <c r="D135" s="11" t="s">
        <v>355</v>
      </c>
      <c r="E135" s="12" t="s">
        <v>137</v>
      </c>
      <c r="F135" s="12" t="s">
        <v>138</v>
      </c>
      <c r="G135" s="9" t="n">
        <f aca="false">LEN(TRIM(D135))</f>
        <v>49</v>
      </c>
      <c r="H135" s="13" t="str">
        <f aca="false">IF(LEN(TRIM(D135))=0,"",IF(AND(LEN(TRIM(D135))&lt;3,ISNA(MATCH(F135,Parametros!$K$4:$K$8,0))),"Muy corta",IF(OR(ISNUMBER(SEARCH("@",D135)),ISNUMBER(SEARCH("http",D135)),ISNUMBER(SEARCH("www.",D135))),"Posible dato personal","")))</f>
        <v/>
      </c>
    </row>
    <row r="136" customFormat="false" ht="21.75" hidden="false" customHeight="true" outlineLevel="0" collapsed="false">
      <c r="A136" s="5" t="s">
        <v>39</v>
      </c>
      <c r="B136" s="9" t="s">
        <v>22</v>
      </c>
      <c r="C136" s="9" t="s">
        <v>139</v>
      </c>
      <c r="D136" s="11" t="s">
        <v>356</v>
      </c>
      <c r="E136" s="12" t="s">
        <v>141</v>
      </c>
      <c r="F136" s="12" t="s">
        <v>142</v>
      </c>
      <c r="G136" s="9" t="n">
        <f aca="false">LEN(TRIM(D136))</f>
        <v>36</v>
      </c>
      <c r="H136" s="13" t="str">
        <f aca="false">IF(LEN(TRIM(D136))=0,"",IF(AND(LEN(TRIM(D136))&lt;3,ISNA(MATCH(F136,Parametros!$K$4:$K$8,0))),"Muy corta",IF(OR(ISNUMBER(SEARCH("@",D136)),ISNUMBER(SEARCH("http",D136)),ISNUMBER(SEARCH("www.",D136))),"Posible dato personal","")))</f>
        <v/>
      </c>
    </row>
    <row r="137" customFormat="false" ht="21.75" hidden="false" customHeight="true" outlineLevel="0" collapsed="false">
      <c r="A137" s="5" t="s">
        <v>39</v>
      </c>
      <c r="B137" s="9" t="s">
        <v>22</v>
      </c>
      <c r="C137" s="9" t="s">
        <v>143</v>
      </c>
      <c r="D137" s="11" t="s">
        <v>357</v>
      </c>
      <c r="E137" s="12" t="s">
        <v>145</v>
      </c>
      <c r="F137" s="12" t="s">
        <v>146</v>
      </c>
      <c r="G137" s="9" t="n">
        <f aca="false">LEN(TRIM(D137))</f>
        <v>29</v>
      </c>
      <c r="H137" s="13" t="str">
        <f aca="false">IF(LEN(TRIM(D137))=0,"",IF(AND(LEN(TRIM(D137))&lt;3,ISNA(MATCH(F137,Parametros!$K$4:$K$8,0))),"Muy corta",IF(OR(ISNUMBER(SEARCH("@",D137)),ISNUMBER(SEARCH("http",D137)),ISNUMBER(SEARCH("www.",D137))),"Posible dato personal","")))</f>
        <v/>
      </c>
    </row>
    <row r="138" customFormat="false" ht="21.75" hidden="false" customHeight="true" outlineLevel="0" collapsed="false">
      <c r="A138" s="5" t="s">
        <v>39</v>
      </c>
      <c r="B138" s="9" t="s">
        <v>22</v>
      </c>
      <c r="C138" s="9" t="s">
        <v>147</v>
      </c>
      <c r="D138" s="11" t="s">
        <v>358</v>
      </c>
      <c r="E138" s="12" t="s">
        <v>149</v>
      </c>
      <c r="F138" s="12" t="s">
        <v>103</v>
      </c>
      <c r="G138" s="9" t="n">
        <f aca="false">LEN(TRIM(D138))</f>
        <v>36</v>
      </c>
      <c r="H138" s="13" t="str">
        <f aca="false">IF(LEN(TRIM(D138))=0,"",IF(AND(LEN(TRIM(D138))&lt;3,ISNA(MATCH(F138,Parametros!$K$4:$K$8,0))),"Muy corta",IF(OR(ISNUMBER(SEARCH("@",D138)),ISNUMBER(SEARCH("http",D138)),ISNUMBER(SEARCH("www.",D138))),"Posible dato personal","")))</f>
        <v/>
      </c>
    </row>
    <row r="139" customFormat="false" ht="21.75" hidden="false" customHeight="true" outlineLevel="0" collapsed="false">
      <c r="A139" s="5" t="s">
        <v>40</v>
      </c>
      <c r="B139" s="9" t="s">
        <v>25</v>
      </c>
      <c r="C139" s="9" t="s">
        <v>150</v>
      </c>
      <c r="D139" s="11" t="s">
        <v>359</v>
      </c>
      <c r="E139" s="12" t="s">
        <v>152</v>
      </c>
      <c r="F139" s="12" t="s">
        <v>153</v>
      </c>
      <c r="G139" s="9" t="n">
        <f aca="false">LEN(TRIM(D139))</f>
        <v>35</v>
      </c>
      <c r="H139" s="13" t="str">
        <f aca="false">IF(LEN(TRIM(D139))=0,"",IF(AND(LEN(TRIM(D139))&lt;3,ISNA(MATCH(F139,Parametros!$K$4:$K$8,0))),"Muy corta",IF(OR(ISNUMBER(SEARCH("@",D139)),ISNUMBER(SEARCH("http",D139)),ISNUMBER(SEARCH("www.",D139))),"Posible dato personal","")))</f>
        <v/>
      </c>
    </row>
    <row r="140" customFormat="false" ht="21.75" hidden="false" customHeight="true" outlineLevel="0" collapsed="false">
      <c r="A140" s="5" t="s">
        <v>40</v>
      </c>
      <c r="B140" s="9" t="s">
        <v>25</v>
      </c>
      <c r="C140" s="9" t="s">
        <v>154</v>
      </c>
      <c r="D140" s="11" t="s">
        <v>360</v>
      </c>
      <c r="E140" s="12" t="s">
        <v>156</v>
      </c>
      <c r="F140" s="12" t="s">
        <v>157</v>
      </c>
      <c r="G140" s="9" t="n">
        <f aca="false">LEN(TRIM(D140))</f>
        <v>36</v>
      </c>
      <c r="H140" s="13" t="str">
        <f aca="false">IF(LEN(TRIM(D140))=0,"",IF(AND(LEN(TRIM(D140))&lt;3,ISNA(MATCH(F140,Parametros!$K$4:$K$8,0))),"Muy corta",IF(OR(ISNUMBER(SEARCH("@",D140)),ISNUMBER(SEARCH("http",D140)),ISNUMBER(SEARCH("www.",D140))),"Posible dato personal","")))</f>
        <v/>
      </c>
    </row>
    <row r="141" customFormat="false" ht="21.75" hidden="false" customHeight="true" outlineLevel="0" collapsed="false">
      <c r="A141" s="5" t="s">
        <v>40</v>
      </c>
      <c r="B141" s="9" t="s">
        <v>25</v>
      </c>
      <c r="C141" s="9" t="s">
        <v>158</v>
      </c>
      <c r="D141" s="11" t="s">
        <v>361</v>
      </c>
      <c r="E141" s="12" t="s">
        <v>160</v>
      </c>
      <c r="F141" s="12" t="s">
        <v>161</v>
      </c>
      <c r="G141" s="9" t="n">
        <f aca="false">LEN(TRIM(D141))</f>
        <v>39</v>
      </c>
      <c r="H141" s="13" t="str">
        <f aca="false">IF(LEN(TRIM(D141))=0,"",IF(AND(LEN(TRIM(D141))&lt;3,ISNA(MATCH(F141,Parametros!$K$4:$K$8,0))),"Muy corta",IF(OR(ISNUMBER(SEARCH("@",D141)),ISNUMBER(SEARCH("http",D141)),ISNUMBER(SEARCH("www.",D141))),"Posible dato personal","")))</f>
        <v/>
      </c>
    </row>
    <row r="142" customFormat="false" ht="21.75" hidden="false" customHeight="true" outlineLevel="0" collapsed="false">
      <c r="A142" s="5" t="s">
        <v>40</v>
      </c>
      <c r="B142" s="9" t="s">
        <v>25</v>
      </c>
      <c r="C142" s="9" t="s">
        <v>162</v>
      </c>
      <c r="D142" s="11" t="s">
        <v>362</v>
      </c>
      <c r="E142" s="12" t="s">
        <v>164</v>
      </c>
      <c r="F142" s="12" t="s">
        <v>165</v>
      </c>
      <c r="G142" s="9" t="n">
        <f aca="false">LEN(TRIM(D142))</f>
        <v>40</v>
      </c>
      <c r="H142" s="13" t="str">
        <f aca="false">IF(LEN(TRIM(D142))=0,"",IF(AND(LEN(TRIM(D142))&lt;3,ISNA(MATCH(F142,Parametros!$K$4:$K$8,0))),"Muy corta",IF(OR(ISNUMBER(SEARCH("@",D142)),ISNUMBER(SEARCH("http",D142)),ISNUMBER(SEARCH("www.",D142))),"Posible dato personal","")))</f>
        <v/>
      </c>
    </row>
    <row r="143" customFormat="false" ht="21.75" hidden="false" customHeight="true" outlineLevel="0" collapsed="false">
      <c r="A143" s="5" t="s">
        <v>40</v>
      </c>
      <c r="B143" s="9" t="s">
        <v>25</v>
      </c>
      <c r="C143" s="9" t="s">
        <v>166</v>
      </c>
      <c r="D143" s="11" t="s">
        <v>363</v>
      </c>
      <c r="E143" s="12" t="s">
        <v>168</v>
      </c>
      <c r="F143" s="12" t="s">
        <v>169</v>
      </c>
      <c r="G143" s="9" t="n">
        <f aca="false">LEN(TRIM(D143))</f>
        <v>34</v>
      </c>
      <c r="H143" s="13" t="str">
        <f aca="false">IF(LEN(TRIM(D143))=0,"",IF(AND(LEN(TRIM(D143))&lt;3,ISNA(MATCH(F143,Parametros!$K$4:$K$8,0))),"Muy corta",IF(OR(ISNUMBER(SEARCH("@",D143)),ISNUMBER(SEARCH("http",D143)),ISNUMBER(SEARCH("www.",D143))),"Posible dato personal","")))</f>
        <v/>
      </c>
    </row>
    <row r="144" customFormat="false" ht="21.75" hidden="false" customHeight="true" outlineLevel="0" collapsed="false">
      <c r="A144" s="5" t="s">
        <v>40</v>
      </c>
      <c r="B144" s="9" t="s">
        <v>25</v>
      </c>
      <c r="C144" s="9" t="s">
        <v>170</v>
      </c>
      <c r="D144" s="11" t="s">
        <v>364</v>
      </c>
      <c r="E144" s="12" t="s">
        <v>172</v>
      </c>
      <c r="F144" s="12" t="s">
        <v>173</v>
      </c>
      <c r="G144" s="9" t="n">
        <f aca="false">LEN(TRIM(D144))</f>
        <v>38</v>
      </c>
      <c r="H144" s="13" t="str">
        <f aca="false">IF(LEN(TRIM(D144))=0,"",IF(AND(LEN(TRIM(D144))&lt;3,ISNA(MATCH(F144,Parametros!$K$4:$K$8,0))),"Muy corta",IF(OR(ISNUMBER(SEARCH("@",D144)),ISNUMBER(SEARCH("http",D144)),ISNUMBER(SEARCH("www.",D144))),"Posible dato personal","")))</f>
        <v/>
      </c>
    </row>
    <row r="145" customFormat="false" ht="15" hidden="false" customHeight="true" outlineLevel="0" collapsed="false">
      <c r="A145" s="5" t="s">
        <v>40</v>
      </c>
      <c r="B145" s="9" t="s">
        <v>25</v>
      </c>
      <c r="C145" s="9" t="s">
        <v>174</v>
      </c>
      <c r="D145" s="11" t="s">
        <v>365</v>
      </c>
      <c r="E145" s="12" t="s">
        <v>175</v>
      </c>
      <c r="F145" s="12" t="s">
        <v>176</v>
      </c>
      <c r="G145" s="9" t="n">
        <f aca="false">LEN(TRIM(D145))</f>
        <v>27</v>
      </c>
      <c r="H145" s="13" t="str">
        <f aca="false">IF(LEN(TRIM(D145))=0,"",IF(AND(LEN(TRIM(D145))&lt;3,ISNA(MATCH(F145,Parametros!$K$4:$K$8,0))),"Muy corta",IF(OR(ISNUMBER(SEARCH("@",D145)),ISNUMBER(SEARCH("http",D145)),ISNUMBER(SEARCH("www.",D145))),"Posible dato personal","")))</f>
        <v/>
      </c>
    </row>
    <row r="146" customFormat="false" ht="21.75" hidden="false" customHeight="true" outlineLevel="0" collapsed="false">
      <c r="A146" s="5" t="s">
        <v>40</v>
      </c>
      <c r="B146" s="9" t="s">
        <v>25</v>
      </c>
      <c r="C146" s="9" t="s">
        <v>177</v>
      </c>
      <c r="D146" s="11" t="s">
        <v>366</v>
      </c>
      <c r="E146" s="12" t="s">
        <v>179</v>
      </c>
      <c r="F146" s="12" t="s">
        <v>180</v>
      </c>
      <c r="G146" s="9" t="n">
        <f aca="false">LEN(TRIM(D146))</f>
        <v>44</v>
      </c>
      <c r="H146" s="13" t="str">
        <f aca="false">IF(LEN(TRIM(D146))=0,"",IF(AND(LEN(TRIM(D146))&lt;3,ISNA(MATCH(F146,Parametros!$K$4:$K$8,0))),"Muy corta",IF(OR(ISNUMBER(SEARCH("@",D146)),ISNUMBER(SEARCH("http",D146)),ISNUMBER(SEARCH("www.",D146))),"Posible dato personal","")))</f>
        <v/>
      </c>
    </row>
    <row r="147" customFormat="false" ht="21.75" hidden="false" customHeight="true" outlineLevel="0" collapsed="false">
      <c r="A147" s="5" t="s">
        <v>40</v>
      </c>
      <c r="B147" s="9" t="s">
        <v>25</v>
      </c>
      <c r="C147" s="9" t="s">
        <v>181</v>
      </c>
      <c r="D147" s="11" t="s">
        <v>367</v>
      </c>
      <c r="E147" s="12" t="s">
        <v>183</v>
      </c>
      <c r="F147" s="12" t="s">
        <v>184</v>
      </c>
      <c r="G147" s="9" t="n">
        <f aca="false">LEN(TRIM(D147))</f>
        <v>41</v>
      </c>
      <c r="H147" s="13" t="str">
        <f aca="false">IF(LEN(TRIM(D147))=0,"",IF(AND(LEN(TRIM(D147))&lt;3,ISNA(MATCH(F147,Parametros!$K$4:$K$8,0))),"Muy corta",IF(OR(ISNUMBER(SEARCH("@",D147)),ISNUMBER(SEARCH("http",D147)),ISNUMBER(SEARCH("www.",D147))),"Posible dato personal","")))</f>
        <v/>
      </c>
    </row>
    <row r="148" customFormat="false" ht="21.75" hidden="false" customHeight="true" outlineLevel="0" collapsed="false">
      <c r="A148" s="5" t="s">
        <v>40</v>
      </c>
      <c r="B148" s="9" t="s">
        <v>25</v>
      </c>
      <c r="C148" s="9" t="s">
        <v>185</v>
      </c>
      <c r="D148" s="11" t="s">
        <v>368</v>
      </c>
      <c r="E148" s="12" t="s">
        <v>187</v>
      </c>
      <c r="F148" s="12" t="s">
        <v>188</v>
      </c>
      <c r="G148" s="9" t="n">
        <f aca="false">LEN(TRIM(D148))</f>
        <v>8</v>
      </c>
      <c r="H148" s="13" t="str">
        <f aca="false">IF(LEN(TRIM(D148))=0,"",IF(AND(LEN(TRIM(D148))&lt;3,ISNA(MATCH(F148,Parametros!$K$4:$K$8,0))),"Muy corta",IF(OR(ISNUMBER(SEARCH("@",D148)),ISNUMBER(SEARCH("http",D148)),ISNUMBER(SEARCH("www.",D148))),"Posible dato personal","")))</f>
        <v/>
      </c>
    </row>
    <row r="149" customFormat="false" ht="21.75" hidden="false" customHeight="true" outlineLevel="0" collapsed="false">
      <c r="A149" s="5" t="s">
        <v>40</v>
      </c>
      <c r="B149" s="9" t="s">
        <v>25</v>
      </c>
      <c r="C149" s="9" t="s">
        <v>189</v>
      </c>
      <c r="D149" s="11" t="s">
        <v>369</v>
      </c>
      <c r="E149" s="12" t="s">
        <v>191</v>
      </c>
      <c r="F149" s="12" t="s">
        <v>192</v>
      </c>
      <c r="G149" s="9" t="n">
        <f aca="false">LEN(TRIM(D149))</f>
        <v>33</v>
      </c>
      <c r="H149" s="13" t="str">
        <f aca="false">IF(LEN(TRIM(D149))=0,"",IF(AND(LEN(TRIM(D149))&lt;3,ISNA(MATCH(F149,Parametros!$K$4:$K$8,0))),"Muy corta",IF(OR(ISNUMBER(SEARCH("@",D149)),ISNUMBER(SEARCH("http",D149)),ISNUMBER(SEARCH("www.",D149))),"Posible dato personal","")))</f>
        <v/>
      </c>
    </row>
    <row r="150" customFormat="false" ht="21.75" hidden="false" customHeight="true" outlineLevel="0" collapsed="false">
      <c r="A150" s="5" t="s">
        <v>41</v>
      </c>
      <c r="B150" s="9" t="s">
        <v>27</v>
      </c>
      <c r="C150" s="9" t="s">
        <v>193</v>
      </c>
      <c r="D150" s="11" t="s">
        <v>370</v>
      </c>
      <c r="E150" s="12" t="s">
        <v>195</v>
      </c>
      <c r="F150" s="12" t="s">
        <v>196</v>
      </c>
      <c r="G150" s="9" t="n">
        <f aca="false">LEN(TRIM(D150))</f>
        <v>40</v>
      </c>
      <c r="H150" s="13" t="str">
        <f aca="false">IF(LEN(TRIM(D150))=0,"",IF(AND(LEN(TRIM(D150))&lt;3,ISNA(MATCH(F150,Parametros!$K$4:$K$8,0))),"Muy corta",IF(OR(ISNUMBER(SEARCH("@",D150)),ISNUMBER(SEARCH("http",D150)),ISNUMBER(SEARCH("www.",D150))),"Posible dato personal","")))</f>
        <v/>
      </c>
    </row>
    <row r="151" customFormat="false" ht="21.75" hidden="false" customHeight="true" outlineLevel="0" collapsed="false">
      <c r="A151" s="5" t="s">
        <v>41</v>
      </c>
      <c r="B151" s="9" t="s">
        <v>27</v>
      </c>
      <c r="C151" s="9" t="s">
        <v>197</v>
      </c>
      <c r="D151" s="11" t="s">
        <v>371</v>
      </c>
      <c r="E151" s="12" t="s">
        <v>199</v>
      </c>
      <c r="F151" s="12" t="s">
        <v>200</v>
      </c>
      <c r="G151" s="9" t="n">
        <f aca="false">LEN(TRIM(D151))</f>
        <v>39</v>
      </c>
      <c r="H151" s="13" t="str">
        <f aca="false">IF(LEN(TRIM(D151))=0,"",IF(AND(LEN(TRIM(D151))&lt;3,ISNA(MATCH(F151,Parametros!$K$4:$K$8,0))),"Muy corta",IF(OR(ISNUMBER(SEARCH("@",D151)),ISNUMBER(SEARCH("http",D151)),ISNUMBER(SEARCH("www.",D151))),"Posible dato personal","")))</f>
        <v/>
      </c>
    </row>
    <row r="152" customFormat="false" ht="21.75" hidden="false" customHeight="true" outlineLevel="0" collapsed="false">
      <c r="A152" s="5" t="s">
        <v>41</v>
      </c>
      <c r="B152" s="9" t="s">
        <v>27</v>
      </c>
      <c r="C152" s="9" t="s">
        <v>201</v>
      </c>
      <c r="D152" s="11" t="s">
        <v>372</v>
      </c>
      <c r="E152" s="12" t="s">
        <v>203</v>
      </c>
      <c r="F152" s="12" t="s">
        <v>204</v>
      </c>
      <c r="G152" s="9" t="n">
        <f aca="false">LEN(TRIM(D152))</f>
        <v>62</v>
      </c>
      <c r="H152" s="13" t="str">
        <f aca="false">IF(LEN(TRIM(D152))=0,"",IF(AND(LEN(TRIM(D152))&lt;3,ISNA(MATCH(F152,Parametros!$K$4:$K$8,0))),"Muy corta",IF(OR(ISNUMBER(SEARCH("@",D152)),ISNUMBER(SEARCH("http",D152)),ISNUMBER(SEARCH("www.",D152))),"Posible dato personal","")))</f>
        <v/>
      </c>
    </row>
    <row r="153" customFormat="false" ht="21.75" hidden="false" customHeight="true" outlineLevel="0" collapsed="false">
      <c r="A153" s="5" t="s">
        <v>41</v>
      </c>
      <c r="B153" s="9" t="s">
        <v>27</v>
      </c>
      <c r="C153" s="9" t="s">
        <v>205</v>
      </c>
      <c r="D153" s="11" t="s">
        <v>373</v>
      </c>
      <c r="E153" s="12" t="s">
        <v>207</v>
      </c>
      <c r="F153" s="12" t="s">
        <v>208</v>
      </c>
      <c r="G153" s="9" t="n">
        <f aca="false">LEN(TRIM(D153))</f>
        <v>32</v>
      </c>
      <c r="H153" s="13" t="str">
        <f aca="false">IF(LEN(TRIM(D153))=0,"",IF(AND(LEN(TRIM(D153))&lt;3,ISNA(MATCH(F153,Parametros!$K$4:$K$8,0))),"Muy corta",IF(OR(ISNUMBER(SEARCH("@",D153)),ISNUMBER(SEARCH("http",D153)),ISNUMBER(SEARCH("www.",D153))),"Posible dato personal","")))</f>
        <v/>
      </c>
    </row>
    <row r="154" customFormat="false" ht="21.75" hidden="false" customHeight="true" outlineLevel="0" collapsed="false">
      <c r="A154" s="5" t="s">
        <v>41</v>
      </c>
      <c r="B154" s="9" t="s">
        <v>27</v>
      </c>
      <c r="C154" s="9" t="s">
        <v>209</v>
      </c>
      <c r="D154" s="11" t="s">
        <v>374</v>
      </c>
      <c r="E154" s="12" t="s">
        <v>211</v>
      </c>
      <c r="F154" s="12" t="s">
        <v>212</v>
      </c>
      <c r="G154" s="9" t="n">
        <f aca="false">LEN(TRIM(D154))</f>
        <v>38</v>
      </c>
      <c r="H154" s="13" t="str">
        <f aca="false">IF(LEN(TRIM(D154))=0,"",IF(AND(LEN(TRIM(D154))&lt;3,ISNA(MATCH(F154,Parametros!$K$4:$K$8,0))),"Muy corta",IF(OR(ISNUMBER(SEARCH("@",D154)),ISNUMBER(SEARCH("http",D154)),ISNUMBER(SEARCH("www.",D154))),"Posible dato personal","")))</f>
        <v/>
      </c>
    </row>
    <row r="155" customFormat="false" ht="21.75" hidden="false" customHeight="true" outlineLevel="0" collapsed="false">
      <c r="A155" s="5" t="s">
        <v>41</v>
      </c>
      <c r="B155" s="9" t="s">
        <v>27</v>
      </c>
      <c r="C155" s="9" t="s">
        <v>213</v>
      </c>
      <c r="D155" s="11" t="s">
        <v>375</v>
      </c>
      <c r="E155" s="12" t="s">
        <v>215</v>
      </c>
      <c r="F155" s="12" t="s">
        <v>216</v>
      </c>
      <c r="G155" s="9" t="n">
        <f aca="false">LEN(TRIM(D155))</f>
        <v>28</v>
      </c>
      <c r="H155" s="13" t="str">
        <f aca="false">IF(LEN(TRIM(D155))=0,"",IF(AND(LEN(TRIM(D155))&lt;3,ISNA(MATCH(F155,Parametros!$K$4:$K$8,0))),"Muy corta",IF(OR(ISNUMBER(SEARCH("@",D155)),ISNUMBER(SEARCH("http",D155)),ISNUMBER(SEARCH("www.",D155))),"Posible dato personal","")))</f>
        <v/>
      </c>
    </row>
    <row r="156" customFormat="false" ht="21.75" hidden="false" customHeight="true" outlineLevel="0" collapsed="false">
      <c r="A156" s="5" t="s">
        <v>41</v>
      </c>
      <c r="B156" s="9" t="s">
        <v>27</v>
      </c>
      <c r="C156" s="9" t="s">
        <v>217</v>
      </c>
      <c r="D156" s="11" t="s">
        <v>376</v>
      </c>
      <c r="E156" s="12" t="s">
        <v>219</v>
      </c>
      <c r="F156" s="12" t="s">
        <v>220</v>
      </c>
      <c r="G156" s="9" t="n">
        <f aca="false">LEN(TRIM(D156))</f>
        <v>24</v>
      </c>
      <c r="H156" s="13" t="str">
        <f aca="false">IF(LEN(TRIM(D156))=0,"",IF(AND(LEN(TRIM(D156))&lt;3,ISNA(MATCH(F156,Parametros!$K$4:$K$8,0))),"Muy corta",IF(OR(ISNUMBER(SEARCH("@",D156)),ISNUMBER(SEARCH("http",D156)),ISNUMBER(SEARCH("www.",D156))),"Posible dato personal","")))</f>
        <v/>
      </c>
    </row>
    <row r="157" customFormat="false" ht="21.75" hidden="false" customHeight="true" outlineLevel="0" collapsed="false">
      <c r="A157" s="5" t="s">
        <v>41</v>
      </c>
      <c r="B157" s="9" t="s">
        <v>27</v>
      </c>
      <c r="C157" s="9" t="s">
        <v>221</v>
      </c>
      <c r="D157" s="11" t="s">
        <v>377</v>
      </c>
      <c r="E157" s="12" t="s">
        <v>223</v>
      </c>
      <c r="F157" s="12" t="s">
        <v>224</v>
      </c>
      <c r="G157" s="9" t="n">
        <f aca="false">LEN(TRIM(D157))</f>
        <v>19</v>
      </c>
      <c r="H157" s="13" t="str">
        <f aca="false">IF(LEN(TRIM(D157))=0,"",IF(AND(LEN(TRIM(D157))&lt;3,ISNA(MATCH(F157,Parametros!$K$4:$K$8,0))),"Muy corta",IF(OR(ISNUMBER(SEARCH("@",D157)),ISNUMBER(SEARCH("http",D157)),ISNUMBER(SEARCH("www.",D157))),"Posible dato personal","")))</f>
        <v/>
      </c>
    </row>
    <row r="158" customFormat="false" ht="21.75" hidden="false" customHeight="true" outlineLevel="0" collapsed="false">
      <c r="A158" s="5" t="s">
        <v>41</v>
      </c>
      <c r="B158" s="9" t="s">
        <v>27</v>
      </c>
      <c r="C158" s="9" t="s">
        <v>225</v>
      </c>
      <c r="D158" s="11" t="s">
        <v>378</v>
      </c>
      <c r="E158" s="12" t="s">
        <v>227</v>
      </c>
      <c r="F158" s="12" t="s">
        <v>228</v>
      </c>
      <c r="G158" s="9" t="n">
        <f aca="false">LEN(TRIM(D158))</f>
        <v>44</v>
      </c>
      <c r="H158" s="13" t="str">
        <f aca="false">IF(LEN(TRIM(D158))=0,"",IF(AND(LEN(TRIM(D158))&lt;3,ISNA(MATCH(F158,Parametros!$K$4:$K$8,0))),"Muy corta",IF(OR(ISNUMBER(SEARCH("@",D158)),ISNUMBER(SEARCH("http",D158)),ISNUMBER(SEARCH("www.",D158))),"Posible dato personal","")))</f>
        <v/>
      </c>
    </row>
    <row r="159" customFormat="false" ht="21.75" hidden="false" customHeight="true" outlineLevel="0" collapsed="false">
      <c r="A159" s="5" t="s">
        <v>41</v>
      </c>
      <c r="B159" s="9" t="s">
        <v>27</v>
      </c>
      <c r="C159" s="9" t="s">
        <v>229</v>
      </c>
      <c r="D159" s="11" t="s">
        <v>379</v>
      </c>
      <c r="E159" s="12" t="s">
        <v>231</v>
      </c>
      <c r="F159" s="12" t="s">
        <v>232</v>
      </c>
      <c r="G159" s="9" t="n">
        <f aca="false">LEN(TRIM(D159))</f>
        <v>10</v>
      </c>
      <c r="H159" s="13" t="str">
        <f aca="false">IF(LEN(TRIM(D159))=0,"",IF(AND(LEN(TRIM(D159))&lt;3,ISNA(MATCH(F159,Parametros!$K$4:$K$8,0))),"Muy corta",IF(OR(ISNUMBER(SEARCH("@",D159)),ISNUMBER(SEARCH("http",D159)),ISNUMBER(SEARCH("www.",D159))),"Posible dato personal","")))</f>
        <v/>
      </c>
    </row>
    <row r="160" customFormat="false" ht="21.75" hidden="false" customHeight="true" outlineLevel="0" collapsed="false">
      <c r="A160" s="5" t="s">
        <v>41</v>
      </c>
      <c r="B160" s="9" t="s">
        <v>27</v>
      </c>
      <c r="C160" s="9" t="s">
        <v>233</v>
      </c>
      <c r="D160" s="11" t="s">
        <v>380</v>
      </c>
      <c r="E160" s="12" t="s">
        <v>235</v>
      </c>
      <c r="F160" s="12" t="s">
        <v>236</v>
      </c>
      <c r="G160" s="9" t="n">
        <f aca="false">LEN(TRIM(D160))</f>
        <v>30</v>
      </c>
      <c r="H160" s="13" t="str">
        <f aca="false">IF(LEN(TRIM(D160))=0,"",IF(AND(LEN(TRIM(D160))&lt;3,ISNA(MATCH(F160,Parametros!$K$4:$K$8,0))),"Muy corta",IF(OR(ISNUMBER(SEARCH("@",D160)),ISNUMBER(SEARCH("http",D160)),ISNUMBER(SEARCH("www.",D160))),"Posible dato personal","")))</f>
        <v/>
      </c>
    </row>
    <row r="161" customFormat="false" ht="21.75" hidden="false" customHeight="true" outlineLevel="0" collapsed="false">
      <c r="A161" s="5" t="s">
        <v>42</v>
      </c>
      <c r="B161" s="9" t="s">
        <v>30</v>
      </c>
      <c r="C161" s="9" t="s">
        <v>237</v>
      </c>
      <c r="D161" s="11" t="s">
        <v>381</v>
      </c>
      <c r="E161" s="12" t="s">
        <v>239</v>
      </c>
      <c r="F161" s="12" t="s">
        <v>240</v>
      </c>
      <c r="G161" s="9" t="n">
        <f aca="false">LEN(TRIM(D161))</f>
        <v>53</v>
      </c>
      <c r="H161" s="13" t="str">
        <f aca="false">IF(LEN(TRIM(D161))=0,"",IF(AND(LEN(TRIM(D161))&lt;3,ISNA(MATCH(F161,Parametros!$K$4:$K$8,0))),"Muy corta",IF(OR(ISNUMBER(SEARCH("@",D161)),ISNUMBER(SEARCH("http",D161)),ISNUMBER(SEARCH("www.",D161))),"Posible dato personal","")))</f>
        <v/>
      </c>
    </row>
    <row r="162" customFormat="false" ht="21.75" hidden="false" customHeight="true" outlineLevel="0" collapsed="false">
      <c r="A162" s="5" t="s">
        <v>42</v>
      </c>
      <c r="B162" s="9" t="s">
        <v>30</v>
      </c>
      <c r="C162" s="9" t="s">
        <v>241</v>
      </c>
      <c r="D162" s="11"/>
      <c r="E162" s="12" t="s">
        <v>243</v>
      </c>
      <c r="F162" s="12" t="s">
        <v>244</v>
      </c>
      <c r="G162" s="9" t="n">
        <f aca="false">LEN(TRIM(D162))</f>
        <v>0</v>
      </c>
      <c r="H162" s="13" t="str">
        <f aca="false">IF(LEN(TRIM(D162))=0,"",IF(AND(LEN(TRIM(D162))&lt;3,ISNA(MATCH(F162,Parametros!$K$4:$K$8,0))),"Muy corta",IF(OR(ISNUMBER(SEARCH("@",D162)),ISNUMBER(SEARCH("http",D162)),ISNUMBER(SEARCH("www.",D162))),"Posible dato personal","")))</f>
        <v/>
      </c>
    </row>
    <row r="163" customFormat="false" ht="21.75" hidden="false" customHeight="true" outlineLevel="0" collapsed="false">
      <c r="A163" s="5" t="s">
        <v>42</v>
      </c>
      <c r="B163" s="9" t="s">
        <v>30</v>
      </c>
      <c r="C163" s="9" t="s">
        <v>245</v>
      </c>
      <c r="D163" s="11" t="s">
        <v>382</v>
      </c>
      <c r="E163" s="12" t="s">
        <v>247</v>
      </c>
      <c r="F163" s="12" t="s">
        <v>248</v>
      </c>
      <c r="G163" s="9" t="n">
        <f aca="false">LEN(TRIM(D163))</f>
        <v>25</v>
      </c>
      <c r="H163" s="13" t="str">
        <f aca="false">IF(LEN(TRIM(D163))=0,"",IF(AND(LEN(TRIM(D163))&lt;3,ISNA(MATCH(F163,Parametros!$K$4:$K$8,0))),"Muy corta",IF(OR(ISNUMBER(SEARCH("@",D163)),ISNUMBER(SEARCH("http",D163)),ISNUMBER(SEARCH("www.",D163))),"Posible dato personal","")))</f>
        <v/>
      </c>
    </row>
    <row r="164" customFormat="false" ht="21.75" hidden="false" customHeight="true" outlineLevel="0" collapsed="false">
      <c r="A164" s="5" t="s">
        <v>42</v>
      </c>
      <c r="B164" s="9" t="s">
        <v>30</v>
      </c>
      <c r="C164" s="9" t="s">
        <v>249</v>
      </c>
      <c r="D164" s="11" t="s">
        <v>383</v>
      </c>
      <c r="E164" s="12" t="s">
        <v>251</v>
      </c>
      <c r="F164" s="12" t="s">
        <v>252</v>
      </c>
      <c r="G164" s="9" t="n">
        <f aca="false">LEN(TRIM(D164))</f>
        <v>36</v>
      </c>
      <c r="H164" s="13" t="str">
        <f aca="false">IF(LEN(TRIM(D164))=0,"",IF(AND(LEN(TRIM(D164))&lt;3,ISNA(MATCH(F164,Parametros!$K$4:$K$8,0))),"Muy corta",IF(OR(ISNUMBER(SEARCH("@",D164)),ISNUMBER(SEARCH("http",D164)),ISNUMBER(SEARCH("www.",D164))),"Posible dato personal","")))</f>
        <v/>
      </c>
    </row>
    <row r="165" customFormat="false" ht="21.75" hidden="false" customHeight="true" outlineLevel="0" collapsed="false">
      <c r="A165" s="5" t="s">
        <v>42</v>
      </c>
      <c r="B165" s="9" t="s">
        <v>30</v>
      </c>
      <c r="C165" s="9" t="s">
        <v>253</v>
      </c>
      <c r="D165" s="11" t="s">
        <v>384</v>
      </c>
      <c r="E165" s="12" t="s">
        <v>255</v>
      </c>
      <c r="F165" s="12" t="s">
        <v>256</v>
      </c>
      <c r="G165" s="9" t="n">
        <f aca="false">LEN(TRIM(D165))</f>
        <v>38</v>
      </c>
      <c r="H165" s="13" t="str">
        <f aca="false">IF(LEN(TRIM(D165))=0,"",IF(AND(LEN(TRIM(D165))&lt;3,ISNA(MATCH(F165,Parametros!$K$4:$K$8,0))),"Muy corta",IF(OR(ISNUMBER(SEARCH("@",D165)),ISNUMBER(SEARCH("http",D165)),ISNUMBER(SEARCH("www.",D165))),"Posible dato personal","")))</f>
        <v/>
      </c>
    </row>
    <row r="166" customFormat="false" ht="15" hidden="false" customHeight="true" outlineLevel="0" collapsed="false">
      <c r="A166" s="5" t="s">
        <v>42</v>
      </c>
      <c r="B166" s="9" t="s">
        <v>30</v>
      </c>
      <c r="C166" s="9" t="s">
        <v>257</v>
      </c>
      <c r="D166" s="11" t="s">
        <v>385</v>
      </c>
      <c r="E166" s="12" t="s">
        <v>259</v>
      </c>
      <c r="F166" s="12" t="s">
        <v>260</v>
      </c>
      <c r="G166" s="9" t="n">
        <f aca="false">LEN(TRIM(D166))</f>
        <v>40</v>
      </c>
      <c r="H166" s="13" t="str">
        <f aca="false">IF(LEN(TRIM(D166))=0,"",IF(AND(LEN(TRIM(D166))&lt;3,ISNA(MATCH(F166,Parametros!$K$4:$K$8,0))),"Muy corta",IF(OR(ISNUMBER(SEARCH("@",D166)),ISNUMBER(SEARCH("http",D166)),ISNUMBER(SEARCH("www.",D166))),"Posible dato personal","")))</f>
        <v/>
      </c>
    </row>
    <row r="167" customFormat="false" ht="15" hidden="false" customHeight="true" outlineLevel="0" collapsed="false">
      <c r="A167" s="5" t="s">
        <v>42</v>
      </c>
      <c r="B167" s="9" t="s">
        <v>30</v>
      </c>
      <c r="C167" s="9" t="s">
        <v>261</v>
      </c>
      <c r="D167" s="11" t="s">
        <v>386</v>
      </c>
      <c r="E167" s="12" t="s">
        <v>263</v>
      </c>
      <c r="F167" s="12" t="s">
        <v>264</v>
      </c>
      <c r="G167" s="9" t="n">
        <f aca="false">LEN(TRIM(D167))</f>
        <v>32</v>
      </c>
      <c r="H167" s="13" t="str">
        <f aca="false">IF(LEN(TRIM(D167))=0,"",IF(AND(LEN(TRIM(D167))&lt;3,ISNA(MATCH(F167,Parametros!$K$4:$K$8,0))),"Muy corta",IF(OR(ISNUMBER(SEARCH("@",D167)),ISNUMBER(SEARCH("http",D167)),ISNUMBER(SEARCH("www.",D167))),"Posible dato personal","")))</f>
        <v/>
      </c>
    </row>
    <row r="168" customFormat="false" ht="21.75" hidden="false" customHeight="true" outlineLevel="0" collapsed="false">
      <c r="A168" s="5" t="s">
        <v>42</v>
      </c>
      <c r="B168" s="9" t="s">
        <v>30</v>
      </c>
      <c r="C168" s="9" t="s">
        <v>265</v>
      </c>
      <c r="D168" s="11" t="s">
        <v>387</v>
      </c>
      <c r="E168" s="12" t="s">
        <v>267</v>
      </c>
      <c r="F168" s="12" t="s">
        <v>268</v>
      </c>
      <c r="G168" s="9" t="n">
        <f aca="false">LEN(TRIM(D168))</f>
        <v>29</v>
      </c>
      <c r="H168" s="13" t="str">
        <f aca="false">IF(LEN(TRIM(D168))=0,"",IF(AND(LEN(TRIM(D168))&lt;3,ISNA(MATCH(F168,Parametros!$K$4:$K$8,0))),"Muy corta",IF(OR(ISNUMBER(SEARCH("@",D168)),ISNUMBER(SEARCH("http",D168)),ISNUMBER(SEARCH("www.",D168))),"Posible dato personal","")))</f>
        <v/>
      </c>
    </row>
    <row r="169" customFormat="false" ht="15" hidden="false" customHeight="true" outlineLevel="0" collapsed="false">
      <c r="A169" s="5" t="s">
        <v>42</v>
      </c>
      <c r="B169" s="9" t="s">
        <v>30</v>
      </c>
      <c r="C169" s="9" t="s">
        <v>269</v>
      </c>
      <c r="D169" s="11" t="s">
        <v>388</v>
      </c>
      <c r="E169" s="12" t="s">
        <v>271</v>
      </c>
      <c r="F169" s="12" t="s">
        <v>272</v>
      </c>
      <c r="G169" s="9" t="n">
        <f aca="false">LEN(TRIM(D169))</f>
        <v>13</v>
      </c>
      <c r="H169" s="13" t="str">
        <f aca="false">IF(LEN(TRIM(D169))=0,"",IF(AND(LEN(TRIM(D169))&lt;3,ISNA(MATCH(F169,Parametros!$K$4:$K$8,0))),"Muy corta",IF(OR(ISNUMBER(SEARCH("@",D169)),ISNUMBER(SEARCH("http",D169)),ISNUMBER(SEARCH("www.",D169))),"Posible dato personal","")))</f>
        <v/>
      </c>
    </row>
    <row r="170" customFormat="false" ht="32.25" hidden="false" customHeight="true" outlineLevel="0" collapsed="false">
      <c r="A170" s="5" t="s">
        <v>42</v>
      </c>
      <c r="B170" s="9" t="s">
        <v>30</v>
      </c>
      <c r="C170" s="9" t="s">
        <v>273</v>
      </c>
      <c r="D170" s="11" t="s">
        <v>389</v>
      </c>
      <c r="E170" s="12" t="s">
        <v>275</v>
      </c>
      <c r="F170" s="12" t="s">
        <v>103</v>
      </c>
      <c r="G170" s="9" t="n">
        <f aca="false">LEN(TRIM(D170))</f>
        <v>29</v>
      </c>
      <c r="H170" s="13" t="str">
        <f aca="false">IF(LEN(TRIM(D170))=0,"",IF(AND(LEN(TRIM(D170))&lt;3,ISNA(MATCH(F170,Parametros!$K$4:$K$8,0))),"Muy corta",IF(OR(ISNUMBER(SEARCH("@",D170)),ISNUMBER(SEARCH("http",D170)),ISNUMBER(SEARCH("www.",D170))),"Posible dato personal","")))</f>
        <v/>
      </c>
    </row>
    <row r="171" customFormat="false" ht="15" hidden="false" customHeight="true" outlineLevel="0" collapsed="false">
      <c r="A171" s="5" t="s">
        <v>42</v>
      </c>
      <c r="B171" s="9" t="s">
        <v>30</v>
      </c>
      <c r="C171" s="9" t="s">
        <v>276</v>
      </c>
      <c r="D171" s="11" t="s">
        <v>390</v>
      </c>
      <c r="E171" s="12" t="s">
        <v>278</v>
      </c>
      <c r="F171" s="12" t="s">
        <v>279</v>
      </c>
      <c r="G171" s="9" t="n">
        <f aca="false">LEN(TRIM(D171))</f>
        <v>23</v>
      </c>
      <c r="H171" s="13" t="str">
        <f aca="false">IF(LEN(TRIM(D171))=0,"",IF(AND(LEN(TRIM(D171))&lt;3,ISNA(MATCH(F171,Parametros!$K$4:$K$8,0))),"Muy corta",IF(OR(ISNUMBER(SEARCH("@",D171)),ISNUMBER(SEARCH("http",D171)),ISNUMBER(SEARCH("www.",D171))),"Posible dato personal","")))</f>
        <v/>
      </c>
    </row>
    <row r="172" customFormat="false" ht="21.75" hidden="false" customHeight="true" outlineLevel="0" collapsed="false">
      <c r="A172" s="5" t="s">
        <v>43</v>
      </c>
      <c r="B172" s="9" t="s">
        <v>16</v>
      </c>
      <c r="C172" s="9" t="s">
        <v>60</v>
      </c>
      <c r="D172" s="11" t="s">
        <v>391</v>
      </c>
      <c r="E172" s="12" t="s">
        <v>62</v>
      </c>
      <c r="F172" s="12" t="s">
        <v>63</v>
      </c>
      <c r="G172" s="9" t="n">
        <f aca="false">LEN(TRIM(D172))</f>
        <v>48</v>
      </c>
      <c r="H172" s="13" t="str">
        <f aca="false">IF(LEN(TRIM(D172))=0,"",IF(AND(LEN(TRIM(D172))&lt;3,ISNA(MATCH(F172,Parametros!$K$4:$K$8,0))),"Muy corta",IF(OR(ISNUMBER(SEARCH("@",D172)),ISNUMBER(SEARCH("http",D172)),ISNUMBER(SEARCH("www.",D172))),"Posible dato personal","")))</f>
        <v/>
      </c>
    </row>
    <row r="173" customFormat="false" ht="21.75" hidden="false" customHeight="true" outlineLevel="0" collapsed="false">
      <c r="A173" s="5" t="s">
        <v>43</v>
      </c>
      <c r="B173" s="9" t="s">
        <v>16</v>
      </c>
      <c r="C173" s="9" t="s">
        <v>64</v>
      </c>
      <c r="D173" s="11" t="s">
        <v>392</v>
      </c>
      <c r="E173" s="12" t="s">
        <v>66</v>
      </c>
      <c r="F173" s="12" t="s">
        <v>67</v>
      </c>
      <c r="G173" s="9" t="n">
        <f aca="false">LEN(TRIM(D173))</f>
        <v>43</v>
      </c>
      <c r="H173" s="13" t="str">
        <f aca="false">IF(LEN(TRIM(D173))=0,"",IF(AND(LEN(TRIM(D173))&lt;3,ISNA(MATCH(F173,Parametros!$K$4:$K$8,0))),"Muy corta",IF(OR(ISNUMBER(SEARCH("@",D173)),ISNUMBER(SEARCH("http",D173)),ISNUMBER(SEARCH("www.",D173))),"Posible dato personal","")))</f>
        <v/>
      </c>
    </row>
    <row r="174" customFormat="false" ht="21.75" hidden="false" customHeight="true" outlineLevel="0" collapsed="false">
      <c r="A174" s="5" t="s">
        <v>43</v>
      </c>
      <c r="B174" s="9" t="s">
        <v>16</v>
      </c>
      <c r="C174" s="9" t="s">
        <v>68</v>
      </c>
      <c r="D174" s="11" t="s">
        <v>393</v>
      </c>
      <c r="E174" s="12" t="s">
        <v>70</v>
      </c>
      <c r="F174" s="12" t="s">
        <v>71</v>
      </c>
      <c r="G174" s="9" t="n">
        <f aca="false">LEN(TRIM(D174))</f>
        <v>51</v>
      </c>
      <c r="H174" s="13" t="str">
        <f aca="false">IF(LEN(TRIM(D174))=0,"",IF(AND(LEN(TRIM(D174))&lt;3,ISNA(MATCH(F174,Parametros!$K$4:$K$8,0))),"Muy corta",IF(OR(ISNUMBER(SEARCH("@",D174)),ISNUMBER(SEARCH("http",D174)),ISNUMBER(SEARCH("www.",D174))),"Posible dato personal","")))</f>
        <v/>
      </c>
    </row>
    <row r="175" customFormat="false" ht="21.75" hidden="false" customHeight="true" outlineLevel="0" collapsed="false">
      <c r="A175" s="5" t="s">
        <v>43</v>
      </c>
      <c r="B175" s="9" t="s">
        <v>16</v>
      </c>
      <c r="C175" s="9" t="s">
        <v>72</v>
      </c>
      <c r="D175" s="11" t="s">
        <v>394</v>
      </c>
      <c r="E175" s="12" t="s">
        <v>74</v>
      </c>
      <c r="F175" s="12" t="s">
        <v>75</v>
      </c>
      <c r="G175" s="9" t="n">
        <f aca="false">LEN(TRIM(D175))</f>
        <v>52</v>
      </c>
      <c r="H175" s="13" t="str">
        <f aca="false">IF(LEN(TRIM(D175))=0,"",IF(AND(LEN(TRIM(D175))&lt;3,ISNA(MATCH(F175,Parametros!$K$4:$K$8,0))),"Muy corta",IF(OR(ISNUMBER(SEARCH("@",D175)),ISNUMBER(SEARCH("http",D175)),ISNUMBER(SEARCH("www.",D175))),"Posible dato personal","")))</f>
        <v/>
      </c>
    </row>
    <row r="176" customFormat="false" ht="21.75" hidden="false" customHeight="true" outlineLevel="0" collapsed="false">
      <c r="A176" s="5" t="s">
        <v>43</v>
      </c>
      <c r="B176" s="9" t="s">
        <v>16</v>
      </c>
      <c r="C176" s="9" t="s">
        <v>76</v>
      </c>
      <c r="D176" s="11" t="s">
        <v>395</v>
      </c>
      <c r="E176" s="12" t="s">
        <v>78</v>
      </c>
      <c r="F176" s="12" t="s">
        <v>79</v>
      </c>
      <c r="G176" s="9" t="n">
        <f aca="false">LEN(TRIM(D176))</f>
        <v>65</v>
      </c>
      <c r="H176" s="13" t="str">
        <f aca="false">IF(LEN(TRIM(D176))=0,"",IF(AND(LEN(TRIM(D176))&lt;3,ISNA(MATCH(F176,Parametros!$K$4:$K$8,0))),"Muy corta",IF(OR(ISNUMBER(SEARCH("@",D176)),ISNUMBER(SEARCH("http",D176)),ISNUMBER(SEARCH("www.",D176))),"Posible dato personal","")))</f>
        <v/>
      </c>
    </row>
    <row r="177" customFormat="false" ht="21.75" hidden="false" customHeight="true" outlineLevel="0" collapsed="false">
      <c r="A177" s="5" t="s">
        <v>43</v>
      </c>
      <c r="B177" s="9" t="s">
        <v>16</v>
      </c>
      <c r="C177" s="9" t="s">
        <v>80</v>
      </c>
      <c r="D177" s="11" t="s">
        <v>396</v>
      </c>
      <c r="E177" s="12" t="s">
        <v>82</v>
      </c>
      <c r="F177" s="12" t="s">
        <v>83</v>
      </c>
      <c r="G177" s="9" t="n">
        <f aca="false">LEN(TRIM(D177))</f>
        <v>71</v>
      </c>
      <c r="H177" s="13" t="str">
        <f aca="false">IF(LEN(TRIM(D177))=0,"",IF(AND(LEN(TRIM(D177))&lt;3,ISNA(MATCH(F177,Parametros!$K$4:$K$8,0))),"Muy corta",IF(OR(ISNUMBER(SEARCH("@",D177)),ISNUMBER(SEARCH("http",D177)),ISNUMBER(SEARCH("www.",D177))),"Posible dato personal","")))</f>
        <v/>
      </c>
    </row>
    <row r="178" customFormat="false" ht="21.75" hidden="false" customHeight="true" outlineLevel="0" collapsed="false">
      <c r="A178" s="5" t="s">
        <v>43</v>
      </c>
      <c r="B178" s="9" t="s">
        <v>16</v>
      </c>
      <c r="C178" s="9" t="s">
        <v>84</v>
      </c>
      <c r="D178" s="11" t="s">
        <v>397</v>
      </c>
      <c r="E178" s="12" t="s">
        <v>86</v>
      </c>
      <c r="F178" s="12" t="s">
        <v>87</v>
      </c>
      <c r="G178" s="9" t="n">
        <f aca="false">LEN(TRIM(D178))</f>
        <v>59</v>
      </c>
      <c r="H178" s="13" t="str">
        <f aca="false">IF(LEN(TRIM(D178))=0,"",IF(AND(LEN(TRIM(D178))&lt;3,ISNA(MATCH(F178,Parametros!$K$4:$K$8,0))),"Muy corta",IF(OR(ISNUMBER(SEARCH("@",D178)),ISNUMBER(SEARCH("http",D178)),ISNUMBER(SEARCH("www.",D178))),"Posible dato personal","")))</f>
        <v/>
      </c>
    </row>
    <row r="179" customFormat="false" ht="21.75" hidden="false" customHeight="true" outlineLevel="0" collapsed="false">
      <c r="A179" s="5" t="s">
        <v>43</v>
      </c>
      <c r="B179" s="9" t="s">
        <v>16</v>
      </c>
      <c r="C179" s="9" t="s">
        <v>88</v>
      </c>
      <c r="D179" s="11" t="s">
        <v>398</v>
      </c>
      <c r="E179" s="12" t="s">
        <v>90</v>
      </c>
      <c r="F179" s="12" t="s">
        <v>91</v>
      </c>
      <c r="G179" s="9" t="n">
        <f aca="false">LEN(TRIM(D179))</f>
        <v>49</v>
      </c>
      <c r="H179" s="13" t="str">
        <f aca="false">IF(LEN(TRIM(D179))=0,"",IF(AND(LEN(TRIM(D179))&lt;3,ISNA(MATCH(F179,Parametros!$K$4:$K$8,0))),"Muy corta",IF(OR(ISNUMBER(SEARCH("@",D179)),ISNUMBER(SEARCH("http",D179)),ISNUMBER(SEARCH("www.",D179))),"Posible dato personal","")))</f>
        <v/>
      </c>
    </row>
    <row r="180" customFormat="false" ht="21.75" hidden="false" customHeight="true" outlineLevel="0" collapsed="false">
      <c r="A180" s="5" t="s">
        <v>43</v>
      </c>
      <c r="B180" s="9" t="s">
        <v>16</v>
      </c>
      <c r="C180" s="9" t="s">
        <v>92</v>
      </c>
      <c r="D180" s="11" t="s">
        <v>399</v>
      </c>
      <c r="E180" s="12" t="s">
        <v>94</v>
      </c>
      <c r="F180" s="12" t="s">
        <v>95</v>
      </c>
      <c r="G180" s="9" t="n">
        <f aca="false">LEN(TRIM(D180))</f>
        <v>43</v>
      </c>
      <c r="H180" s="13" t="str">
        <f aca="false">IF(LEN(TRIM(D180))=0,"",IF(AND(LEN(TRIM(D180))&lt;3,ISNA(MATCH(F180,Parametros!$K$4:$K$8,0))),"Muy corta",IF(OR(ISNUMBER(SEARCH("@",D180)),ISNUMBER(SEARCH("http",D180)),ISNUMBER(SEARCH("www.",D180))),"Posible dato personal","")))</f>
        <v/>
      </c>
    </row>
    <row r="181" customFormat="false" ht="21.75" hidden="false" customHeight="true" outlineLevel="0" collapsed="false">
      <c r="A181" s="5" t="s">
        <v>43</v>
      </c>
      <c r="B181" s="9" t="s">
        <v>16</v>
      </c>
      <c r="C181" s="9" t="s">
        <v>96</v>
      </c>
      <c r="D181" s="11" t="s">
        <v>400</v>
      </c>
      <c r="E181" s="12" t="s">
        <v>98</v>
      </c>
      <c r="F181" s="12" t="s">
        <v>99</v>
      </c>
      <c r="G181" s="9" t="n">
        <f aca="false">LEN(TRIM(D181))</f>
        <v>4</v>
      </c>
      <c r="H181" s="13" t="str">
        <f aca="false">IF(LEN(TRIM(D181))=0,"",IF(AND(LEN(TRIM(D181))&lt;3,ISNA(MATCH(F181,Parametros!$K$4:$K$8,0))),"Muy corta",IF(OR(ISNUMBER(SEARCH("@",D181)),ISNUMBER(SEARCH("http",D181)),ISNUMBER(SEARCH("www.",D181))),"Posible dato personal","")))</f>
        <v/>
      </c>
    </row>
    <row r="182" customFormat="false" ht="21.75" hidden="false" customHeight="true" outlineLevel="0" collapsed="false">
      <c r="A182" s="5" t="s">
        <v>43</v>
      </c>
      <c r="B182" s="9" t="s">
        <v>16</v>
      </c>
      <c r="C182" s="9" t="s">
        <v>100</v>
      </c>
      <c r="D182" s="11" t="s">
        <v>401</v>
      </c>
      <c r="E182" s="12" t="s">
        <v>102</v>
      </c>
      <c r="F182" s="12" t="s">
        <v>103</v>
      </c>
      <c r="G182" s="9" t="n">
        <f aca="false">LEN(TRIM(D182))</f>
        <v>38</v>
      </c>
      <c r="H182" s="13" t="str">
        <f aca="false">IF(LEN(TRIM(D182))=0,"",IF(AND(LEN(TRIM(D182))&lt;3,ISNA(MATCH(F182,Parametros!$K$4:$K$8,0))),"Muy corta",IF(OR(ISNUMBER(SEARCH("@",D182)),ISNUMBER(SEARCH("http",D182)),ISNUMBER(SEARCH("www.",D182))),"Posible dato personal","")))</f>
        <v/>
      </c>
    </row>
    <row r="183" customFormat="false" ht="21.75" hidden="false" customHeight="true" outlineLevel="0" collapsed="false">
      <c r="A183" s="5" t="s">
        <v>43</v>
      </c>
      <c r="B183" s="9" t="s">
        <v>16</v>
      </c>
      <c r="C183" s="9" t="s">
        <v>104</v>
      </c>
      <c r="D183" s="11" t="s">
        <v>402</v>
      </c>
      <c r="E183" s="12" t="s">
        <v>106</v>
      </c>
      <c r="F183" s="12" t="s">
        <v>107</v>
      </c>
      <c r="G183" s="9" t="n">
        <f aca="false">LEN(TRIM(D183))</f>
        <v>32</v>
      </c>
      <c r="H183" s="13" t="str">
        <f aca="false">IF(LEN(TRIM(D183))=0,"",IF(AND(LEN(TRIM(D183))&lt;3,ISNA(MATCH(F183,Parametros!$K$4:$K$8,0))),"Muy corta",IF(OR(ISNUMBER(SEARCH("@",D183)),ISNUMBER(SEARCH("http",D183)),ISNUMBER(SEARCH("www.",D183))),"Posible dato personal","")))</f>
        <v/>
      </c>
    </row>
    <row r="184" customFormat="false" ht="21.75" hidden="false" customHeight="true" outlineLevel="0" collapsed="false">
      <c r="A184" s="5" t="s">
        <v>44</v>
      </c>
      <c r="B184" s="9" t="s">
        <v>22</v>
      </c>
      <c r="C184" s="9" t="s">
        <v>108</v>
      </c>
      <c r="D184" s="11" t="s">
        <v>403</v>
      </c>
      <c r="E184" s="12" t="s">
        <v>110</v>
      </c>
      <c r="F184" s="12" t="s">
        <v>111</v>
      </c>
      <c r="G184" s="9" t="n">
        <f aca="false">LEN(TRIM(D184))</f>
        <v>75</v>
      </c>
      <c r="H184" s="13" t="str">
        <f aca="false">IF(LEN(TRIM(D184))=0,"",IF(AND(LEN(TRIM(D184))&lt;3,ISNA(MATCH(F184,Parametros!$K$4:$K$8,0))),"Muy corta",IF(OR(ISNUMBER(SEARCH("@",D184)),ISNUMBER(SEARCH("http",D184)),ISNUMBER(SEARCH("www.",D184))),"Posible dato personal","")))</f>
        <v/>
      </c>
    </row>
    <row r="185" customFormat="false" ht="15" hidden="false" customHeight="true" outlineLevel="0" collapsed="false">
      <c r="A185" s="5" t="s">
        <v>44</v>
      </c>
      <c r="B185" s="9" t="s">
        <v>22</v>
      </c>
      <c r="C185" s="9" t="s">
        <v>112</v>
      </c>
      <c r="D185" s="11" t="s">
        <v>404</v>
      </c>
      <c r="E185" s="12" t="s">
        <v>114</v>
      </c>
      <c r="F185" s="12" t="s">
        <v>115</v>
      </c>
      <c r="G185" s="9" t="n">
        <f aca="false">LEN(TRIM(D185))</f>
        <v>55</v>
      </c>
      <c r="H185" s="13" t="str">
        <f aca="false">IF(LEN(TRIM(D185))=0,"",IF(AND(LEN(TRIM(D185))&lt;3,ISNA(MATCH(F185,Parametros!$K$4:$K$8,0))),"Muy corta",IF(OR(ISNUMBER(SEARCH("@",D185)),ISNUMBER(SEARCH("http",D185)),ISNUMBER(SEARCH("www.",D185))),"Posible dato personal","")))</f>
        <v/>
      </c>
    </row>
    <row r="186" customFormat="false" ht="21.75" hidden="false" customHeight="true" outlineLevel="0" collapsed="false">
      <c r="A186" s="5" t="s">
        <v>44</v>
      </c>
      <c r="B186" s="9" t="s">
        <v>22</v>
      </c>
      <c r="C186" s="9" t="s">
        <v>116</v>
      </c>
      <c r="D186" s="11" t="s">
        <v>405</v>
      </c>
      <c r="E186" s="12" t="s">
        <v>118</v>
      </c>
      <c r="F186" s="12" t="s">
        <v>119</v>
      </c>
      <c r="G186" s="9" t="n">
        <f aca="false">LEN(TRIM(D186))</f>
        <v>54</v>
      </c>
      <c r="H186" s="13" t="str">
        <f aca="false">IF(LEN(TRIM(D186))=0,"",IF(AND(LEN(TRIM(D186))&lt;3,ISNA(MATCH(F186,Parametros!$K$4:$K$8,0))),"Muy corta",IF(OR(ISNUMBER(SEARCH("@",D186)),ISNUMBER(SEARCH("http",D186)),ISNUMBER(SEARCH("www.",D186))),"Posible dato personal","")))</f>
        <v/>
      </c>
    </row>
    <row r="187" customFormat="false" ht="21.75" hidden="false" customHeight="true" outlineLevel="0" collapsed="false">
      <c r="A187" s="5" t="s">
        <v>44</v>
      </c>
      <c r="B187" s="9" t="s">
        <v>22</v>
      </c>
      <c r="C187" s="9" t="s">
        <v>120</v>
      </c>
      <c r="D187" s="11" t="s">
        <v>406</v>
      </c>
      <c r="E187" s="12" t="s">
        <v>122</v>
      </c>
      <c r="F187" s="12" t="s">
        <v>123</v>
      </c>
      <c r="G187" s="9" t="n">
        <f aca="false">LEN(TRIM(D187))</f>
        <v>70</v>
      </c>
      <c r="H187" s="13" t="str">
        <f aca="false">IF(LEN(TRIM(D187))=0,"",IF(AND(LEN(TRIM(D187))&lt;3,ISNA(MATCH(F187,Parametros!$K$4:$K$8,0))),"Muy corta",IF(OR(ISNUMBER(SEARCH("@",D187)),ISNUMBER(SEARCH("http",D187)),ISNUMBER(SEARCH("www.",D187))),"Posible dato personal","")))</f>
        <v/>
      </c>
    </row>
    <row r="188" customFormat="false" ht="21.75" hidden="false" customHeight="true" outlineLevel="0" collapsed="false">
      <c r="A188" s="5" t="s">
        <v>44</v>
      </c>
      <c r="B188" s="9" t="s">
        <v>22</v>
      </c>
      <c r="C188" s="9" t="s">
        <v>124</v>
      </c>
      <c r="D188" s="11" t="s">
        <v>407</v>
      </c>
      <c r="E188" s="12" t="s">
        <v>126</v>
      </c>
      <c r="F188" s="12" t="s">
        <v>127</v>
      </c>
      <c r="G188" s="9" t="n">
        <f aca="false">LEN(TRIM(D188))</f>
        <v>55</v>
      </c>
      <c r="H188" s="13" t="str">
        <f aca="false">IF(LEN(TRIM(D188))=0,"",IF(AND(LEN(TRIM(D188))&lt;3,ISNA(MATCH(F188,Parametros!$K$4:$K$8,0))),"Muy corta",IF(OR(ISNUMBER(SEARCH("@",D188)),ISNUMBER(SEARCH("http",D188)),ISNUMBER(SEARCH("www.",D188))),"Posible dato personal","")))</f>
        <v/>
      </c>
    </row>
    <row r="189" customFormat="false" ht="21.75" hidden="false" customHeight="true" outlineLevel="0" collapsed="false">
      <c r="A189" s="5" t="s">
        <v>44</v>
      </c>
      <c r="B189" s="9" t="s">
        <v>22</v>
      </c>
      <c r="C189" s="9" t="s">
        <v>128</v>
      </c>
      <c r="D189" s="11" t="s">
        <v>408</v>
      </c>
      <c r="E189" s="12" t="s">
        <v>129</v>
      </c>
      <c r="F189" s="12" t="s">
        <v>130</v>
      </c>
      <c r="G189" s="9" t="n">
        <f aca="false">LEN(TRIM(D189))</f>
        <v>63</v>
      </c>
      <c r="H189" s="13" t="str">
        <f aca="false">IF(LEN(TRIM(D189))=0,"",IF(AND(LEN(TRIM(D189))&lt;3,ISNA(MATCH(F189,Parametros!$K$4:$K$8,0))),"Muy corta",IF(OR(ISNUMBER(SEARCH("@",D189)),ISNUMBER(SEARCH("http",D189)),ISNUMBER(SEARCH("www.",D189))),"Posible dato personal","")))</f>
        <v/>
      </c>
    </row>
    <row r="190" customFormat="false" ht="15" hidden="false" customHeight="true" outlineLevel="0" collapsed="false">
      <c r="A190" s="5" t="s">
        <v>44</v>
      </c>
      <c r="B190" s="9" t="s">
        <v>22</v>
      </c>
      <c r="C190" s="9" t="s">
        <v>131</v>
      </c>
      <c r="D190" s="11" t="s">
        <v>409</v>
      </c>
      <c r="E190" s="12" t="s">
        <v>133</v>
      </c>
      <c r="F190" s="12" t="s">
        <v>134</v>
      </c>
      <c r="G190" s="9" t="n">
        <f aca="false">LEN(TRIM(D190))</f>
        <v>46</v>
      </c>
      <c r="H190" s="13" t="str">
        <f aca="false">IF(LEN(TRIM(D190))=0,"",IF(AND(LEN(TRIM(D190))&lt;3,ISNA(MATCH(F190,Parametros!$K$4:$K$8,0))),"Muy corta",IF(OR(ISNUMBER(SEARCH("@",D190)),ISNUMBER(SEARCH("http",D190)),ISNUMBER(SEARCH("www.",D190))),"Posible dato personal","")))</f>
        <v/>
      </c>
    </row>
    <row r="191" customFormat="false" ht="15" hidden="false" customHeight="true" outlineLevel="0" collapsed="false">
      <c r="A191" s="5" t="s">
        <v>44</v>
      </c>
      <c r="B191" s="9" t="s">
        <v>22</v>
      </c>
      <c r="C191" s="9" t="s">
        <v>135</v>
      </c>
      <c r="D191" s="11" t="s">
        <v>410</v>
      </c>
      <c r="E191" s="12" t="s">
        <v>137</v>
      </c>
      <c r="F191" s="12" t="s">
        <v>138</v>
      </c>
      <c r="G191" s="9" t="n">
        <f aca="false">LEN(TRIM(D191))</f>
        <v>63</v>
      </c>
      <c r="H191" s="13" t="str">
        <f aca="false">IF(LEN(TRIM(D191))=0,"",IF(AND(LEN(TRIM(D191))&lt;3,ISNA(MATCH(F191,Parametros!$K$4:$K$8,0))),"Muy corta",IF(OR(ISNUMBER(SEARCH("@",D191)),ISNUMBER(SEARCH("http",D191)),ISNUMBER(SEARCH("www.",D191))),"Posible dato personal","")))</f>
        <v/>
      </c>
    </row>
    <row r="192" customFormat="false" ht="21.75" hidden="false" customHeight="true" outlineLevel="0" collapsed="false">
      <c r="A192" s="5" t="s">
        <v>44</v>
      </c>
      <c r="B192" s="9" t="s">
        <v>22</v>
      </c>
      <c r="C192" s="9" t="s">
        <v>139</v>
      </c>
      <c r="D192" s="11" t="s">
        <v>411</v>
      </c>
      <c r="E192" s="12" t="s">
        <v>141</v>
      </c>
      <c r="F192" s="12" t="s">
        <v>142</v>
      </c>
      <c r="G192" s="9" t="n">
        <f aca="false">LEN(TRIM(D192))</f>
        <v>47</v>
      </c>
      <c r="H192" s="13" t="str">
        <f aca="false">IF(LEN(TRIM(D192))=0,"",IF(AND(LEN(TRIM(D192))&lt;3,ISNA(MATCH(F192,Parametros!$K$4:$K$8,0))),"Muy corta",IF(OR(ISNUMBER(SEARCH("@",D192)),ISNUMBER(SEARCH("http",D192)),ISNUMBER(SEARCH("www.",D192))),"Posible dato personal","")))</f>
        <v/>
      </c>
    </row>
    <row r="193" customFormat="false" ht="21.75" hidden="false" customHeight="true" outlineLevel="0" collapsed="false">
      <c r="A193" s="5" t="s">
        <v>44</v>
      </c>
      <c r="B193" s="9" t="s">
        <v>22</v>
      </c>
      <c r="C193" s="9" t="s">
        <v>143</v>
      </c>
      <c r="D193" s="11" t="s">
        <v>412</v>
      </c>
      <c r="E193" s="12" t="s">
        <v>145</v>
      </c>
      <c r="F193" s="12" t="s">
        <v>146</v>
      </c>
      <c r="G193" s="9" t="n">
        <f aca="false">LEN(TRIM(D193))</f>
        <v>23</v>
      </c>
      <c r="H193" s="13" t="str">
        <f aca="false">IF(LEN(TRIM(D193))=0,"",IF(AND(LEN(TRIM(D193))&lt;3,ISNA(MATCH(F193,Parametros!$K$4:$K$8,0))),"Muy corta",IF(OR(ISNUMBER(SEARCH("@",D193)),ISNUMBER(SEARCH("http",D193)),ISNUMBER(SEARCH("www.",D193))),"Posible dato personal","")))</f>
        <v/>
      </c>
    </row>
    <row r="194" customFormat="false" ht="21.75" hidden="false" customHeight="true" outlineLevel="0" collapsed="false">
      <c r="A194" s="5" t="s">
        <v>44</v>
      </c>
      <c r="B194" s="9" t="s">
        <v>22</v>
      </c>
      <c r="C194" s="9" t="s">
        <v>147</v>
      </c>
      <c r="D194" s="11" t="s">
        <v>413</v>
      </c>
      <c r="E194" s="12" t="s">
        <v>149</v>
      </c>
      <c r="F194" s="12" t="s">
        <v>103</v>
      </c>
      <c r="G194" s="9" t="n">
        <f aca="false">LEN(TRIM(D194))</f>
        <v>35</v>
      </c>
      <c r="H194" s="13" t="str">
        <f aca="false">IF(LEN(TRIM(D194))=0,"",IF(AND(LEN(TRIM(D194))&lt;3,ISNA(MATCH(F194,Parametros!$K$4:$K$8,0))),"Muy corta",IF(OR(ISNUMBER(SEARCH("@",D194)),ISNUMBER(SEARCH("http",D194)),ISNUMBER(SEARCH("www.",D194))),"Posible dato personal","")))</f>
        <v/>
      </c>
    </row>
    <row r="195" customFormat="false" ht="21.75" hidden="false" customHeight="true" outlineLevel="0" collapsed="false">
      <c r="A195" s="5" t="s">
        <v>45</v>
      </c>
      <c r="B195" s="9" t="s">
        <v>25</v>
      </c>
      <c r="C195" s="9" t="s">
        <v>150</v>
      </c>
      <c r="D195" s="11" t="s">
        <v>414</v>
      </c>
      <c r="E195" s="12" t="s">
        <v>152</v>
      </c>
      <c r="F195" s="12" t="s">
        <v>153</v>
      </c>
      <c r="G195" s="9" t="n">
        <f aca="false">LEN(TRIM(D195))</f>
        <v>71</v>
      </c>
      <c r="H195" s="13" t="str">
        <f aca="false">IF(LEN(TRIM(D195))=0,"",IF(AND(LEN(TRIM(D195))&lt;3,ISNA(MATCH(F195,Parametros!$K$4:$K$8,0))),"Muy corta",IF(OR(ISNUMBER(SEARCH("@",D195)),ISNUMBER(SEARCH("http",D195)),ISNUMBER(SEARCH("www.",D195))),"Posible dato personal","")))</f>
        <v/>
      </c>
    </row>
    <row r="196" customFormat="false" ht="21.75" hidden="false" customHeight="true" outlineLevel="0" collapsed="false">
      <c r="A196" s="5" t="s">
        <v>45</v>
      </c>
      <c r="B196" s="9" t="s">
        <v>25</v>
      </c>
      <c r="C196" s="9" t="s">
        <v>154</v>
      </c>
      <c r="D196" s="11"/>
      <c r="E196" s="12" t="s">
        <v>156</v>
      </c>
      <c r="F196" s="12" t="s">
        <v>157</v>
      </c>
      <c r="G196" s="9" t="n">
        <f aca="false">LEN(TRIM(D196))</f>
        <v>0</v>
      </c>
      <c r="H196" s="13" t="str">
        <f aca="false">IF(LEN(TRIM(D196))=0,"",IF(AND(LEN(TRIM(D196))&lt;3,ISNA(MATCH(F196,Parametros!$K$4:$K$8,0))),"Muy corta",IF(OR(ISNUMBER(SEARCH("@",D196)),ISNUMBER(SEARCH("http",D196)),ISNUMBER(SEARCH("www.",D196))),"Posible dato personal","")))</f>
        <v/>
      </c>
    </row>
    <row r="197" customFormat="false" ht="21.75" hidden="false" customHeight="true" outlineLevel="0" collapsed="false">
      <c r="A197" s="5" t="s">
        <v>45</v>
      </c>
      <c r="B197" s="9" t="s">
        <v>25</v>
      </c>
      <c r="C197" s="9" t="s">
        <v>158</v>
      </c>
      <c r="D197" s="11" t="s">
        <v>415</v>
      </c>
      <c r="E197" s="12" t="s">
        <v>160</v>
      </c>
      <c r="F197" s="12" t="s">
        <v>161</v>
      </c>
      <c r="G197" s="9" t="n">
        <f aca="false">LEN(TRIM(D197))</f>
        <v>60</v>
      </c>
      <c r="H197" s="13" t="str">
        <f aca="false">IF(LEN(TRIM(D197))=0,"",IF(AND(LEN(TRIM(D197))&lt;3,ISNA(MATCH(F197,Parametros!$K$4:$K$8,0))),"Muy corta",IF(OR(ISNUMBER(SEARCH("@",D197)),ISNUMBER(SEARCH("http",D197)),ISNUMBER(SEARCH("www.",D197))),"Posible dato personal","")))</f>
        <v/>
      </c>
    </row>
    <row r="198" customFormat="false" ht="21.75" hidden="false" customHeight="true" outlineLevel="0" collapsed="false">
      <c r="A198" s="5" t="s">
        <v>45</v>
      </c>
      <c r="B198" s="9" t="s">
        <v>25</v>
      </c>
      <c r="C198" s="9" t="s">
        <v>162</v>
      </c>
      <c r="D198" s="11" t="s">
        <v>416</v>
      </c>
      <c r="E198" s="12" t="s">
        <v>164</v>
      </c>
      <c r="F198" s="12" t="s">
        <v>165</v>
      </c>
      <c r="G198" s="9" t="n">
        <f aca="false">LEN(TRIM(D198))</f>
        <v>53</v>
      </c>
      <c r="H198" s="13" t="str">
        <f aca="false">IF(LEN(TRIM(D198))=0,"",IF(AND(LEN(TRIM(D198))&lt;3,ISNA(MATCH(F198,Parametros!$K$4:$K$8,0))),"Muy corta",IF(OR(ISNUMBER(SEARCH("@",D198)),ISNUMBER(SEARCH("http",D198)),ISNUMBER(SEARCH("www.",D198))),"Posible dato personal","")))</f>
        <v/>
      </c>
    </row>
    <row r="199" customFormat="false" ht="21.75" hidden="false" customHeight="true" outlineLevel="0" collapsed="false">
      <c r="A199" s="5" t="s">
        <v>45</v>
      </c>
      <c r="B199" s="9" t="s">
        <v>25</v>
      </c>
      <c r="C199" s="9" t="s">
        <v>166</v>
      </c>
      <c r="D199" s="11" t="s">
        <v>417</v>
      </c>
      <c r="E199" s="12" t="s">
        <v>168</v>
      </c>
      <c r="F199" s="12" t="s">
        <v>169</v>
      </c>
      <c r="G199" s="9" t="n">
        <f aca="false">LEN(TRIM(D199))</f>
        <v>53</v>
      </c>
      <c r="H199" s="13" t="str">
        <f aca="false">IF(LEN(TRIM(D199))=0,"",IF(AND(LEN(TRIM(D199))&lt;3,ISNA(MATCH(F199,Parametros!$K$4:$K$8,0))),"Muy corta",IF(OR(ISNUMBER(SEARCH("@",D199)),ISNUMBER(SEARCH("http",D199)),ISNUMBER(SEARCH("www.",D199))),"Posible dato personal","")))</f>
        <v/>
      </c>
    </row>
    <row r="200" customFormat="false" ht="21.75" hidden="false" customHeight="true" outlineLevel="0" collapsed="false">
      <c r="A200" s="5" t="s">
        <v>45</v>
      </c>
      <c r="B200" s="9" t="s">
        <v>25</v>
      </c>
      <c r="C200" s="9" t="s">
        <v>170</v>
      </c>
      <c r="D200" s="11" t="s">
        <v>418</v>
      </c>
      <c r="E200" s="12" t="s">
        <v>172</v>
      </c>
      <c r="F200" s="12" t="s">
        <v>173</v>
      </c>
      <c r="G200" s="9" t="n">
        <f aca="false">LEN(TRIM(D200))</f>
        <v>43</v>
      </c>
      <c r="H200" s="13" t="str">
        <f aca="false">IF(LEN(TRIM(D200))=0,"",IF(AND(LEN(TRIM(D200))&lt;3,ISNA(MATCH(F200,Parametros!$K$4:$K$8,0))),"Muy corta",IF(OR(ISNUMBER(SEARCH("@",D200)),ISNUMBER(SEARCH("http",D200)),ISNUMBER(SEARCH("www.",D200))),"Posible dato personal","")))</f>
        <v/>
      </c>
    </row>
    <row r="201" customFormat="false" ht="15" hidden="false" customHeight="true" outlineLevel="0" collapsed="false">
      <c r="A201" s="5" t="s">
        <v>45</v>
      </c>
      <c r="B201" s="9" t="s">
        <v>25</v>
      </c>
      <c r="C201" s="9" t="s">
        <v>174</v>
      </c>
      <c r="D201" s="11" t="s">
        <v>419</v>
      </c>
      <c r="E201" s="12" t="s">
        <v>175</v>
      </c>
      <c r="F201" s="12" t="s">
        <v>176</v>
      </c>
      <c r="G201" s="9" t="n">
        <f aca="false">LEN(TRIM(D201))</f>
        <v>52</v>
      </c>
      <c r="H201" s="13" t="str">
        <f aca="false">IF(LEN(TRIM(D201))=0,"",IF(AND(LEN(TRIM(D201))&lt;3,ISNA(MATCH(F201,Parametros!$K$4:$K$8,0))),"Muy corta",IF(OR(ISNUMBER(SEARCH("@",D201)),ISNUMBER(SEARCH("http",D201)),ISNUMBER(SEARCH("www.",D201))),"Posible dato personal","")))</f>
        <v/>
      </c>
    </row>
    <row r="202" customFormat="false" ht="21.75" hidden="false" customHeight="true" outlineLevel="0" collapsed="false">
      <c r="A202" s="5" t="s">
        <v>45</v>
      </c>
      <c r="B202" s="9" t="s">
        <v>25</v>
      </c>
      <c r="C202" s="9" t="s">
        <v>177</v>
      </c>
      <c r="D202" s="11" t="s">
        <v>420</v>
      </c>
      <c r="E202" s="12" t="s">
        <v>179</v>
      </c>
      <c r="F202" s="12" t="s">
        <v>180</v>
      </c>
      <c r="G202" s="9" t="n">
        <f aca="false">LEN(TRIM(D202))</f>
        <v>50</v>
      </c>
      <c r="H202" s="13" t="str">
        <f aca="false">IF(LEN(TRIM(D202))=0,"",IF(AND(LEN(TRIM(D202))&lt;3,ISNA(MATCH(F202,Parametros!$K$4:$K$8,0))),"Muy corta",IF(OR(ISNUMBER(SEARCH("@",D202)),ISNUMBER(SEARCH("http",D202)),ISNUMBER(SEARCH("www.",D202))),"Posible dato personal","")))</f>
        <v/>
      </c>
    </row>
    <row r="203" customFormat="false" ht="21.75" hidden="false" customHeight="true" outlineLevel="0" collapsed="false">
      <c r="A203" s="5" t="s">
        <v>45</v>
      </c>
      <c r="B203" s="9" t="s">
        <v>25</v>
      </c>
      <c r="C203" s="9" t="s">
        <v>181</v>
      </c>
      <c r="D203" s="11" t="s">
        <v>421</v>
      </c>
      <c r="E203" s="12" t="s">
        <v>183</v>
      </c>
      <c r="F203" s="12" t="s">
        <v>184</v>
      </c>
      <c r="G203" s="9" t="n">
        <f aca="false">LEN(TRIM(D203))</f>
        <v>44</v>
      </c>
      <c r="H203" s="13" t="str">
        <f aca="false">IF(LEN(TRIM(D203))=0,"",IF(AND(LEN(TRIM(D203))&lt;3,ISNA(MATCH(F203,Parametros!$K$4:$K$8,0))),"Muy corta",IF(OR(ISNUMBER(SEARCH("@",D203)),ISNUMBER(SEARCH("http",D203)),ISNUMBER(SEARCH("www.",D203))),"Posible dato personal","")))</f>
        <v/>
      </c>
    </row>
    <row r="204" customFormat="false" ht="21.75" hidden="false" customHeight="true" outlineLevel="0" collapsed="false">
      <c r="A204" s="5" t="s">
        <v>45</v>
      </c>
      <c r="B204" s="9" t="s">
        <v>25</v>
      </c>
      <c r="C204" s="9" t="s">
        <v>185</v>
      </c>
      <c r="D204" s="11" t="s">
        <v>422</v>
      </c>
      <c r="E204" s="12" t="s">
        <v>187</v>
      </c>
      <c r="F204" s="12" t="s">
        <v>188</v>
      </c>
      <c r="G204" s="9" t="n">
        <f aca="false">LEN(TRIM(D204))</f>
        <v>6</v>
      </c>
      <c r="H204" s="13" t="str">
        <f aca="false">IF(LEN(TRIM(D204))=0,"",IF(AND(LEN(TRIM(D204))&lt;3,ISNA(MATCH(F204,Parametros!$K$4:$K$8,0))),"Muy corta",IF(OR(ISNUMBER(SEARCH("@",D204)),ISNUMBER(SEARCH("http",D204)),ISNUMBER(SEARCH("www.",D204))),"Posible dato personal","")))</f>
        <v/>
      </c>
    </row>
    <row r="205" customFormat="false" ht="21.75" hidden="false" customHeight="true" outlineLevel="0" collapsed="false">
      <c r="A205" s="5" t="s">
        <v>45</v>
      </c>
      <c r="B205" s="9" t="s">
        <v>25</v>
      </c>
      <c r="C205" s="9" t="s">
        <v>189</v>
      </c>
      <c r="D205" s="11" t="s">
        <v>423</v>
      </c>
      <c r="E205" s="12" t="s">
        <v>191</v>
      </c>
      <c r="F205" s="12" t="s">
        <v>192</v>
      </c>
      <c r="G205" s="9" t="n">
        <f aca="false">LEN(TRIM(D205))</f>
        <v>20</v>
      </c>
      <c r="H205" s="13" t="str">
        <f aca="false">IF(LEN(TRIM(D205))=0,"",IF(AND(LEN(TRIM(D205))&lt;3,ISNA(MATCH(F205,Parametros!$K$4:$K$8,0))),"Muy corta",IF(OR(ISNUMBER(SEARCH("@",D205)),ISNUMBER(SEARCH("http",D205)),ISNUMBER(SEARCH("www.",D205))),"Posible dato personal","")))</f>
        <v/>
      </c>
    </row>
    <row r="206" customFormat="false" ht="21.75" hidden="false" customHeight="true" outlineLevel="0" collapsed="false">
      <c r="A206" s="5" t="s">
        <v>46</v>
      </c>
      <c r="B206" s="9" t="s">
        <v>27</v>
      </c>
      <c r="C206" s="9" t="s">
        <v>193</v>
      </c>
      <c r="D206" s="11" t="s">
        <v>424</v>
      </c>
      <c r="E206" s="12" t="s">
        <v>195</v>
      </c>
      <c r="F206" s="12" t="s">
        <v>196</v>
      </c>
      <c r="G206" s="9" t="n">
        <f aca="false">LEN(TRIM(D206))</f>
        <v>59</v>
      </c>
      <c r="H206" s="13" t="str">
        <f aca="false">IF(LEN(TRIM(D206))=0,"",IF(AND(LEN(TRIM(D206))&lt;3,ISNA(MATCH(F206,Parametros!$K$4:$K$8,0))),"Muy corta",IF(OR(ISNUMBER(SEARCH("@",D206)),ISNUMBER(SEARCH("http",D206)),ISNUMBER(SEARCH("www.",D206))),"Posible dato personal","")))</f>
        <v/>
      </c>
    </row>
    <row r="207" customFormat="false" ht="21.75" hidden="false" customHeight="true" outlineLevel="0" collapsed="false">
      <c r="A207" s="5" t="s">
        <v>46</v>
      </c>
      <c r="B207" s="9" t="s">
        <v>27</v>
      </c>
      <c r="C207" s="9" t="s">
        <v>197</v>
      </c>
      <c r="D207" s="11" t="s">
        <v>425</v>
      </c>
      <c r="E207" s="12" t="s">
        <v>199</v>
      </c>
      <c r="F207" s="12" t="s">
        <v>200</v>
      </c>
      <c r="G207" s="9" t="n">
        <f aca="false">LEN(TRIM(D207))</f>
        <v>59</v>
      </c>
      <c r="H207" s="13" t="str">
        <f aca="false">IF(LEN(TRIM(D207))=0,"",IF(AND(LEN(TRIM(D207))&lt;3,ISNA(MATCH(F207,Parametros!$K$4:$K$8,0))),"Muy corta",IF(OR(ISNUMBER(SEARCH("@",D207)),ISNUMBER(SEARCH("http",D207)),ISNUMBER(SEARCH("www.",D207))),"Posible dato personal","")))</f>
        <v/>
      </c>
    </row>
    <row r="208" customFormat="false" ht="21.75" hidden="false" customHeight="true" outlineLevel="0" collapsed="false">
      <c r="A208" s="5" t="s">
        <v>46</v>
      </c>
      <c r="B208" s="9" t="s">
        <v>27</v>
      </c>
      <c r="C208" s="9" t="s">
        <v>201</v>
      </c>
      <c r="D208" s="11" t="s">
        <v>426</v>
      </c>
      <c r="E208" s="12" t="s">
        <v>203</v>
      </c>
      <c r="F208" s="12" t="s">
        <v>204</v>
      </c>
      <c r="G208" s="9" t="n">
        <f aca="false">LEN(TRIM(D208))</f>
        <v>48</v>
      </c>
      <c r="H208" s="13" t="str">
        <f aca="false">IF(LEN(TRIM(D208))=0,"",IF(AND(LEN(TRIM(D208))&lt;3,ISNA(MATCH(F208,Parametros!$K$4:$K$8,0))),"Muy corta",IF(OR(ISNUMBER(SEARCH("@",D208)),ISNUMBER(SEARCH("http",D208)),ISNUMBER(SEARCH("www.",D208))),"Posible dato personal","")))</f>
        <v/>
      </c>
    </row>
    <row r="209" customFormat="false" ht="21.75" hidden="false" customHeight="true" outlineLevel="0" collapsed="false">
      <c r="A209" s="5" t="s">
        <v>46</v>
      </c>
      <c r="B209" s="9" t="s">
        <v>27</v>
      </c>
      <c r="C209" s="9" t="s">
        <v>205</v>
      </c>
      <c r="D209" s="11" t="s">
        <v>427</v>
      </c>
      <c r="E209" s="12" t="s">
        <v>207</v>
      </c>
      <c r="F209" s="12" t="s">
        <v>208</v>
      </c>
      <c r="G209" s="9" t="n">
        <f aca="false">LEN(TRIM(D209))</f>
        <v>67</v>
      </c>
      <c r="H209" s="13" t="str">
        <f aca="false">IF(LEN(TRIM(D209))=0,"",IF(AND(LEN(TRIM(D209))&lt;3,ISNA(MATCH(F209,Parametros!$K$4:$K$8,0))),"Muy corta",IF(OR(ISNUMBER(SEARCH("@",D209)),ISNUMBER(SEARCH("http",D209)),ISNUMBER(SEARCH("www.",D209))),"Posible dato personal","")))</f>
        <v/>
      </c>
    </row>
    <row r="210" customFormat="false" ht="21.75" hidden="false" customHeight="true" outlineLevel="0" collapsed="false">
      <c r="A210" s="5" t="s">
        <v>46</v>
      </c>
      <c r="B210" s="9" t="s">
        <v>27</v>
      </c>
      <c r="C210" s="9" t="s">
        <v>209</v>
      </c>
      <c r="D210" s="11" t="s">
        <v>428</v>
      </c>
      <c r="E210" s="12" t="s">
        <v>211</v>
      </c>
      <c r="F210" s="12" t="s">
        <v>212</v>
      </c>
      <c r="G210" s="9" t="n">
        <f aca="false">LEN(TRIM(D210))</f>
        <v>46</v>
      </c>
      <c r="H210" s="13" t="str">
        <f aca="false">IF(LEN(TRIM(D210))=0,"",IF(AND(LEN(TRIM(D210))&lt;3,ISNA(MATCH(F210,Parametros!$K$4:$K$8,0))),"Muy corta",IF(OR(ISNUMBER(SEARCH("@",D210)),ISNUMBER(SEARCH("http",D210)),ISNUMBER(SEARCH("www.",D210))),"Posible dato personal","")))</f>
        <v/>
      </c>
    </row>
    <row r="211" customFormat="false" ht="21.75" hidden="false" customHeight="true" outlineLevel="0" collapsed="false">
      <c r="A211" s="5" t="s">
        <v>46</v>
      </c>
      <c r="B211" s="9" t="s">
        <v>27</v>
      </c>
      <c r="C211" s="9" t="s">
        <v>213</v>
      </c>
      <c r="D211" s="11" t="s">
        <v>429</v>
      </c>
      <c r="E211" s="12" t="s">
        <v>215</v>
      </c>
      <c r="F211" s="12" t="s">
        <v>216</v>
      </c>
      <c r="G211" s="9" t="n">
        <f aca="false">LEN(TRIM(D211))</f>
        <v>40</v>
      </c>
      <c r="H211" s="13" t="str">
        <f aca="false">IF(LEN(TRIM(D211))=0,"",IF(AND(LEN(TRIM(D211))&lt;3,ISNA(MATCH(F211,Parametros!$K$4:$K$8,0))),"Muy corta",IF(OR(ISNUMBER(SEARCH("@",D211)),ISNUMBER(SEARCH("http",D211)),ISNUMBER(SEARCH("www.",D211))),"Posible dato personal","")))</f>
        <v/>
      </c>
    </row>
    <row r="212" customFormat="false" ht="21.75" hidden="false" customHeight="true" outlineLevel="0" collapsed="false">
      <c r="A212" s="5" t="s">
        <v>46</v>
      </c>
      <c r="B212" s="9" t="s">
        <v>27</v>
      </c>
      <c r="C212" s="9" t="s">
        <v>217</v>
      </c>
      <c r="D212" s="11" t="s">
        <v>430</v>
      </c>
      <c r="E212" s="12" t="s">
        <v>219</v>
      </c>
      <c r="F212" s="12" t="s">
        <v>220</v>
      </c>
      <c r="G212" s="9" t="n">
        <f aca="false">LEN(TRIM(D212))</f>
        <v>53</v>
      </c>
      <c r="H212" s="13" t="str">
        <f aca="false">IF(LEN(TRIM(D212))=0,"",IF(AND(LEN(TRIM(D212))&lt;3,ISNA(MATCH(F212,Parametros!$K$4:$K$8,0))),"Muy corta",IF(OR(ISNUMBER(SEARCH("@",D212)),ISNUMBER(SEARCH("http",D212)),ISNUMBER(SEARCH("www.",D212))),"Posible dato personal","")))</f>
        <v/>
      </c>
    </row>
    <row r="213" customFormat="false" ht="21.75" hidden="false" customHeight="true" outlineLevel="0" collapsed="false">
      <c r="A213" s="5" t="s">
        <v>46</v>
      </c>
      <c r="B213" s="9" t="s">
        <v>27</v>
      </c>
      <c r="C213" s="9" t="s">
        <v>221</v>
      </c>
      <c r="D213" s="11" t="s">
        <v>431</v>
      </c>
      <c r="E213" s="12" t="s">
        <v>223</v>
      </c>
      <c r="F213" s="12" t="s">
        <v>224</v>
      </c>
      <c r="G213" s="9" t="n">
        <f aca="false">LEN(TRIM(D213))</f>
        <v>41</v>
      </c>
      <c r="H213" s="13" t="str">
        <f aca="false">IF(LEN(TRIM(D213))=0,"",IF(AND(LEN(TRIM(D213))&lt;3,ISNA(MATCH(F213,Parametros!$K$4:$K$8,0))),"Muy corta",IF(OR(ISNUMBER(SEARCH("@",D213)),ISNUMBER(SEARCH("http",D213)),ISNUMBER(SEARCH("www.",D213))),"Posible dato personal","")))</f>
        <v/>
      </c>
    </row>
    <row r="214" customFormat="false" ht="21.75" hidden="false" customHeight="true" outlineLevel="0" collapsed="false">
      <c r="A214" s="5" t="s">
        <v>46</v>
      </c>
      <c r="B214" s="9" t="s">
        <v>27</v>
      </c>
      <c r="C214" s="9" t="s">
        <v>225</v>
      </c>
      <c r="D214" s="11" t="s">
        <v>432</v>
      </c>
      <c r="E214" s="12" t="s">
        <v>227</v>
      </c>
      <c r="F214" s="12" t="s">
        <v>228</v>
      </c>
      <c r="G214" s="9" t="n">
        <f aca="false">LEN(TRIM(D214))</f>
        <v>54</v>
      </c>
      <c r="H214" s="13" t="str">
        <f aca="false">IF(LEN(TRIM(D214))=0,"",IF(AND(LEN(TRIM(D214))&lt;3,ISNA(MATCH(F214,Parametros!$K$4:$K$8,0))),"Muy corta",IF(OR(ISNUMBER(SEARCH("@",D214)),ISNUMBER(SEARCH("http",D214)),ISNUMBER(SEARCH("www.",D214))),"Posible dato personal","")))</f>
        <v/>
      </c>
    </row>
    <row r="215" customFormat="false" ht="21.75" hidden="false" customHeight="true" outlineLevel="0" collapsed="false">
      <c r="A215" s="5" t="s">
        <v>46</v>
      </c>
      <c r="B215" s="9" t="s">
        <v>27</v>
      </c>
      <c r="C215" s="9" t="s">
        <v>229</v>
      </c>
      <c r="D215" s="11" t="s">
        <v>433</v>
      </c>
      <c r="E215" s="12" t="s">
        <v>231</v>
      </c>
      <c r="F215" s="12" t="s">
        <v>232</v>
      </c>
      <c r="G215" s="9" t="n">
        <f aca="false">LEN(TRIM(D215))</f>
        <v>16</v>
      </c>
      <c r="H215" s="13" t="str">
        <f aca="false">IF(LEN(TRIM(D215))=0,"",IF(AND(LEN(TRIM(D215))&lt;3,ISNA(MATCH(F215,Parametros!$K$4:$K$8,0))),"Muy corta",IF(OR(ISNUMBER(SEARCH("@",D215)),ISNUMBER(SEARCH("http",D215)),ISNUMBER(SEARCH("www.",D215))),"Posible dato personal","")))</f>
        <v/>
      </c>
    </row>
    <row r="216" customFormat="false" ht="21.75" hidden="false" customHeight="true" outlineLevel="0" collapsed="false">
      <c r="A216" s="5" t="s">
        <v>46</v>
      </c>
      <c r="B216" s="9" t="s">
        <v>27</v>
      </c>
      <c r="C216" s="9" t="s">
        <v>233</v>
      </c>
      <c r="D216" s="11" t="s">
        <v>434</v>
      </c>
      <c r="E216" s="12" t="s">
        <v>235</v>
      </c>
      <c r="F216" s="12" t="s">
        <v>236</v>
      </c>
      <c r="G216" s="9" t="n">
        <f aca="false">LEN(TRIM(D216))</f>
        <v>21</v>
      </c>
      <c r="H216" s="13" t="str">
        <f aca="false">IF(LEN(TRIM(D216))=0,"",IF(AND(LEN(TRIM(D216))&lt;3,ISNA(MATCH(F216,Parametros!$K$4:$K$8,0))),"Muy corta",IF(OR(ISNUMBER(SEARCH("@",D216)),ISNUMBER(SEARCH("http",D216)),ISNUMBER(SEARCH("www.",D216))),"Posible dato personal","")))</f>
        <v/>
      </c>
    </row>
    <row r="217" customFormat="false" ht="21.75" hidden="false" customHeight="true" outlineLevel="0" collapsed="false">
      <c r="A217" s="5" t="s">
        <v>47</v>
      </c>
      <c r="B217" s="9" t="s">
        <v>30</v>
      </c>
      <c r="C217" s="9" t="s">
        <v>237</v>
      </c>
      <c r="D217" s="11"/>
      <c r="E217" s="12" t="s">
        <v>239</v>
      </c>
      <c r="F217" s="12" t="s">
        <v>240</v>
      </c>
      <c r="G217" s="9" t="n">
        <f aca="false">LEN(TRIM(D217))</f>
        <v>0</v>
      </c>
      <c r="H217" s="13" t="str">
        <f aca="false">IF(LEN(TRIM(D217))=0,"",IF(AND(LEN(TRIM(D217))&lt;3,ISNA(MATCH(F217,Parametros!$K$4:$K$8,0))),"Muy corta",IF(OR(ISNUMBER(SEARCH("@",D217)),ISNUMBER(SEARCH("http",D217)),ISNUMBER(SEARCH("www.",D217))),"Posible dato personal","")))</f>
        <v/>
      </c>
    </row>
    <row r="218" customFormat="false" ht="21.75" hidden="false" customHeight="true" outlineLevel="0" collapsed="false">
      <c r="A218" s="5" t="s">
        <v>47</v>
      </c>
      <c r="B218" s="9" t="s">
        <v>30</v>
      </c>
      <c r="C218" s="9" t="s">
        <v>241</v>
      </c>
      <c r="D218" s="11" t="s">
        <v>435</v>
      </c>
      <c r="E218" s="12" t="s">
        <v>243</v>
      </c>
      <c r="F218" s="12" t="s">
        <v>244</v>
      </c>
      <c r="G218" s="9" t="n">
        <f aca="false">LEN(TRIM(D218))</f>
        <v>62</v>
      </c>
      <c r="H218" s="13" t="str">
        <f aca="false">IF(LEN(TRIM(D218))=0,"",IF(AND(LEN(TRIM(D218))&lt;3,ISNA(MATCH(F218,Parametros!$K$4:$K$8,0))),"Muy corta",IF(OR(ISNUMBER(SEARCH("@",D218)),ISNUMBER(SEARCH("http",D218)),ISNUMBER(SEARCH("www.",D218))),"Posible dato personal","")))</f>
        <v/>
      </c>
    </row>
    <row r="219" customFormat="false" ht="21.75" hidden="false" customHeight="true" outlineLevel="0" collapsed="false">
      <c r="A219" s="5" t="s">
        <v>47</v>
      </c>
      <c r="B219" s="9" t="s">
        <v>30</v>
      </c>
      <c r="C219" s="9" t="s">
        <v>245</v>
      </c>
      <c r="D219" s="11" t="s">
        <v>436</v>
      </c>
      <c r="E219" s="12" t="s">
        <v>247</v>
      </c>
      <c r="F219" s="12" t="s">
        <v>248</v>
      </c>
      <c r="G219" s="9" t="n">
        <f aca="false">LEN(TRIM(D219))</f>
        <v>36</v>
      </c>
      <c r="H219" s="13" t="str">
        <f aca="false">IF(LEN(TRIM(D219))=0,"",IF(AND(LEN(TRIM(D219))&lt;3,ISNA(MATCH(F219,Parametros!$K$4:$K$8,0))),"Muy corta",IF(OR(ISNUMBER(SEARCH("@",D219)),ISNUMBER(SEARCH("http",D219)),ISNUMBER(SEARCH("www.",D219))),"Posible dato personal","")))</f>
        <v/>
      </c>
    </row>
    <row r="220" customFormat="false" ht="21.75" hidden="false" customHeight="true" outlineLevel="0" collapsed="false">
      <c r="A220" s="5" t="s">
        <v>47</v>
      </c>
      <c r="B220" s="9" t="s">
        <v>30</v>
      </c>
      <c r="C220" s="9" t="s">
        <v>249</v>
      </c>
      <c r="D220" s="11" t="s">
        <v>437</v>
      </c>
      <c r="E220" s="12" t="s">
        <v>251</v>
      </c>
      <c r="F220" s="12" t="s">
        <v>252</v>
      </c>
      <c r="G220" s="9" t="n">
        <f aca="false">LEN(TRIM(D220))</f>
        <v>51</v>
      </c>
      <c r="H220" s="13" t="str">
        <f aca="false">IF(LEN(TRIM(D220))=0,"",IF(AND(LEN(TRIM(D220))&lt;3,ISNA(MATCH(F220,Parametros!$K$4:$K$8,0))),"Muy corta",IF(OR(ISNUMBER(SEARCH("@",D220)),ISNUMBER(SEARCH("http",D220)),ISNUMBER(SEARCH("www.",D220))),"Posible dato personal","")))</f>
        <v/>
      </c>
    </row>
    <row r="221" customFormat="false" ht="21.75" hidden="false" customHeight="true" outlineLevel="0" collapsed="false">
      <c r="A221" s="5" t="s">
        <v>47</v>
      </c>
      <c r="B221" s="9" t="s">
        <v>30</v>
      </c>
      <c r="C221" s="9" t="s">
        <v>253</v>
      </c>
      <c r="D221" s="11" t="s">
        <v>438</v>
      </c>
      <c r="E221" s="12" t="s">
        <v>255</v>
      </c>
      <c r="F221" s="12" t="s">
        <v>256</v>
      </c>
      <c r="G221" s="9" t="n">
        <f aca="false">LEN(TRIM(D221))</f>
        <v>47</v>
      </c>
      <c r="H221" s="13" t="str">
        <f aca="false">IF(LEN(TRIM(D221))=0,"",IF(AND(LEN(TRIM(D221))&lt;3,ISNA(MATCH(F221,Parametros!$K$4:$K$8,0))),"Muy corta",IF(OR(ISNUMBER(SEARCH("@",D221)),ISNUMBER(SEARCH("http",D221)),ISNUMBER(SEARCH("www.",D221))),"Posible dato personal","")))</f>
        <v/>
      </c>
    </row>
    <row r="222" customFormat="false" ht="15" hidden="false" customHeight="true" outlineLevel="0" collapsed="false">
      <c r="A222" s="5" t="s">
        <v>47</v>
      </c>
      <c r="B222" s="9" t="s">
        <v>30</v>
      </c>
      <c r="C222" s="9" t="s">
        <v>257</v>
      </c>
      <c r="D222" s="11" t="s">
        <v>439</v>
      </c>
      <c r="E222" s="12" t="s">
        <v>259</v>
      </c>
      <c r="F222" s="12" t="s">
        <v>260</v>
      </c>
      <c r="G222" s="9" t="n">
        <f aca="false">LEN(TRIM(D222))</f>
        <v>65</v>
      </c>
      <c r="H222" s="13" t="str">
        <f aca="false">IF(LEN(TRIM(D222))=0,"",IF(AND(LEN(TRIM(D222))&lt;3,ISNA(MATCH(F222,Parametros!$K$4:$K$8,0))),"Muy corta",IF(OR(ISNUMBER(SEARCH("@",D222)),ISNUMBER(SEARCH("http",D222)),ISNUMBER(SEARCH("www.",D222))),"Posible dato personal","")))</f>
        <v/>
      </c>
    </row>
    <row r="223" customFormat="false" ht="15" hidden="false" customHeight="true" outlineLevel="0" collapsed="false">
      <c r="A223" s="5" t="s">
        <v>47</v>
      </c>
      <c r="B223" s="9" t="s">
        <v>30</v>
      </c>
      <c r="C223" s="9" t="s">
        <v>261</v>
      </c>
      <c r="D223" s="11" t="s">
        <v>440</v>
      </c>
      <c r="E223" s="12" t="s">
        <v>263</v>
      </c>
      <c r="F223" s="12" t="s">
        <v>264</v>
      </c>
      <c r="G223" s="9" t="n">
        <f aca="false">LEN(TRIM(D223))</f>
        <v>31</v>
      </c>
      <c r="H223" s="13" t="str">
        <f aca="false">IF(LEN(TRIM(D223))=0,"",IF(AND(LEN(TRIM(D223))&lt;3,ISNA(MATCH(F223,Parametros!$K$4:$K$8,0))),"Muy corta",IF(OR(ISNUMBER(SEARCH("@",D223)),ISNUMBER(SEARCH("http",D223)),ISNUMBER(SEARCH("www.",D223))),"Posible dato personal","")))</f>
        <v/>
      </c>
    </row>
    <row r="224" customFormat="false" ht="21.75" hidden="false" customHeight="true" outlineLevel="0" collapsed="false">
      <c r="A224" s="5" t="s">
        <v>47</v>
      </c>
      <c r="B224" s="9" t="s">
        <v>30</v>
      </c>
      <c r="C224" s="9" t="s">
        <v>265</v>
      </c>
      <c r="D224" s="11" t="s">
        <v>441</v>
      </c>
      <c r="E224" s="12" t="s">
        <v>267</v>
      </c>
      <c r="F224" s="12" t="s">
        <v>268</v>
      </c>
      <c r="G224" s="9" t="n">
        <f aca="false">LEN(TRIM(D224))</f>
        <v>46</v>
      </c>
      <c r="H224" s="13" t="str">
        <f aca="false">IF(LEN(TRIM(D224))=0,"",IF(AND(LEN(TRIM(D224))&lt;3,ISNA(MATCH(F224,Parametros!$K$4:$K$8,0))),"Muy corta",IF(OR(ISNUMBER(SEARCH("@",D224)),ISNUMBER(SEARCH("http",D224)),ISNUMBER(SEARCH("www.",D224))),"Posible dato personal","")))</f>
        <v/>
      </c>
    </row>
    <row r="225" customFormat="false" ht="15" hidden="false" customHeight="true" outlineLevel="0" collapsed="false">
      <c r="A225" s="5" t="s">
        <v>47</v>
      </c>
      <c r="B225" s="9" t="s">
        <v>30</v>
      </c>
      <c r="C225" s="9" t="s">
        <v>269</v>
      </c>
      <c r="D225" s="11" t="s">
        <v>442</v>
      </c>
      <c r="E225" s="12" t="s">
        <v>271</v>
      </c>
      <c r="F225" s="12" t="s">
        <v>272</v>
      </c>
      <c r="G225" s="9" t="n">
        <f aca="false">LEN(TRIM(D225))</f>
        <v>6</v>
      </c>
      <c r="H225" s="13" t="str">
        <f aca="false">IF(LEN(TRIM(D225))=0,"",IF(AND(LEN(TRIM(D225))&lt;3,ISNA(MATCH(F225,Parametros!$K$4:$K$8,0))),"Muy corta",IF(OR(ISNUMBER(SEARCH("@",D225)),ISNUMBER(SEARCH("http",D225)),ISNUMBER(SEARCH("www.",D225))),"Posible dato personal","")))</f>
        <v/>
      </c>
    </row>
    <row r="226" customFormat="false" ht="32.25" hidden="false" customHeight="true" outlineLevel="0" collapsed="false">
      <c r="A226" s="5" t="s">
        <v>47</v>
      </c>
      <c r="B226" s="9" t="s">
        <v>30</v>
      </c>
      <c r="C226" s="9" t="s">
        <v>273</v>
      </c>
      <c r="D226" s="11" t="s">
        <v>443</v>
      </c>
      <c r="E226" s="12" t="s">
        <v>275</v>
      </c>
      <c r="F226" s="12" t="s">
        <v>103</v>
      </c>
      <c r="G226" s="9" t="n">
        <f aca="false">LEN(TRIM(D226))</f>
        <v>31</v>
      </c>
      <c r="H226" s="13" t="str">
        <f aca="false">IF(LEN(TRIM(D226))=0,"",IF(AND(LEN(TRIM(D226))&lt;3,ISNA(MATCH(F226,Parametros!$K$4:$K$8,0))),"Muy corta",IF(OR(ISNUMBER(SEARCH("@",D226)),ISNUMBER(SEARCH("http",D226)),ISNUMBER(SEARCH("www.",D226))),"Posible dato personal","")))</f>
        <v/>
      </c>
    </row>
    <row r="227" customFormat="false" ht="15" hidden="false" customHeight="true" outlineLevel="0" collapsed="false">
      <c r="A227" s="5" t="s">
        <v>47</v>
      </c>
      <c r="B227" s="9" t="s">
        <v>30</v>
      </c>
      <c r="C227" s="9" t="s">
        <v>276</v>
      </c>
      <c r="D227" s="11" t="s">
        <v>444</v>
      </c>
      <c r="E227" s="12" t="s">
        <v>278</v>
      </c>
      <c r="F227" s="12" t="s">
        <v>279</v>
      </c>
      <c r="G227" s="9" t="n">
        <f aca="false">LEN(TRIM(D227))</f>
        <v>25</v>
      </c>
      <c r="H227" s="13" t="str">
        <f aca="false">IF(LEN(TRIM(D227))=0,"",IF(AND(LEN(TRIM(D227))&lt;3,ISNA(MATCH(F227,Parametros!$K$4:$K$8,0))),"Muy corta",IF(OR(ISNUMBER(SEARCH("@",D227)),ISNUMBER(SEARCH("http",D227)),ISNUMBER(SEARCH("www.",D227))),"Posible dato personal","")))</f>
        <v/>
      </c>
    </row>
    <row r="228" customFormat="false" ht="21.75" hidden="false" customHeight="true" outlineLevel="0" collapsed="false">
      <c r="A228" s="5" t="s">
        <v>48</v>
      </c>
      <c r="B228" s="9" t="s">
        <v>16</v>
      </c>
      <c r="C228" s="9" t="s">
        <v>60</v>
      </c>
      <c r="D228" s="11" t="s">
        <v>445</v>
      </c>
      <c r="E228" s="12" t="s">
        <v>62</v>
      </c>
      <c r="F228" s="12" t="s">
        <v>63</v>
      </c>
      <c r="G228" s="9" t="n">
        <f aca="false">LEN(TRIM(D228))</f>
        <v>61</v>
      </c>
      <c r="H228" s="13" t="str">
        <f aca="false">IF(LEN(TRIM(D228))=0,"",IF(AND(LEN(TRIM(D228))&lt;3,ISNA(MATCH(F228,Parametros!$K$4:$K$8,0))),"Muy corta",IF(OR(ISNUMBER(SEARCH("@",D228)),ISNUMBER(SEARCH("http",D228)),ISNUMBER(SEARCH("www.",D228))),"Posible dato personal","")))</f>
        <v/>
      </c>
    </row>
    <row r="229" customFormat="false" ht="21.75" hidden="false" customHeight="true" outlineLevel="0" collapsed="false">
      <c r="A229" s="5" t="s">
        <v>48</v>
      </c>
      <c r="B229" s="9" t="s">
        <v>16</v>
      </c>
      <c r="C229" s="9" t="s">
        <v>64</v>
      </c>
      <c r="D229" s="11" t="s">
        <v>446</v>
      </c>
      <c r="E229" s="12" t="s">
        <v>66</v>
      </c>
      <c r="F229" s="12" t="s">
        <v>67</v>
      </c>
      <c r="G229" s="9" t="n">
        <f aca="false">LEN(TRIM(D229))</f>
        <v>55</v>
      </c>
      <c r="H229" s="13" t="str">
        <f aca="false">IF(LEN(TRIM(D229))=0,"",IF(AND(LEN(TRIM(D229))&lt;3,ISNA(MATCH(F229,Parametros!$K$4:$K$8,0))),"Muy corta",IF(OR(ISNUMBER(SEARCH("@",D229)),ISNUMBER(SEARCH("http",D229)),ISNUMBER(SEARCH("www.",D229))),"Posible dato personal","")))</f>
        <v/>
      </c>
    </row>
    <row r="230" customFormat="false" ht="21.75" hidden="false" customHeight="true" outlineLevel="0" collapsed="false">
      <c r="A230" s="5" t="s">
        <v>48</v>
      </c>
      <c r="B230" s="9" t="s">
        <v>16</v>
      </c>
      <c r="C230" s="9" t="s">
        <v>68</v>
      </c>
      <c r="D230" s="11"/>
      <c r="E230" s="12" t="s">
        <v>70</v>
      </c>
      <c r="F230" s="12" t="s">
        <v>71</v>
      </c>
      <c r="G230" s="9" t="n">
        <f aca="false">LEN(TRIM(D230))</f>
        <v>0</v>
      </c>
      <c r="H230" s="13" t="str">
        <f aca="false">IF(LEN(TRIM(D230))=0,"",IF(AND(LEN(TRIM(D230))&lt;3,ISNA(MATCH(F230,Parametros!$K$4:$K$8,0))),"Muy corta",IF(OR(ISNUMBER(SEARCH("@",D230)),ISNUMBER(SEARCH("http",D230)),ISNUMBER(SEARCH("www.",D230))),"Posible dato personal","")))</f>
        <v/>
      </c>
    </row>
    <row r="231" customFormat="false" ht="21.75" hidden="false" customHeight="true" outlineLevel="0" collapsed="false">
      <c r="A231" s="5" t="s">
        <v>48</v>
      </c>
      <c r="B231" s="9" t="s">
        <v>16</v>
      </c>
      <c r="C231" s="9" t="s">
        <v>72</v>
      </c>
      <c r="D231" s="11" t="s">
        <v>447</v>
      </c>
      <c r="E231" s="12" t="s">
        <v>74</v>
      </c>
      <c r="F231" s="12" t="s">
        <v>75</v>
      </c>
      <c r="G231" s="9" t="n">
        <f aca="false">LEN(TRIM(D231))</f>
        <v>47</v>
      </c>
      <c r="H231" s="13" t="str">
        <f aca="false">IF(LEN(TRIM(D231))=0,"",IF(AND(LEN(TRIM(D231))&lt;3,ISNA(MATCH(F231,Parametros!$K$4:$K$8,0))),"Muy corta",IF(OR(ISNUMBER(SEARCH("@",D231)),ISNUMBER(SEARCH("http",D231)),ISNUMBER(SEARCH("www.",D231))),"Posible dato personal","")))</f>
        <v/>
      </c>
    </row>
    <row r="232" customFormat="false" ht="21.75" hidden="false" customHeight="true" outlineLevel="0" collapsed="false">
      <c r="A232" s="5" t="s">
        <v>48</v>
      </c>
      <c r="B232" s="9" t="s">
        <v>16</v>
      </c>
      <c r="C232" s="9" t="s">
        <v>76</v>
      </c>
      <c r="D232" s="11" t="s">
        <v>448</v>
      </c>
      <c r="E232" s="12" t="s">
        <v>78</v>
      </c>
      <c r="F232" s="12" t="s">
        <v>79</v>
      </c>
      <c r="G232" s="9" t="n">
        <f aca="false">LEN(TRIM(D232))</f>
        <v>42</v>
      </c>
      <c r="H232" s="13" t="str">
        <f aca="false">IF(LEN(TRIM(D232))=0,"",IF(AND(LEN(TRIM(D232))&lt;3,ISNA(MATCH(F232,Parametros!$K$4:$K$8,0))),"Muy corta",IF(OR(ISNUMBER(SEARCH("@",D232)),ISNUMBER(SEARCH("http",D232)),ISNUMBER(SEARCH("www.",D232))),"Posible dato personal","")))</f>
        <v/>
      </c>
    </row>
    <row r="233" customFormat="false" ht="21.75" hidden="false" customHeight="true" outlineLevel="0" collapsed="false">
      <c r="A233" s="5" t="s">
        <v>48</v>
      </c>
      <c r="B233" s="9" t="s">
        <v>16</v>
      </c>
      <c r="C233" s="9" t="s">
        <v>80</v>
      </c>
      <c r="D233" s="11" t="s">
        <v>449</v>
      </c>
      <c r="E233" s="12" t="s">
        <v>82</v>
      </c>
      <c r="F233" s="12" t="s">
        <v>83</v>
      </c>
      <c r="G233" s="9" t="n">
        <f aca="false">LEN(TRIM(D233))</f>
        <v>41</v>
      </c>
      <c r="H233" s="13" t="str">
        <f aca="false">IF(LEN(TRIM(D233))=0,"",IF(AND(LEN(TRIM(D233))&lt;3,ISNA(MATCH(F233,Parametros!$K$4:$K$8,0))),"Muy corta",IF(OR(ISNUMBER(SEARCH("@",D233)),ISNUMBER(SEARCH("http",D233)),ISNUMBER(SEARCH("www.",D233))),"Posible dato personal","")))</f>
        <v/>
      </c>
    </row>
    <row r="234" customFormat="false" ht="21.75" hidden="false" customHeight="true" outlineLevel="0" collapsed="false">
      <c r="A234" s="5" t="s">
        <v>48</v>
      </c>
      <c r="B234" s="9" t="s">
        <v>16</v>
      </c>
      <c r="C234" s="9" t="s">
        <v>84</v>
      </c>
      <c r="D234" s="11" t="s">
        <v>450</v>
      </c>
      <c r="E234" s="12" t="s">
        <v>86</v>
      </c>
      <c r="F234" s="12" t="s">
        <v>87</v>
      </c>
      <c r="G234" s="9" t="n">
        <f aca="false">LEN(TRIM(D234))</f>
        <v>37</v>
      </c>
      <c r="H234" s="13" t="str">
        <f aca="false">IF(LEN(TRIM(D234))=0,"",IF(AND(LEN(TRIM(D234))&lt;3,ISNA(MATCH(F234,Parametros!$K$4:$K$8,0))),"Muy corta",IF(OR(ISNUMBER(SEARCH("@",D234)),ISNUMBER(SEARCH("http",D234)),ISNUMBER(SEARCH("www.",D234))),"Posible dato personal","")))</f>
        <v/>
      </c>
    </row>
    <row r="235" customFormat="false" ht="21.75" hidden="false" customHeight="true" outlineLevel="0" collapsed="false">
      <c r="A235" s="5" t="s">
        <v>48</v>
      </c>
      <c r="B235" s="9" t="s">
        <v>16</v>
      </c>
      <c r="C235" s="9" t="s">
        <v>88</v>
      </c>
      <c r="D235" s="11" t="s">
        <v>451</v>
      </c>
      <c r="E235" s="12" t="s">
        <v>90</v>
      </c>
      <c r="F235" s="12" t="s">
        <v>91</v>
      </c>
      <c r="G235" s="9" t="n">
        <f aca="false">LEN(TRIM(D235))</f>
        <v>29</v>
      </c>
      <c r="H235" s="13" t="str">
        <f aca="false">IF(LEN(TRIM(D235))=0,"",IF(AND(LEN(TRIM(D235))&lt;3,ISNA(MATCH(F235,Parametros!$K$4:$K$8,0))),"Muy corta",IF(OR(ISNUMBER(SEARCH("@",D235)),ISNUMBER(SEARCH("http",D235)),ISNUMBER(SEARCH("www.",D235))),"Posible dato personal","")))</f>
        <v/>
      </c>
    </row>
    <row r="236" customFormat="false" ht="21.75" hidden="false" customHeight="true" outlineLevel="0" collapsed="false">
      <c r="A236" s="5" t="s">
        <v>48</v>
      </c>
      <c r="B236" s="9" t="s">
        <v>16</v>
      </c>
      <c r="C236" s="9" t="s">
        <v>92</v>
      </c>
      <c r="D236" s="11" t="s">
        <v>452</v>
      </c>
      <c r="E236" s="12" t="s">
        <v>94</v>
      </c>
      <c r="F236" s="12" t="s">
        <v>95</v>
      </c>
      <c r="G236" s="9" t="n">
        <f aca="false">LEN(TRIM(D236))</f>
        <v>32</v>
      </c>
      <c r="H236" s="13" t="str">
        <f aca="false">IF(LEN(TRIM(D236))=0,"",IF(AND(LEN(TRIM(D236))&lt;3,ISNA(MATCH(F236,Parametros!$K$4:$K$8,0))),"Muy corta",IF(OR(ISNUMBER(SEARCH("@",D236)),ISNUMBER(SEARCH("http",D236)),ISNUMBER(SEARCH("www.",D236))),"Posible dato personal","")))</f>
        <v/>
      </c>
    </row>
    <row r="237" customFormat="false" ht="21.75" hidden="false" customHeight="true" outlineLevel="0" collapsed="false">
      <c r="A237" s="5" t="s">
        <v>48</v>
      </c>
      <c r="B237" s="9" t="s">
        <v>16</v>
      </c>
      <c r="C237" s="9" t="s">
        <v>96</v>
      </c>
      <c r="D237" s="11" t="s">
        <v>453</v>
      </c>
      <c r="E237" s="12" t="s">
        <v>98</v>
      </c>
      <c r="F237" s="12" t="s">
        <v>99</v>
      </c>
      <c r="G237" s="9" t="n">
        <f aca="false">LEN(TRIM(D237))</f>
        <v>30</v>
      </c>
      <c r="H237" s="13" t="str">
        <f aca="false">IF(LEN(TRIM(D237))=0,"",IF(AND(LEN(TRIM(D237))&lt;3,ISNA(MATCH(F237,Parametros!$K$4:$K$8,0))),"Muy corta",IF(OR(ISNUMBER(SEARCH("@",D237)),ISNUMBER(SEARCH("http",D237)),ISNUMBER(SEARCH("www.",D237))),"Posible dato personal","")))</f>
        <v/>
      </c>
    </row>
    <row r="238" customFormat="false" ht="21.75" hidden="false" customHeight="true" outlineLevel="0" collapsed="false">
      <c r="A238" s="5" t="s">
        <v>48</v>
      </c>
      <c r="B238" s="9" t="s">
        <v>16</v>
      </c>
      <c r="C238" s="9" t="s">
        <v>100</v>
      </c>
      <c r="D238" s="11" t="s">
        <v>454</v>
      </c>
      <c r="E238" s="12" t="s">
        <v>102</v>
      </c>
      <c r="F238" s="12" t="s">
        <v>103</v>
      </c>
      <c r="G238" s="9" t="n">
        <f aca="false">LEN(TRIM(D238))</f>
        <v>38</v>
      </c>
      <c r="H238" s="13" t="str">
        <f aca="false">IF(LEN(TRIM(D238))=0,"",IF(AND(LEN(TRIM(D238))&lt;3,ISNA(MATCH(F238,Parametros!$K$4:$K$8,0))),"Muy corta",IF(OR(ISNUMBER(SEARCH("@",D238)),ISNUMBER(SEARCH("http",D238)),ISNUMBER(SEARCH("www.",D238))),"Posible dato personal","")))</f>
        <v/>
      </c>
    </row>
    <row r="239" customFormat="false" ht="21.75" hidden="false" customHeight="true" outlineLevel="0" collapsed="false">
      <c r="A239" s="5" t="s">
        <v>48</v>
      </c>
      <c r="B239" s="9" t="s">
        <v>16</v>
      </c>
      <c r="C239" s="9" t="s">
        <v>104</v>
      </c>
      <c r="D239" s="11" t="s">
        <v>455</v>
      </c>
      <c r="E239" s="12" t="s">
        <v>106</v>
      </c>
      <c r="F239" s="12" t="s">
        <v>107</v>
      </c>
      <c r="G239" s="9" t="n">
        <f aca="false">LEN(TRIM(D239))</f>
        <v>38</v>
      </c>
      <c r="H239" s="13" t="str">
        <f aca="false">IF(LEN(TRIM(D239))=0,"",IF(AND(LEN(TRIM(D239))&lt;3,ISNA(MATCH(F239,Parametros!$K$4:$K$8,0))),"Muy corta",IF(OR(ISNUMBER(SEARCH("@",D239)),ISNUMBER(SEARCH("http",D239)),ISNUMBER(SEARCH("www.",D239))),"Posible dato personal","")))</f>
        <v/>
      </c>
    </row>
    <row r="240" customFormat="false" ht="21.75" hidden="false" customHeight="true" outlineLevel="0" collapsed="false">
      <c r="A240" s="5" t="s">
        <v>49</v>
      </c>
      <c r="B240" s="9" t="s">
        <v>22</v>
      </c>
      <c r="C240" s="9" t="s">
        <v>108</v>
      </c>
      <c r="D240" s="11" t="s">
        <v>456</v>
      </c>
      <c r="E240" s="12" t="s">
        <v>110</v>
      </c>
      <c r="F240" s="12" t="s">
        <v>111</v>
      </c>
      <c r="G240" s="9" t="n">
        <f aca="false">LEN(TRIM(D240))</f>
        <v>39</v>
      </c>
      <c r="H240" s="13" t="str">
        <f aca="false">IF(LEN(TRIM(D240))=0,"",IF(AND(LEN(TRIM(D240))&lt;3,ISNA(MATCH(F240,Parametros!$K$4:$K$8,0))),"Muy corta",IF(OR(ISNUMBER(SEARCH("@",D240)),ISNUMBER(SEARCH("http",D240)),ISNUMBER(SEARCH("www.",D240))),"Posible dato personal","")))</f>
        <v/>
      </c>
    </row>
    <row r="241" customFormat="false" ht="15" hidden="false" customHeight="true" outlineLevel="0" collapsed="false">
      <c r="A241" s="5" t="s">
        <v>49</v>
      </c>
      <c r="B241" s="9" t="s">
        <v>22</v>
      </c>
      <c r="C241" s="9" t="s">
        <v>112</v>
      </c>
      <c r="D241" s="11" t="s">
        <v>457</v>
      </c>
      <c r="E241" s="12" t="s">
        <v>114</v>
      </c>
      <c r="F241" s="12" t="s">
        <v>115</v>
      </c>
      <c r="G241" s="9" t="n">
        <f aca="false">LEN(TRIM(D241))</f>
        <v>22</v>
      </c>
      <c r="H241" s="13" t="str">
        <f aca="false">IF(LEN(TRIM(D241))=0,"",IF(AND(LEN(TRIM(D241))&lt;3,ISNA(MATCH(F241,Parametros!$K$4:$K$8,0))),"Muy corta",IF(OR(ISNUMBER(SEARCH("@",D241)),ISNUMBER(SEARCH("http",D241)),ISNUMBER(SEARCH("www.",D241))),"Posible dato personal","")))</f>
        <v/>
      </c>
    </row>
    <row r="242" customFormat="false" ht="21.75" hidden="false" customHeight="true" outlineLevel="0" collapsed="false">
      <c r="A242" s="5" t="s">
        <v>49</v>
      </c>
      <c r="B242" s="9" t="s">
        <v>22</v>
      </c>
      <c r="C242" s="9" t="s">
        <v>116</v>
      </c>
      <c r="D242" s="11" t="s">
        <v>458</v>
      </c>
      <c r="E242" s="12" t="s">
        <v>118</v>
      </c>
      <c r="F242" s="12" t="s">
        <v>119</v>
      </c>
      <c r="G242" s="9" t="n">
        <f aca="false">LEN(TRIM(D242))</f>
        <v>52</v>
      </c>
      <c r="H242" s="13" t="str">
        <f aca="false">IF(LEN(TRIM(D242))=0,"",IF(AND(LEN(TRIM(D242))&lt;3,ISNA(MATCH(F242,Parametros!$K$4:$K$8,0))),"Muy corta",IF(OR(ISNUMBER(SEARCH("@",D242)),ISNUMBER(SEARCH("http",D242)),ISNUMBER(SEARCH("www.",D242))),"Posible dato personal","")))</f>
        <v/>
      </c>
    </row>
    <row r="243" customFormat="false" ht="21.75" hidden="false" customHeight="true" outlineLevel="0" collapsed="false">
      <c r="A243" s="5" t="s">
        <v>49</v>
      </c>
      <c r="B243" s="9" t="s">
        <v>22</v>
      </c>
      <c r="C243" s="9" t="s">
        <v>120</v>
      </c>
      <c r="D243" s="11" t="s">
        <v>459</v>
      </c>
      <c r="E243" s="12" t="s">
        <v>122</v>
      </c>
      <c r="F243" s="12" t="s">
        <v>123</v>
      </c>
      <c r="G243" s="9" t="n">
        <f aca="false">LEN(TRIM(D243))</f>
        <v>40</v>
      </c>
      <c r="H243" s="13" t="str">
        <f aca="false">IF(LEN(TRIM(D243))=0,"",IF(AND(LEN(TRIM(D243))&lt;3,ISNA(MATCH(F243,Parametros!$K$4:$K$8,0))),"Muy corta",IF(OR(ISNUMBER(SEARCH("@",D243)),ISNUMBER(SEARCH("http",D243)),ISNUMBER(SEARCH("www.",D243))),"Posible dato personal","")))</f>
        <v/>
      </c>
    </row>
    <row r="244" customFormat="false" ht="21.75" hidden="false" customHeight="true" outlineLevel="0" collapsed="false">
      <c r="A244" s="5" t="s">
        <v>49</v>
      </c>
      <c r="B244" s="9" t="s">
        <v>22</v>
      </c>
      <c r="C244" s="9" t="s">
        <v>124</v>
      </c>
      <c r="D244" s="11"/>
      <c r="E244" s="12" t="s">
        <v>126</v>
      </c>
      <c r="F244" s="12" t="s">
        <v>127</v>
      </c>
      <c r="G244" s="9" t="n">
        <f aca="false">LEN(TRIM(D244))</f>
        <v>0</v>
      </c>
      <c r="H244" s="13" t="str">
        <f aca="false">IF(LEN(TRIM(D244))=0,"",IF(AND(LEN(TRIM(D244))&lt;3,ISNA(MATCH(F244,Parametros!$K$4:$K$8,0))),"Muy corta",IF(OR(ISNUMBER(SEARCH("@",D244)),ISNUMBER(SEARCH("http",D244)),ISNUMBER(SEARCH("www.",D244))),"Posible dato personal","")))</f>
        <v/>
      </c>
    </row>
    <row r="245" customFormat="false" ht="21.75" hidden="false" customHeight="true" outlineLevel="0" collapsed="false">
      <c r="A245" s="5" t="s">
        <v>49</v>
      </c>
      <c r="B245" s="9" t="s">
        <v>22</v>
      </c>
      <c r="C245" s="9" t="s">
        <v>128</v>
      </c>
      <c r="D245" s="11" t="s">
        <v>460</v>
      </c>
      <c r="E245" s="12" t="s">
        <v>129</v>
      </c>
      <c r="F245" s="12" t="s">
        <v>130</v>
      </c>
      <c r="G245" s="9" t="n">
        <f aca="false">LEN(TRIM(D245))</f>
        <v>35</v>
      </c>
      <c r="H245" s="13" t="str">
        <f aca="false">IF(LEN(TRIM(D245))=0,"",IF(AND(LEN(TRIM(D245))&lt;3,ISNA(MATCH(F245,Parametros!$K$4:$K$8,0))),"Muy corta",IF(OR(ISNUMBER(SEARCH("@",D245)),ISNUMBER(SEARCH("http",D245)),ISNUMBER(SEARCH("www.",D245))),"Posible dato personal","")))</f>
        <v/>
      </c>
    </row>
    <row r="246" customFormat="false" ht="15" hidden="false" customHeight="true" outlineLevel="0" collapsed="false">
      <c r="A246" s="5" t="s">
        <v>49</v>
      </c>
      <c r="B246" s="9" t="s">
        <v>22</v>
      </c>
      <c r="C246" s="9" t="s">
        <v>131</v>
      </c>
      <c r="D246" s="11" t="s">
        <v>461</v>
      </c>
      <c r="E246" s="12" t="s">
        <v>133</v>
      </c>
      <c r="F246" s="12" t="s">
        <v>134</v>
      </c>
      <c r="G246" s="9" t="n">
        <f aca="false">LEN(TRIM(D246))</f>
        <v>28</v>
      </c>
      <c r="H246" s="13" t="str">
        <f aca="false">IF(LEN(TRIM(D246))=0,"",IF(AND(LEN(TRIM(D246))&lt;3,ISNA(MATCH(F246,Parametros!$K$4:$K$8,0))),"Muy corta",IF(OR(ISNUMBER(SEARCH("@",D246)),ISNUMBER(SEARCH("http",D246)),ISNUMBER(SEARCH("www.",D246))),"Posible dato personal","")))</f>
        <v/>
      </c>
    </row>
    <row r="247" customFormat="false" ht="15" hidden="false" customHeight="true" outlineLevel="0" collapsed="false">
      <c r="A247" s="5" t="s">
        <v>49</v>
      </c>
      <c r="B247" s="9" t="s">
        <v>22</v>
      </c>
      <c r="C247" s="9" t="s">
        <v>135</v>
      </c>
      <c r="D247" s="11" t="s">
        <v>462</v>
      </c>
      <c r="E247" s="12" t="s">
        <v>137</v>
      </c>
      <c r="F247" s="12" t="s">
        <v>138</v>
      </c>
      <c r="G247" s="9" t="n">
        <f aca="false">LEN(TRIM(D247))</f>
        <v>44</v>
      </c>
      <c r="H247" s="13" t="str">
        <f aca="false">IF(LEN(TRIM(D247))=0,"",IF(AND(LEN(TRIM(D247))&lt;3,ISNA(MATCH(F247,Parametros!$K$4:$K$8,0))),"Muy corta",IF(OR(ISNUMBER(SEARCH("@",D247)),ISNUMBER(SEARCH("http",D247)),ISNUMBER(SEARCH("www.",D247))),"Posible dato personal","")))</f>
        <v/>
      </c>
    </row>
    <row r="248" customFormat="false" ht="21.75" hidden="false" customHeight="true" outlineLevel="0" collapsed="false">
      <c r="A248" s="5" t="s">
        <v>49</v>
      </c>
      <c r="B248" s="9" t="s">
        <v>22</v>
      </c>
      <c r="C248" s="9" t="s">
        <v>139</v>
      </c>
      <c r="D248" s="11" t="s">
        <v>463</v>
      </c>
      <c r="E248" s="12" t="s">
        <v>141</v>
      </c>
      <c r="F248" s="12" t="s">
        <v>142</v>
      </c>
      <c r="G248" s="9" t="n">
        <f aca="false">LEN(TRIM(D248))</f>
        <v>43</v>
      </c>
      <c r="H248" s="13" t="str">
        <f aca="false">IF(LEN(TRIM(D248))=0,"",IF(AND(LEN(TRIM(D248))&lt;3,ISNA(MATCH(F248,Parametros!$K$4:$K$8,0))),"Muy corta",IF(OR(ISNUMBER(SEARCH("@",D248)),ISNUMBER(SEARCH("http",D248)),ISNUMBER(SEARCH("www.",D248))),"Posible dato personal","")))</f>
        <v/>
      </c>
    </row>
    <row r="249" customFormat="false" ht="21.75" hidden="false" customHeight="true" outlineLevel="0" collapsed="false">
      <c r="A249" s="5" t="s">
        <v>49</v>
      </c>
      <c r="B249" s="9" t="s">
        <v>22</v>
      </c>
      <c r="C249" s="9" t="s">
        <v>143</v>
      </c>
      <c r="D249" s="11" t="s">
        <v>464</v>
      </c>
      <c r="E249" s="12" t="s">
        <v>145</v>
      </c>
      <c r="F249" s="12" t="s">
        <v>146</v>
      </c>
      <c r="G249" s="9" t="n">
        <f aca="false">LEN(TRIM(D249))</f>
        <v>10</v>
      </c>
      <c r="H249" s="13" t="str">
        <f aca="false">IF(LEN(TRIM(D249))=0,"",IF(AND(LEN(TRIM(D249))&lt;3,ISNA(MATCH(F249,Parametros!$K$4:$K$8,0))),"Muy corta",IF(OR(ISNUMBER(SEARCH("@",D249)),ISNUMBER(SEARCH("http",D249)),ISNUMBER(SEARCH("www.",D249))),"Posible dato personal","")))</f>
        <v/>
      </c>
    </row>
    <row r="250" customFormat="false" ht="21.75" hidden="false" customHeight="true" outlineLevel="0" collapsed="false">
      <c r="A250" s="5" t="s">
        <v>49</v>
      </c>
      <c r="B250" s="9" t="s">
        <v>22</v>
      </c>
      <c r="C250" s="9" t="s">
        <v>147</v>
      </c>
      <c r="D250" s="11" t="s">
        <v>465</v>
      </c>
      <c r="E250" s="12" t="s">
        <v>149</v>
      </c>
      <c r="F250" s="12" t="s">
        <v>103</v>
      </c>
      <c r="G250" s="9" t="n">
        <f aca="false">LEN(TRIM(D250))</f>
        <v>39</v>
      </c>
      <c r="H250" s="13" t="str">
        <f aca="false">IF(LEN(TRIM(D250))=0,"",IF(AND(LEN(TRIM(D250))&lt;3,ISNA(MATCH(F250,Parametros!$K$4:$K$8,0))),"Muy corta",IF(OR(ISNUMBER(SEARCH("@",D250)),ISNUMBER(SEARCH("http",D250)),ISNUMBER(SEARCH("www.",D250))),"Posible dato personal","")))</f>
        <v/>
      </c>
    </row>
    <row r="251" customFormat="false" ht="21.75" hidden="false" customHeight="true" outlineLevel="0" collapsed="false">
      <c r="A251" s="5" t="s">
        <v>50</v>
      </c>
      <c r="B251" s="9" t="s">
        <v>25</v>
      </c>
      <c r="C251" s="9" t="s">
        <v>150</v>
      </c>
      <c r="D251" s="11" t="s">
        <v>466</v>
      </c>
      <c r="E251" s="12" t="s">
        <v>152</v>
      </c>
      <c r="F251" s="12" t="s">
        <v>153</v>
      </c>
      <c r="G251" s="9" t="n">
        <f aca="false">LEN(TRIM(D251))</f>
        <v>48</v>
      </c>
      <c r="H251" s="13" t="str">
        <f aca="false">IF(LEN(TRIM(D251))=0,"",IF(AND(LEN(TRIM(D251))&lt;3,ISNA(MATCH(F251,Parametros!$K$4:$K$8,0))),"Muy corta",IF(OR(ISNUMBER(SEARCH("@",D251)),ISNUMBER(SEARCH("http",D251)),ISNUMBER(SEARCH("www.",D251))),"Posible dato personal","")))</f>
        <v/>
      </c>
    </row>
    <row r="252" customFormat="false" ht="21.75" hidden="false" customHeight="true" outlineLevel="0" collapsed="false">
      <c r="A252" s="5" t="s">
        <v>50</v>
      </c>
      <c r="B252" s="9" t="s">
        <v>25</v>
      </c>
      <c r="C252" s="9" t="s">
        <v>154</v>
      </c>
      <c r="D252" s="11" t="s">
        <v>467</v>
      </c>
      <c r="E252" s="12" t="s">
        <v>156</v>
      </c>
      <c r="F252" s="12" t="s">
        <v>157</v>
      </c>
      <c r="G252" s="9" t="n">
        <f aca="false">LEN(TRIM(D252))</f>
        <v>61</v>
      </c>
      <c r="H252" s="13" t="str">
        <f aca="false">IF(LEN(TRIM(D252))=0,"",IF(AND(LEN(TRIM(D252))&lt;3,ISNA(MATCH(F252,Parametros!$K$4:$K$8,0))),"Muy corta",IF(OR(ISNUMBER(SEARCH("@",D252)),ISNUMBER(SEARCH("http",D252)),ISNUMBER(SEARCH("www.",D252))),"Posible dato personal","")))</f>
        <v/>
      </c>
    </row>
    <row r="253" customFormat="false" ht="21.75" hidden="false" customHeight="true" outlineLevel="0" collapsed="false">
      <c r="A253" s="5" t="s">
        <v>50</v>
      </c>
      <c r="B253" s="9" t="s">
        <v>25</v>
      </c>
      <c r="C253" s="9" t="s">
        <v>158</v>
      </c>
      <c r="D253" s="11" t="s">
        <v>468</v>
      </c>
      <c r="E253" s="12" t="s">
        <v>160</v>
      </c>
      <c r="F253" s="12" t="s">
        <v>161</v>
      </c>
      <c r="G253" s="9" t="n">
        <f aca="false">LEN(TRIM(D253))</f>
        <v>38</v>
      </c>
      <c r="H253" s="13" t="str">
        <f aca="false">IF(LEN(TRIM(D253))=0,"",IF(AND(LEN(TRIM(D253))&lt;3,ISNA(MATCH(F253,Parametros!$K$4:$K$8,0))),"Muy corta",IF(OR(ISNUMBER(SEARCH("@",D253)),ISNUMBER(SEARCH("http",D253)),ISNUMBER(SEARCH("www.",D253))),"Posible dato personal","")))</f>
        <v/>
      </c>
    </row>
    <row r="254" customFormat="false" ht="21.75" hidden="false" customHeight="true" outlineLevel="0" collapsed="false">
      <c r="A254" s="5" t="s">
        <v>50</v>
      </c>
      <c r="B254" s="9" t="s">
        <v>25</v>
      </c>
      <c r="C254" s="9" t="s">
        <v>162</v>
      </c>
      <c r="D254" s="11" t="s">
        <v>469</v>
      </c>
      <c r="E254" s="12" t="s">
        <v>164</v>
      </c>
      <c r="F254" s="12" t="s">
        <v>165</v>
      </c>
      <c r="G254" s="9" t="n">
        <f aca="false">LEN(TRIM(D254))</f>
        <v>59</v>
      </c>
      <c r="H254" s="13" t="str">
        <f aca="false">IF(LEN(TRIM(D254))=0,"",IF(AND(LEN(TRIM(D254))&lt;3,ISNA(MATCH(F254,Parametros!$K$4:$K$8,0))),"Muy corta",IF(OR(ISNUMBER(SEARCH("@",D254)),ISNUMBER(SEARCH("http",D254)),ISNUMBER(SEARCH("www.",D254))),"Posible dato personal","")))</f>
        <v/>
      </c>
    </row>
    <row r="255" customFormat="false" ht="21.75" hidden="false" customHeight="true" outlineLevel="0" collapsed="false">
      <c r="A255" s="5" t="s">
        <v>50</v>
      </c>
      <c r="B255" s="9" t="s">
        <v>25</v>
      </c>
      <c r="C255" s="9" t="s">
        <v>166</v>
      </c>
      <c r="D255" s="11" t="s">
        <v>470</v>
      </c>
      <c r="E255" s="12" t="s">
        <v>168</v>
      </c>
      <c r="F255" s="12" t="s">
        <v>169</v>
      </c>
      <c r="G255" s="9" t="n">
        <f aca="false">LEN(TRIM(D255))</f>
        <v>25</v>
      </c>
      <c r="H255" s="13" t="str">
        <f aca="false">IF(LEN(TRIM(D255))=0,"",IF(AND(LEN(TRIM(D255))&lt;3,ISNA(MATCH(F255,Parametros!$K$4:$K$8,0))),"Muy corta",IF(OR(ISNUMBER(SEARCH("@",D255)),ISNUMBER(SEARCH("http",D255)),ISNUMBER(SEARCH("www.",D255))),"Posible dato personal","")))</f>
        <v/>
      </c>
    </row>
    <row r="256" customFormat="false" ht="21.75" hidden="false" customHeight="true" outlineLevel="0" collapsed="false">
      <c r="A256" s="5" t="s">
        <v>50</v>
      </c>
      <c r="B256" s="9" t="s">
        <v>25</v>
      </c>
      <c r="C256" s="9" t="s">
        <v>170</v>
      </c>
      <c r="D256" s="11" t="s">
        <v>471</v>
      </c>
      <c r="E256" s="12" t="s">
        <v>172</v>
      </c>
      <c r="F256" s="12" t="s">
        <v>173</v>
      </c>
      <c r="G256" s="9" t="n">
        <f aca="false">LEN(TRIM(D256))</f>
        <v>57</v>
      </c>
      <c r="H256" s="13" t="str">
        <f aca="false">IF(LEN(TRIM(D256))=0,"",IF(AND(LEN(TRIM(D256))&lt;3,ISNA(MATCH(F256,Parametros!$K$4:$K$8,0))),"Muy corta",IF(OR(ISNUMBER(SEARCH("@",D256)),ISNUMBER(SEARCH("http",D256)),ISNUMBER(SEARCH("www.",D256))),"Posible dato personal","")))</f>
        <v/>
      </c>
    </row>
    <row r="257" customFormat="false" ht="15" hidden="false" customHeight="true" outlineLevel="0" collapsed="false">
      <c r="A257" s="5" t="s">
        <v>50</v>
      </c>
      <c r="B257" s="9" t="s">
        <v>25</v>
      </c>
      <c r="C257" s="9" t="s">
        <v>174</v>
      </c>
      <c r="D257" s="11" t="s">
        <v>472</v>
      </c>
      <c r="E257" s="12" t="s">
        <v>175</v>
      </c>
      <c r="F257" s="12" t="s">
        <v>176</v>
      </c>
      <c r="G257" s="9" t="n">
        <f aca="false">LEN(TRIM(D257))</f>
        <v>37</v>
      </c>
      <c r="H257" s="13" t="str">
        <f aca="false">IF(LEN(TRIM(D257))=0,"",IF(AND(LEN(TRIM(D257))&lt;3,ISNA(MATCH(F257,Parametros!$K$4:$K$8,0))),"Muy corta",IF(OR(ISNUMBER(SEARCH("@",D257)),ISNUMBER(SEARCH("http",D257)),ISNUMBER(SEARCH("www.",D257))),"Posible dato personal","")))</f>
        <v/>
      </c>
    </row>
    <row r="258" customFormat="false" ht="21.75" hidden="false" customHeight="true" outlineLevel="0" collapsed="false">
      <c r="A258" s="5" t="s">
        <v>50</v>
      </c>
      <c r="B258" s="9" t="s">
        <v>25</v>
      </c>
      <c r="C258" s="9" t="s">
        <v>177</v>
      </c>
      <c r="D258" s="11" t="s">
        <v>473</v>
      </c>
      <c r="E258" s="12" t="s">
        <v>179</v>
      </c>
      <c r="F258" s="12" t="s">
        <v>180</v>
      </c>
      <c r="G258" s="9" t="n">
        <f aca="false">LEN(TRIM(D258))</f>
        <v>57</v>
      </c>
      <c r="H258" s="13" t="str">
        <f aca="false">IF(LEN(TRIM(D258))=0,"",IF(AND(LEN(TRIM(D258))&lt;3,ISNA(MATCH(F258,Parametros!$K$4:$K$8,0))),"Muy corta",IF(OR(ISNUMBER(SEARCH("@",D258)),ISNUMBER(SEARCH("http",D258)),ISNUMBER(SEARCH("www.",D258))),"Posible dato personal","")))</f>
        <v/>
      </c>
    </row>
    <row r="259" customFormat="false" ht="21.75" hidden="false" customHeight="true" outlineLevel="0" collapsed="false">
      <c r="A259" s="5" t="s">
        <v>50</v>
      </c>
      <c r="B259" s="9" t="s">
        <v>25</v>
      </c>
      <c r="C259" s="9" t="s">
        <v>181</v>
      </c>
      <c r="D259" s="11" t="s">
        <v>474</v>
      </c>
      <c r="E259" s="12" t="s">
        <v>183</v>
      </c>
      <c r="F259" s="12" t="s">
        <v>184</v>
      </c>
      <c r="G259" s="9" t="n">
        <f aca="false">LEN(TRIM(D259))</f>
        <v>48</v>
      </c>
      <c r="H259" s="13" t="str">
        <f aca="false">IF(LEN(TRIM(D259))=0,"",IF(AND(LEN(TRIM(D259))&lt;3,ISNA(MATCH(F259,Parametros!$K$4:$K$8,0))),"Muy corta",IF(OR(ISNUMBER(SEARCH("@",D259)),ISNUMBER(SEARCH("http",D259)),ISNUMBER(SEARCH("www.",D259))),"Posible dato personal","")))</f>
        <v/>
      </c>
    </row>
    <row r="260" customFormat="false" ht="21.75" hidden="false" customHeight="true" outlineLevel="0" collapsed="false">
      <c r="A260" s="5" t="s">
        <v>50</v>
      </c>
      <c r="B260" s="9" t="s">
        <v>25</v>
      </c>
      <c r="C260" s="9" t="s">
        <v>185</v>
      </c>
      <c r="D260" s="11" t="s">
        <v>475</v>
      </c>
      <c r="E260" s="12" t="s">
        <v>187</v>
      </c>
      <c r="F260" s="12" t="s">
        <v>188</v>
      </c>
      <c r="G260" s="9" t="n">
        <f aca="false">LEN(TRIM(D260))</f>
        <v>3</v>
      </c>
      <c r="H260" s="13" t="str">
        <f aca="false">IF(LEN(TRIM(D260))=0,"",IF(AND(LEN(TRIM(D260))&lt;3,ISNA(MATCH(F260,Parametros!$K$4:$K$8,0))),"Muy corta",IF(OR(ISNUMBER(SEARCH("@",D260)),ISNUMBER(SEARCH("http",D260)),ISNUMBER(SEARCH("www.",D260))),"Posible dato personal","")))</f>
        <v/>
      </c>
    </row>
    <row r="261" customFormat="false" ht="21.75" hidden="false" customHeight="true" outlineLevel="0" collapsed="false">
      <c r="A261" s="5" t="s">
        <v>50</v>
      </c>
      <c r="B261" s="9" t="s">
        <v>25</v>
      </c>
      <c r="C261" s="9" t="s">
        <v>189</v>
      </c>
      <c r="D261" s="11" t="s">
        <v>476</v>
      </c>
      <c r="E261" s="12" t="s">
        <v>191</v>
      </c>
      <c r="F261" s="12" t="s">
        <v>192</v>
      </c>
      <c r="G261" s="9" t="n">
        <f aca="false">LEN(TRIM(D261))</f>
        <v>51</v>
      </c>
      <c r="H261" s="13" t="str">
        <f aca="false">IF(LEN(TRIM(D261))=0,"",IF(AND(LEN(TRIM(D261))&lt;3,ISNA(MATCH(F261,Parametros!$K$4:$K$8,0))),"Muy corta",IF(OR(ISNUMBER(SEARCH("@",D261)),ISNUMBER(SEARCH("http",D261)),ISNUMBER(SEARCH("www.",D261))),"Posible dato personal","")))</f>
        <v/>
      </c>
    </row>
    <row r="262" customFormat="false" ht="21.75" hidden="false" customHeight="true" outlineLevel="0" collapsed="false">
      <c r="A262" s="5" t="s">
        <v>51</v>
      </c>
      <c r="B262" s="9" t="s">
        <v>27</v>
      </c>
      <c r="C262" s="9" t="s">
        <v>193</v>
      </c>
      <c r="D262" s="11" t="s">
        <v>477</v>
      </c>
      <c r="E262" s="12" t="s">
        <v>195</v>
      </c>
      <c r="F262" s="12" t="s">
        <v>196</v>
      </c>
      <c r="G262" s="9" t="n">
        <f aca="false">LEN(TRIM(D262))</f>
        <v>64</v>
      </c>
      <c r="H262" s="13" t="str">
        <f aca="false">IF(LEN(TRIM(D262))=0,"",IF(AND(LEN(TRIM(D262))&lt;3,ISNA(MATCH(F262,Parametros!$K$4:$K$8,0))),"Muy corta",IF(OR(ISNUMBER(SEARCH("@",D262)),ISNUMBER(SEARCH("http",D262)),ISNUMBER(SEARCH("www.",D262))),"Posible dato personal","")))</f>
        <v/>
      </c>
    </row>
    <row r="263" customFormat="false" ht="21.75" hidden="false" customHeight="true" outlineLevel="0" collapsed="false">
      <c r="A263" s="5" t="s">
        <v>51</v>
      </c>
      <c r="B263" s="9" t="s">
        <v>27</v>
      </c>
      <c r="C263" s="9" t="s">
        <v>197</v>
      </c>
      <c r="D263" s="11" t="s">
        <v>478</v>
      </c>
      <c r="E263" s="12" t="s">
        <v>199</v>
      </c>
      <c r="F263" s="12" t="s">
        <v>200</v>
      </c>
      <c r="G263" s="9" t="n">
        <f aca="false">LEN(TRIM(D263))</f>
        <v>39</v>
      </c>
      <c r="H263" s="13" t="str">
        <f aca="false">IF(LEN(TRIM(D263))=0,"",IF(AND(LEN(TRIM(D263))&lt;3,ISNA(MATCH(F263,Parametros!$K$4:$K$8,0))),"Muy corta",IF(OR(ISNUMBER(SEARCH("@",D263)),ISNUMBER(SEARCH("http",D263)),ISNUMBER(SEARCH("www.",D263))),"Posible dato personal","")))</f>
        <v/>
      </c>
    </row>
    <row r="264" customFormat="false" ht="21.75" hidden="false" customHeight="true" outlineLevel="0" collapsed="false">
      <c r="A264" s="5" t="s">
        <v>51</v>
      </c>
      <c r="B264" s="9" t="s">
        <v>27</v>
      </c>
      <c r="C264" s="9" t="s">
        <v>201</v>
      </c>
      <c r="D264" s="11" t="s">
        <v>479</v>
      </c>
      <c r="E264" s="12" t="s">
        <v>203</v>
      </c>
      <c r="F264" s="12" t="s">
        <v>204</v>
      </c>
      <c r="G264" s="9" t="n">
        <f aca="false">LEN(TRIM(D264))</f>
        <v>24</v>
      </c>
      <c r="H264" s="13" t="str">
        <f aca="false">IF(LEN(TRIM(D264))=0,"",IF(AND(LEN(TRIM(D264))&lt;3,ISNA(MATCH(F264,Parametros!$K$4:$K$8,0))),"Muy corta",IF(OR(ISNUMBER(SEARCH("@",D264)),ISNUMBER(SEARCH("http",D264)),ISNUMBER(SEARCH("www.",D264))),"Posible dato personal","")))</f>
        <v/>
      </c>
    </row>
    <row r="265" customFormat="false" ht="21.75" hidden="false" customHeight="true" outlineLevel="0" collapsed="false">
      <c r="A265" s="5" t="s">
        <v>51</v>
      </c>
      <c r="B265" s="9" t="s">
        <v>27</v>
      </c>
      <c r="C265" s="9" t="s">
        <v>205</v>
      </c>
      <c r="D265" s="11" t="s">
        <v>480</v>
      </c>
      <c r="E265" s="12" t="s">
        <v>207</v>
      </c>
      <c r="F265" s="12" t="s">
        <v>208</v>
      </c>
      <c r="G265" s="9" t="n">
        <f aca="false">LEN(TRIM(D265))</f>
        <v>54</v>
      </c>
      <c r="H265" s="13" t="str">
        <f aca="false">IF(LEN(TRIM(D265))=0,"",IF(AND(LEN(TRIM(D265))&lt;3,ISNA(MATCH(F265,Parametros!$K$4:$K$8,0))),"Muy corta",IF(OR(ISNUMBER(SEARCH("@",D265)),ISNUMBER(SEARCH("http",D265)),ISNUMBER(SEARCH("www.",D265))),"Posible dato personal","")))</f>
        <v/>
      </c>
    </row>
    <row r="266" customFormat="false" ht="21.75" hidden="false" customHeight="true" outlineLevel="0" collapsed="false">
      <c r="A266" s="5" t="s">
        <v>51</v>
      </c>
      <c r="B266" s="9" t="s">
        <v>27</v>
      </c>
      <c r="C266" s="9" t="s">
        <v>209</v>
      </c>
      <c r="D266" s="11" t="s">
        <v>481</v>
      </c>
      <c r="E266" s="12" t="s">
        <v>211</v>
      </c>
      <c r="F266" s="12" t="s">
        <v>212</v>
      </c>
      <c r="G266" s="9" t="n">
        <f aca="false">LEN(TRIM(D266))</f>
        <v>49</v>
      </c>
      <c r="H266" s="13" t="str">
        <f aca="false">IF(LEN(TRIM(D266))=0,"",IF(AND(LEN(TRIM(D266))&lt;3,ISNA(MATCH(F266,Parametros!$K$4:$K$8,0))),"Muy corta",IF(OR(ISNUMBER(SEARCH("@",D266)),ISNUMBER(SEARCH("http",D266)),ISNUMBER(SEARCH("www.",D266))),"Posible dato personal","")))</f>
        <v/>
      </c>
    </row>
    <row r="267" customFormat="false" ht="21.75" hidden="false" customHeight="true" outlineLevel="0" collapsed="false">
      <c r="A267" s="5" t="s">
        <v>51</v>
      </c>
      <c r="B267" s="9" t="s">
        <v>27</v>
      </c>
      <c r="C267" s="9" t="s">
        <v>213</v>
      </c>
      <c r="D267" s="11" t="s">
        <v>482</v>
      </c>
      <c r="E267" s="12" t="s">
        <v>215</v>
      </c>
      <c r="F267" s="12" t="s">
        <v>216</v>
      </c>
      <c r="G267" s="9" t="n">
        <f aca="false">LEN(TRIM(D267))</f>
        <v>48</v>
      </c>
      <c r="H267" s="13" t="str">
        <f aca="false">IF(LEN(TRIM(D267))=0,"",IF(AND(LEN(TRIM(D267))&lt;3,ISNA(MATCH(F267,Parametros!$K$4:$K$8,0))),"Muy corta",IF(OR(ISNUMBER(SEARCH("@",D267)),ISNUMBER(SEARCH("http",D267)),ISNUMBER(SEARCH("www.",D267))),"Posible dato personal","")))</f>
        <v/>
      </c>
    </row>
    <row r="268" customFormat="false" ht="21.75" hidden="false" customHeight="true" outlineLevel="0" collapsed="false">
      <c r="A268" s="5" t="s">
        <v>51</v>
      </c>
      <c r="B268" s="9" t="s">
        <v>27</v>
      </c>
      <c r="C268" s="9" t="s">
        <v>217</v>
      </c>
      <c r="D268" s="11" t="s">
        <v>483</v>
      </c>
      <c r="E268" s="12" t="s">
        <v>219</v>
      </c>
      <c r="F268" s="12" t="s">
        <v>220</v>
      </c>
      <c r="G268" s="9" t="n">
        <f aca="false">LEN(TRIM(D268))</f>
        <v>47</v>
      </c>
      <c r="H268" s="13" t="str">
        <f aca="false">IF(LEN(TRIM(D268))=0,"",IF(AND(LEN(TRIM(D268))&lt;3,ISNA(MATCH(F268,Parametros!$K$4:$K$8,0))),"Muy corta",IF(OR(ISNUMBER(SEARCH("@",D268)),ISNUMBER(SEARCH("http",D268)),ISNUMBER(SEARCH("www.",D268))),"Posible dato personal","")))</f>
        <v/>
      </c>
    </row>
    <row r="269" customFormat="false" ht="21.75" hidden="false" customHeight="true" outlineLevel="0" collapsed="false">
      <c r="A269" s="5" t="s">
        <v>51</v>
      </c>
      <c r="B269" s="9" t="s">
        <v>27</v>
      </c>
      <c r="C269" s="9" t="s">
        <v>221</v>
      </c>
      <c r="D269" s="11" t="s">
        <v>484</v>
      </c>
      <c r="E269" s="12" t="s">
        <v>223</v>
      </c>
      <c r="F269" s="12" t="s">
        <v>224</v>
      </c>
      <c r="G269" s="9" t="n">
        <f aca="false">LEN(TRIM(D269))</f>
        <v>29</v>
      </c>
      <c r="H269" s="13" t="str">
        <f aca="false">IF(LEN(TRIM(D269))=0,"",IF(AND(LEN(TRIM(D269))&lt;3,ISNA(MATCH(F269,Parametros!$K$4:$K$8,0))),"Muy corta",IF(OR(ISNUMBER(SEARCH("@",D269)),ISNUMBER(SEARCH("http",D269)),ISNUMBER(SEARCH("www.",D269))),"Posible dato personal","")))</f>
        <v/>
      </c>
    </row>
    <row r="270" customFormat="false" ht="21.75" hidden="false" customHeight="true" outlineLevel="0" collapsed="false">
      <c r="A270" s="5" t="s">
        <v>51</v>
      </c>
      <c r="B270" s="9" t="s">
        <v>27</v>
      </c>
      <c r="C270" s="9" t="s">
        <v>225</v>
      </c>
      <c r="D270" s="11" t="s">
        <v>485</v>
      </c>
      <c r="E270" s="12" t="s">
        <v>227</v>
      </c>
      <c r="F270" s="12" t="s">
        <v>228</v>
      </c>
      <c r="G270" s="9" t="n">
        <f aca="false">LEN(TRIM(D270))</f>
        <v>44</v>
      </c>
      <c r="H270" s="13" t="str">
        <f aca="false">IF(LEN(TRIM(D270))=0,"",IF(AND(LEN(TRIM(D270))&lt;3,ISNA(MATCH(F270,Parametros!$K$4:$K$8,0))),"Muy corta",IF(OR(ISNUMBER(SEARCH("@",D270)),ISNUMBER(SEARCH("http",D270)),ISNUMBER(SEARCH("www.",D270))),"Posible dato personal","")))</f>
        <v/>
      </c>
    </row>
    <row r="271" customFormat="false" ht="21.75" hidden="false" customHeight="true" outlineLevel="0" collapsed="false">
      <c r="A271" s="5" t="s">
        <v>51</v>
      </c>
      <c r="B271" s="9" t="s">
        <v>27</v>
      </c>
      <c r="C271" s="9" t="s">
        <v>229</v>
      </c>
      <c r="D271" s="11" t="s">
        <v>486</v>
      </c>
      <c r="E271" s="12" t="s">
        <v>231</v>
      </c>
      <c r="F271" s="12" t="s">
        <v>232</v>
      </c>
      <c r="G271" s="9" t="n">
        <f aca="false">LEN(TRIM(D271))</f>
        <v>13</v>
      </c>
      <c r="H271" s="13" t="str">
        <f aca="false">IF(LEN(TRIM(D271))=0,"",IF(AND(LEN(TRIM(D271))&lt;3,ISNA(MATCH(F271,Parametros!$K$4:$K$8,0))),"Muy corta",IF(OR(ISNUMBER(SEARCH("@",D271)),ISNUMBER(SEARCH("http",D271)),ISNUMBER(SEARCH("www.",D271))),"Posible dato personal","")))</f>
        <v/>
      </c>
    </row>
    <row r="272" customFormat="false" ht="21.75" hidden="false" customHeight="true" outlineLevel="0" collapsed="false">
      <c r="A272" s="5" t="s">
        <v>51</v>
      </c>
      <c r="B272" s="9" t="s">
        <v>27</v>
      </c>
      <c r="C272" s="9" t="s">
        <v>233</v>
      </c>
      <c r="D272" s="11" t="s">
        <v>487</v>
      </c>
      <c r="E272" s="12" t="s">
        <v>235</v>
      </c>
      <c r="F272" s="12" t="s">
        <v>236</v>
      </c>
      <c r="G272" s="9" t="n">
        <f aca="false">LEN(TRIM(D272))</f>
        <v>28</v>
      </c>
      <c r="H272" s="13" t="str">
        <f aca="false">IF(LEN(TRIM(D272))=0,"",IF(AND(LEN(TRIM(D272))&lt;3,ISNA(MATCH(F272,Parametros!$K$4:$K$8,0))),"Muy corta",IF(OR(ISNUMBER(SEARCH("@",D272)),ISNUMBER(SEARCH("http",D272)),ISNUMBER(SEARCH("www.",D272))),"Posible dato personal","")))</f>
        <v/>
      </c>
    </row>
    <row r="273" customFormat="false" ht="21.75" hidden="false" customHeight="true" outlineLevel="0" collapsed="false">
      <c r="A273" s="5" t="s">
        <v>52</v>
      </c>
      <c r="B273" s="9" t="s">
        <v>30</v>
      </c>
      <c r="C273" s="9" t="s">
        <v>237</v>
      </c>
      <c r="D273" s="11" t="s">
        <v>488</v>
      </c>
      <c r="E273" s="12" t="s">
        <v>239</v>
      </c>
      <c r="F273" s="12" t="s">
        <v>240</v>
      </c>
      <c r="G273" s="9" t="n">
        <f aca="false">LEN(TRIM(D273))</f>
        <v>61</v>
      </c>
      <c r="H273" s="13" t="str">
        <f aca="false">IF(LEN(TRIM(D273))=0,"",IF(AND(LEN(TRIM(D273))&lt;3,ISNA(MATCH(F273,Parametros!$K$4:$K$8,0))),"Muy corta",IF(OR(ISNUMBER(SEARCH("@",D273)),ISNUMBER(SEARCH("http",D273)),ISNUMBER(SEARCH("www.",D273))),"Posible dato personal","")))</f>
        <v/>
      </c>
    </row>
    <row r="274" customFormat="false" ht="21.75" hidden="false" customHeight="true" outlineLevel="0" collapsed="false">
      <c r="A274" s="5" t="s">
        <v>52</v>
      </c>
      <c r="B274" s="9" t="s">
        <v>30</v>
      </c>
      <c r="C274" s="9" t="s">
        <v>241</v>
      </c>
      <c r="D274" s="11" t="s">
        <v>489</v>
      </c>
      <c r="E274" s="12" t="s">
        <v>243</v>
      </c>
      <c r="F274" s="12" t="s">
        <v>244</v>
      </c>
      <c r="G274" s="9" t="n">
        <f aca="false">LEN(TRIM(D274))</f>
        <v>21</v>
      </c>
      <c r="H274" s="13" t="str">
        <f aca="false">IF(LEN(TRIM(D274))=0,"",IF(AND(LEN(TRIM(D274))&lt;3,ISNA(MATCH(F274,Parametros!$K$4:$K$8,0))),"Muy corta",IF(OR(ISNUMBER(SEARCH("@",D274)),ISNUMBER(SEARCH("http",D274)),ISNUMBER(SEARCH("www.",D274))),"Posible dato personal","")))</f>
        <v/>
      </c>
    </row>
    <row r="275" customFormat="false" ht="21.75" hidden="false" customHeight="true" outlineLevel="0" collapsed="false">
      <c r="A275" s="5" t="s">
        <v>52</v>
      </c>
      <c r="B275" s="9" t="s">
        <v>30</v>
      </c>
      <c r="C275" s="9" t="s">
        <v>245</v>
      </c>
      <c r="D275" s="11" t="s">
        <v>490</v>
      </c>
      <c r="E275" s="12" t="s">
        <v>247</v>
      </c>
      <c r="F275" s="12" t="s">
        <v>248</v>
      </c>
      <c r="G275" s="9" t="n">
        <f aca="false">LEN(TRIM(D275))</f>
        <v>37</v>
      </c>
      <c r="H275" s="13" t="str">
        <f aca="false">IF(LEN(TRIM(D275))=0,"",IF(AND(LEN(TRIM(D275))&lt;3,ISNA(MATCH(F275,Parametros!$K$4:$K$8,0))),"Muy corta",IF(OR(ISNUMBER(SEARCH("@",D275)),ISNUMBER(SEARCH("http",D275)),ISNUMBER(SEARCH("www.",D275))),"Posible dato personal","")))</f>
        <v/>
      </c>
    </row>
    <row r="276" customFormat="false" ht="21.75" hidden="false" customHeight="true" outlineLevel="0" collapsed="false">
      <c r="A276" s="5" t="s">
        <v>52</v>
      </c>
      <c r="B276" s="9" t="s">
        <v>30</v>
      </c>
      <c r="C276" s="9" t="s">
        <v>249</v>
      </c>
      <c r="D276" s="11" t="s">
        <v>491</v>
      </c>
      <c r="E276" s="12" t="s">
        <v>251</v>
      </c>
      <c r="F276" s="12" t="s">
        <v>252</v>
      </c>
      <c r="G276" s="9" t="n">
        <f aca="false">LEN(TRIM(D276))</f>
        <v>49</v>
      </c>
      <c r="H276" s="13" t="str">
        <f aca="false">IF(LEN(TRIM(D276))=0,"",IF(AND(LEN(TRIM(D276))&lt;3,ISNA(MATCH(F276,Parametros!$K$4:$K$8,0))),"Muy corta",IF(OR(ISNUMBER(SEARCH("@",D276)),ISNUMBER(SEARCH("http",D276)),ISNUMBER(SEARCH("www.",D276))),"Posible dato personal","")))</f>
        <v/>
      </c>
    </row>
    <row r="277" customFormat="false" ht="21.75" hidden="false" customHeight="true" outlineLevel="0" collapsed="false">
      <c r="A277" s="5" t="s">
        <v>52</v>
      </c>
      <c r="B277" s="9" t="s">
        <v>30</v>
      </c>
      <c r="C277" s="9" t="s">
        <v>253</v>
      </c>
      <c r="D277" s="11" t="s">
        <v>492</v>
      </c>
      <c r="E277" s="12" t="s">
        <v>255</v>
      </c>
      <c r="F277" s="12" t="s">
        <v>256</v>
      </c>
      <c r="G277" s="9" t="n">
        <f aca="false">LEN(TRIM(D277))</f>
        <v>43</v>
      </c>
      <c r="H277" s="13" t="str">
        <f aca="false">IF(LEN(TRIM(D277))=0,"",IF(AND(LEN(TRIM(D277))&lt;3,ISNA(MATCH(F277,Parametros!$K$4:$K$8,0))),"Muy corta",IF(OR(ISNUMBER(SEARCH("@",D277)),ISNUMBER(SEARCH("http",D277)),ISNUMBER(SEARCH("www.",D277))),"Posible dato personal","")))</f>
        <v/>
      </c>
    </row>
    <row r="278" customFormat="false" ht="15" hidden="false" customHeight="true" outlineLevel="0" collapsed="false">
      <c r="A278" s="5" t="s">
        <v>52</v>
      </c>
      <c r="B278" s="9" t="s">
        <v>30</v>
      </c>
      <c r="C278" s="9" t="s">
        <v>257</v>
      </c>
      <c r="D278" s="11" t="s">
        <v>493</v>
      </c>
      <c r="E278" s="12" t="s">
        <v>259</v>
      </c>
      <c r="F278" s="12" t="s">
        <v>260</v>
      </c>
      <c r="G278" s="9" t="n">
        <f aca="false">LEN(TRIM(D278))</f>
        <v>24</v>
      </c>
      <c r="H278" s="13" t="str">
        <f aca="false">IF(LEN(TRIM(D278))=0,"",IF(AND(LEN(TRIM(D278))&lt;3,ISNA(MATCH(F278,Parametros!$K$4:$K$8,0))),"Muy corta",IF(OR(ISNUMBER(SEARCH("@",D278)),ISNUMBER(SEARCH("http",D278)),ISNUMBER(SEARCH("www.",D278))),"Posible dato personal","")))</f>
        <v/>
      </c>
    </row>
    <row r="279" customFormat="false" ht="15" hidden="false" customHeight="true" outlineLevel="0" collapsed="false">
      <c r="A279" s="5" t="s">
        <v>52</v>
      </c>
      <c r="B279" s="9" t="s">
        <v>30</v>
      </c>
      <c r="C279" s="9" t="s">
        <v>261</v>
      </c>
      <c r="D279" s="11" t="s">
        <v>494</v>
      </c>
      <c r="E279" s="12" t="s">
        <v>263</v>
      </c>
      <c r="F279" s="12" t="s">
        <v>264</v>
      </c>
      <c r="G279" s="9" t="n">
        <f aca="false">LEN(TRIM(D279))</f>
        <v>51</v>
      </c>
      <c r="H279" s="13" t="str">
        <f aca="false">IF(LEN(TRIM(D279))=0,"",IF(AND(LEN(TRIM(D279))&lt;3,ISNA(MATCH(F279,Parametros!$K$4:$K$8,0))),"Muy corta",IF(OR(ISNUMBER(SEARCH("@",D279)),ISNUMBER(SEARCH("http",D279)),ISNUMBER(SEARCH("www.",D279))),"Posible dato personal","")))</f>
        <v/>
      </c>
    </row>
    <row r="280" customFormat="false" ht="21.75" hidden="false" customHeight="true" outlineLevel="0" collapsed="false">
      <c r="A280" s="5" t="s">
        <v>52</v>
      </c>
      <c r="B280" s="9" t="s">
        <v>30</v>
      </c>
      <c r="C280" s="9" t="s">
        <v>265</v>
      </c>
      <c r="D280" s="11" t="s">
        <v>495</v>
      </c>
      <c r="E280" s="12" t="s">
        <v>267</v>
      </c>
      <c r="F280" s="12" t="s">
        <v>268</v>
      </c>
      <c r="G280" s="9" t="n">
        <f aca="false">LEN(TRIM(D280))</f>
        <v>44</v>
      </c>
      <c r="H280" s="13" t="str">
        <f aca="false">IF(LEN(TRIM(D280))=0,"",IF(AND(LEN(TRIM(D280))&lt;3,ISNA(MATCH(F280,Parametros!$K$4:$K$8,0))),"Muy corta",IF(OR(ISNUMBER(SEARCH("@",D280)),ISNUMBER(SEARCH("http",D280)),ISNUMBER(SEARCH("www.",D280))),"Posible dato personal","")))</f>
        <v/>
      </c>
    </row>
    <row r="281" customFormat="false" ht="15" hidden="false" customHeight="true" outlineLevel="0" collapsed="false">
      <c r="A281" s="5" t="s">
        <v>52</v>
      </c>
      <c r="B281" s="9" t="s">
        <v>30</v>
      </c>
      <c r="C281" s="9" t="s">
        <v>269</v>
      </c>
      <c r="D281" s="11" t="s">
        <v>496</v>
      </c>
      <c r="E281" s="12" t="s">
        <v>271</v>
      </c>
      <c r="F281" s="12" t="s">
        <v>272</v>
      </c>
      <c r="G281" s="9" t="n">
        <f aca="false">LEN(TRIM(D281))</f>
        <v>10</v>
      </c>
      <c r="H281" s="13" t="str">
        <f aca="false">IF(LEN(TRIM(D281))=0,"",IF(AND(LEN(TRIM(D281))&lt;3,ISNA(MATCH(F281,Parametros!$K$4:$K$8,0))),"Muy corta",IF(OR(ISNUMBER(SEARCH("@",D281)),ISNUMBER(SEARCH("http",D281)),ISNUMBER(SEARCH("www.",D281))),"Posible dato personal","")))</f>
        <v/>
      </c>
    </row>
    <row r="282" customFormat="false" ht="32.25" hidden="false" customHeight="true" outlineLevel="0" collapsed="false">
      <c r="A282" s="5" t="s">
        <v>52</v>
      </c>
      <c r="B282" s="9" t="s">
        <v>30</v>
      </c>
      <c r="C282" s="9" t="s">
        <v>273</v>
      </c>
      <c r="D282" s="11" t="s">
        <v>497</v>
      </c>
      <c r="E282" s="12" t="s">
        <v>275</v>
      </c>
      <c r="F282" s="12" t="s">
        <v>103</v>
      </c>
      <c r="G282" s="9" t="n">
        <f aca="false">LEN(TRIM(D282))</f>
        <v>29</v>
      </c>
      <c r="H282" s="13" t="str">
        <f aca="false">IF(LEN(TRIM(D282))=0,"",IF(AND(LEN(TRIM(D282))&lt;3,ISNA(MATCH(F282,Parametros!$K$4:$K$8,0))),"Muy corta",IF(OR(ISNUMBER(SEARCH("@",D282)),ISNUMBER(SEARCH("http",D282)),ISNUMBER(SEARCH("www.",D282))),"Posible dato personal","")))</f>
        <v/>
      </c>
    </row>
    <row r="283" customFormat="false" ht="15" hidden="false" customHeight="true" outlineLevel="0" collapsed="false">
      <c r="A283" s="5" t="s">
        <v>52</v>
      </c>
      <c r="B283" s="9" t="s">
        <v>30</v>
      </c>
      <c r="C283" s="9" t="s">
        <v>276</v>
      </c>
      <c r="D283" s="11" t="s">
        <v>498</v>
      </c>
      <c r="E283" s="12" t="s">
        <v>278</v>
      </c>
      <c r="F283" s="12" t="s">
        <v>279</v>
      </c>
      <c r="G283" s="9" t="n">
        <f aca="false">LEN(TRIM(D283))</f>
        <v>34</v>
      </c>
      <c r="H283" s="13" t="str">
        <f aca="false">IF(LEN(TRIM(D283))=0,"",IF(AND(LEN(TRIM(D283))&lt;3,ISNA(MATCH(F283,Parametros!$K$4:$K$8,0))),"Muy corta",IF(OR(ISNUMBER(SEARCH("@",D283)),ISNUMBER(SEARCH("http",D283)),ISNUMBER(SEARCH("www.",D283))),"Posible dato personal","")))</f>
        <v/>
      </c>
    </row>
  </sheetData>
  <autoFilter ref="A3:H283"/>
  <mergeCells count="1">
    <mergeCell ref="A2:H2"/>
  </mergeCells>
  <conditionalFormatting sqref="H4:H283">
    <cfRule type="expression" priority="2" aboveAverage="0" equalAverage="0" bottom="0" percent="0" rank="0" text="" dxfId="2">
      <formula>LEN($H4)&gt;0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22"/>
    <col collapsed="false" customWidth="true" hidden="false" outlineLevel="0" max="3" min="3" style="1" width="66"/>
  </cols>
  <sheetData>
    <row r="1" customFormat="false" ht="17.25" hidden="false" customHeight="true" outlineLevel="0" collapsed="false">
      <c r="A1" s="2" t="s">
        <v>499</v>
      </c>
    </row>
    <row r="2" customFormat="false" ht="30" hidden="false" customHeight="true" outlineLevel="0" collapsed="false">
      <c r="A2" s="3" t="s">
        <v>500</v>
      </c>
      <c r="B2" s="3"/>
      <c r="C2" s="3"/>
    </row>
    <row r="4" customFormat="false" ht="15" hidden="false" customHeight="true" outlineLevel="0" collapsed="false">
      <c r="A4" s="14" t="s">
        <v>501</v>
      </c>
      <c r="B4" s="15"/>
      <c r="C4" s="15"/>
    </row>
    <row r="5" customFormat="false" ht="24" hidden="false" customHeight="true" outlineLevel="0" collapsed="false">
      <c r="A5" s="16" t="s">
        <v>502</v>
      </c>
      <c r="B5" s="8" t="n">
        <f aca="false">COUNTIF(Participantes!$C$4:$C$28,"Pendiente")</f>
        <v>0</v>
      </c>
      <c r="C5" s="17"/>
    </row>
    <row r="6" customFormat="false" ht="24" hidden="false" customHeight="true" outlineLevel="0" collapsed="false">
      <c r="A6" s="16" t="s">
        <v>503</v>
      </c>
      <c r="B6" s="8" t="n">
        <f aca="false">COUNTIF(Participantes!$C$4:$C$28,"Aplicado")</f>
        <v>0</v>
      </c>
      <c r="C6" s="17"/>
    </row>
    <row r="7" customFormat="false" ht="24" hidden="false" customHeight="true" outlineLevel="0" collapsed="false">
      <c r="A7" s="16" t="s">
        <v>504</v>
      </c>
      <c r="B7" s="8" t="n">
        <f aca="false">COUNTIF(Participantes!$C$4:$C$28,"Transcrito")</f>
        <v>25</v>
      </c>
      <c r="C7" s="17"/>
    </row>
    <row r="8" customFormat="false" ht="24" hidden="false" customHeight="true" outlineLevel="0" collapsed="false">
      <c r="A8" s="16" t="s">
        <v>505</v>
      </c>
      <c r="B8" s="8" t="n">
        <f aca="false">COUNTIFS(Participantes!$C$4:$C$28,"Transcrito",Participantes!$G$4:$G$28,"&lt;&gt;Sí")</f>
        <v>0</v>
      </c>
      <c r="C8" s="17" t="s">
        <v>506</v>
      </c>
    </row>
    <row r="9" customFormat="false" ht="24" hidden="false" customHeight="true" outlineLevel="0" collapsed="false">
      <c r="A9" s="16" t="s">
        <v>507</v>
      </c>
      <c r="B9" s="8" t="n">
        <f aca="false">Parametros!$B$6</f>
        <v>15</v>
      </c>
      <c r="C9" s="17"/>
    </row>
    <row r="10" customFormat="false" ht="24" hidden="false" customHeight="true" outlineLevel="0" collapsed="false">
      <c r="A10" s="16" t="s">
        <v>508</v>
      </c>
      <c r="B10" s="9" t="n">
        <f aca="false">MAX(0,B9-B7)</f>
        <v>0</v>
      </c>
      <c r="C10" s="17"/>
    </row>
    <row r="12" customFormat="false" ht="15" hidden="false" customHeight="true" outlineLevel="0" collapsed="false">
      <c r="A12" s="14" t="s">
        <v>509</v>
      </c>
      <c r="B12" s="15"/>
      <c r="C12" s="15"/>
    </row>
    <row r="13" customFormat="false" ht="24" hidden="false" customHeight="true" outlineLevel="0" collapsed="false">
      <c r="A13" s="16" t="s">
        <v>11</v>
      </c>
      <c r="B13" s="8" t="n">
        <f aca="false">SUMPRODUCT(--(LEN(TRIM(Respuestas!$D$4:$D$283))&gt;0))</f>
        <v>273</v>
      </c>
      <c r="C13" s="17"/>
    </row>
    <row r="14" customFormat="false" ht="24" hidden="false" customHeight="true" outlineLevel="0" collapsed="false">
      <c r="A14" s="16" t="s">
        <v>510</v>
      </c>
      <c r="B14" s="8" t="n">
        <f aca="false">COUNTIF(Respuestas!$H$4:$H$283,"?*")</f>
        <v>0</v>
      </c>
      <c r="C14" s="17" t="s">
        <v>511</v>
      </c>
    </row>
    <row r="16" customFormat="false" ht="15" hidden="false" customHeight="true" outlineLevel="0" collapsed="false">
      <c r="A16" s="14" t="s">
        <v>512</v>
      </c>
      <c r="B16" s="15"/>
      <c r="C16" s="15"/>
    </row>
    <row r="17" customFormat="false" ht="24" hidden="false" customHeight="true" outlineLevel="0" collapsed="false">
      <c r="A17" s="16" t="s">
        <v>513</v>
      </c>
      <c r="B17" s="8" t="n">
        <f aca="false">COUNTIF(Cobertura!$G$4:$G$57,"Meta cumplida")</f>
        <v>54</v>
      </c>
      <c r="C17" s="17" t="str">
        <f aca="false">"de "&amp;COUNTA(Cobertura!$A$4:$A$57)&amp;" intenciones"</f>
        <v>de 54 intenciones</v>
      </c>
    </row>
    <row r="18" customFormat="false" ht="24" hidden="false" customHeight="true" outlineLevel="0" collapsed="false">
      <c r="A18" s="16" t="s">
        <v>514</v>
      </c>
      <c r="B18" s="8" t="n">
        <f aca="false">COUNTIF(Cobertura!$G$4:$G$57,"Mínimo alcanzado")</f>
        <v>0</v>
      </c>
      <c r="C18" s="17"/>
    </row>
    <row r="19" customFormat="false" ht="24" hidden="false" customHeight="true" outlineLevel="0" collapsed="false">
      <c r="A19" s="16" t="s">
        <v>515</v>
      </c>
      <c r="B19" s="8" t="n">
        <f aca="false">COUNTIF(Cobertura!$G$4:$G$57,"Insuficiente")</f>
        <v>0</v>
      </c>
      <c r="C19" s="17" t="s">
        <v>516</v>
      </c>
    </row>
    <row r="20" customFormat="false" ht="24" hidden="false" customHeight="true" outlineLevel="0" collapsed="false">
      <c r="A20" s="16" t="s">
        <v>517</v>
      </c>
      <c r="B20" s="8" t="n">
        <f aca="false">MIN(Cobertura!$D$4:$D$57)</f>
        <v>4</v>
      </c>
      <c r="C20" s="17"/>
    </row>
    <row r="21" customFormat="false" ht="27.75" hidden="false" customHeight="true" outlineLevel="0" collapsed="false">
      <c r="A21" s="18" t="s">
        <v>518</v>
      </c>
      <c r="B21" s="19" t="str">
        <f aca="false">IF(AND(B7&gt;=B9,B20&gt;=Parametros!$B$5),"Listo para la Parte B","Aún no")</f>
        <v>Listo para la Parte B</v>
      </c>
    </row>
    <row r="23" customFormat="false" ht="15" hidden="false" customHeight="true" outlineLevel="0" collapsed="false">
      <c r="A23" s="14" t="s">
        <v>519</v>
      </c>
      <c r="B23" s="15"/>
      <c r="C23" s="15"/>
    </row>
    <row r="24" customFormat="false" ht="15" hidden="false" customHeight="true" outlineLevel="0" collapsed="false">
      <c r="A24" s="16" t="s">
        <v>520</v>
      </c>
      <c r="B24" s="8" t="n">
        <f aca="false">COUNTIFS(Participantes!$B$4:$B$28,"A",Participantes!$C$4:$C$28,"Transcrito")</f>
        <v>5</v>
      </c>
      <c r="C24" s="20" t="str">
        <f aca="false">"Aplicados sin transcribir: "&amp;COUNTIFS(Participantes!$B$4:$B$28,"A",Participantes!$C$4:$C$28,"Aplicado")</f>
        <v>Aplicados sin transcribir: 0</v>
      </c>
    </row>
    <row r="25" customFormat="false" ht="15" hidden="false" customHeight="true" outlineLevel="0" collapsed="false">
      <c r="A25" s="16" t="s">
        <v>521</v>
      </c>
      <c r="B25" s="8" t="n">
        <f aca="false">COUNTIFS(Participantes!$B$4:$B$28,"B",Participantes!$C$4:$C$28,"Transcrito")</f>
        <v>5</v>
      </c>
      <c r="C25" s="20" t="str">
        <f aca="false">"Aplicados sin transcribir: "&amp;COUNTIFS(Participantes!$B$4:$B$28,"B",Participantes!$C$4:$C$28,"Aplicado")</f>
        <v>Aplicados sin transcribir: 0</v>
      </c>
    </row>
    <row r="26" customFormat="false" ht="15" hidden="false" customHeight="true" outlineLevel="0" collapsed="false">
      <c r="A26" s="16" t="s">
        <v>522</v>
      </c>
      <c r="B26" s="8" t="n">
        <f aca="false">COUNTIFS(Participantes!$B$4:$B$28,"C",Participantes!$C$4:$C$28,"Transcrito")</f>
        <v>5</v>
      </c>
      <c r="C26" s="20" t="str">
        <f aca="false">"Aplicados sin transcribir: "&amp;COUNTIFS(Participantes!$B$4:$B$28,"C",Participantes!$C$4:$C$28,"Aplicado")</f>
        <v>Aplicados sin transcribir: 0</v>
      </c>
    </row>
    <row r="27" customFormat="false" ht="15" hidden="false" customHeight="true" outlineLevel="0" collapsed="false">
      <c r="A27" s="16" t="s">
        <v>523</v>
      </c>
      <c r="B27" s="8" t="n">
        <f aca="false">COUNTIFS(Participantes!$B$4:$B$28,"D",Participantes!$C$4:$C$28,"Transcrito")</f>
        <v>5</v>
      </c>
      <c r="C27" s="20" t="str">
        <f aca="false">"Aplicados sin transcribir: "&amp;COUNTIFS(Participantes!$B$4:$B$28,"D",Participantes!$C$4:$C$28,"Aplicado")</f>
        <v>Aplicados sin transcribir: 0</v>
      </c>
    </row>
    <row r="28" customFormat="false" ht="15" hidden="false" customHeight="true" outlineLevel="0" collapsed="false">
      <c r="A28" s="16" t="s">
        <v>524</v>
      </c>
      <c r="B28" s="8" t="n">
        <f aca="false">COUNTIFS(Participantes!$B$4:$B$28,"E",Participantes!$C$4:$C$28,"Transcrito")</f>
        <v>5</v>
      </c>
      <c r="C28" s="20" t="str">
        <f aca="false">"Aplicados sin transcribir: "&amp;COUNTIFS(Participantes!$B$4:$B$28,"E",Participantes!$C$4:$C$28,"Aplicado")</f>
        <v>Aplicados sin transcribir: 0</v>
      </c>
    </row>
  </sheetData>
  <mergeCells count="1">
    <mergeCell ref="A2:C2"/>
  </mergeCells>
  <conditionalFormatting sqref="B21">
    <cfRule type="cellIs" priority="2" operator="equal" aboveAverage="0" equalAverage="0" bottom="0" percent="0" rank="0" text="" dxfId="0">
      <formula>"Listo para la Parte B"</formula>
    </cfRule>
    <cfRule type="cellIs" priority="3" operator="equal" aboveAverage="0" equalAverage="0" bottom="0" percent="0" rank="0" text="" dxfId="1">
      <formula>"Aún no"</formula>
    </cfRule>
  </conditionalFormatting>
  <conditionalFormatting sqref="B19">
    <cfRule type="cellIs" priority="4" operator="greaterThan" aboveAverage="0" equalAverage="0" bottom="0" percent="0" rank="0" text="" dxfId="2">
      <formula>0</formula>
    </cfRule>
  </conditionalFormatting>
  <conditionalFormatting sqref="B8">
    <cfRule type="cellIs" priority="5" operator="greaterThan" aboveAverage="0" equalAverage="0" bottom="0" percent="0" rank="0" text="" dxfId="2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36"/>
    <col collapsed="false" customWidth="true" hidden="false" outlineLevel="0" max="3" min="3" style="1" width="12"/>
    <col collapsed="false" customWidth="true" hidden="false" outlineLevel="0" max="4" min="4" style="1" width="10"/>
    <col collapsed="false" customWidth="true" hidden="false" outlineLevel="0" max="5" min="5" style="1" width="8"/>
    <col collapsed="false" customWidth="true" hidden="false" outlineLevel="0" max="6" min="6" style="1" width="14"/>
    <col collapsed="false" customWidth="true" hidden="false" outlineLevel="0" max="7" min="7" style="1" width="18"/>
  </cols>
  <sheetData>
    <row r="1" customFormat="false" ht="17.25" hidden="false" customHeight="true" outlineLevel="0" collapsed="false">
      <c r="A1" s="2" t="s">
        <v>525</v>
      </c>
    </row>
    <row r="2" customFormat="false" ht="30" hidden="false" customHeight="true" outlineLevel="0" collapsed="false">
      <c r="A2" s="3" t="s">
        <v>526</v>
      </c>
      <c r="B2" s="3"/>
      <c r="C2" s="3"/>
      <c r="D2" s="3"/>
      <c r="E2" s="3"/>
      <c r="F2" s="3"/>
      <c r="G2" s="3"/>
    </row>
    <row r="3" customFormat="false" ht="33.75" hidden="false" customHeight="true" outlineLevel="0" collapsed="false">
      <c r="A3" s="4" t="s">
        <v>527</v>
      </c>
      <c r="B3" s="4" t="s">
        <v>528</v>
      </c>
      <c r="C3" s="4" t="s">
        <v>529</v>
      </c>
      <c r="D3" s="4" t="s">
        <v>509</v>
      </c>
      <c r="E3" s="4" t="s">
        <v>530</v>
      </c>
      <c r="F3" s="4" t="s">
        <v>531</v>
      </c>
      <c r="G3" s="4" t="s">
        <v>4</v>
      </c>
    </row>
    <row r="4" customFormat="false" ht="15" hidden="false" customHeight="true" outlineLevel="0" collapsed="false">
      <c r="A4" s="21" t="s">
        <v>63</v>
      </c>
      <c r="B4" s="21" t="s">
        <v>532</v>
      </c>
      <c r="C4" s="8" t="n">
        <f aca="false">COUNTIF(Situaciones!$C$4:$C$59,A4)</f>
        <v>1</v>
      </c>
      <c r="D4" s="8" t="n">
        <f aca="false">SUMIF(Situaciones!$C$4:$C$59,A4,Situaciones!$F$4:$F$59)</f>
        <v>5</v>
      </c>
      <c r="E4" s="8" t="n">
        <f aca="false">Parametros!$B$4</f>
        <v>4</v>
      </c>
      <c r="F4" s="9" t="n">
        <f aca="false">MAX(0,E4-D4)</f>
        <v>0</v>
      </c>
      <c r="G4" s="22" t="str">
        <f aca="false">IF(D4&gt;=E4,"Meta cumplida",IF(D4&gt;=Parametros!$B$5,"Mínimo alcanzado","Insuficiente"))</f>
        <v>Meta cumplida</v>
      </c>
    </row>
    <row r="5" customFormat="false" ht="15" hidden="false" customHeight="true" outlineLevel="0" collapsed="false">
      <c r="A5" s="21" t="s">
        <v>111</v>
      </c>
      <c r="B5" s="21" t="s">
        <v>532</v>
      </c>
      <c r="C5" s="8" t="n">
        <f aca="false">COUNTIF(Situaciones!$C$4:$C$59,A5)</f>
        <v>1</v>
      </c>
      <c r="D5" s="8" t="n">
        <f aca="false">SUMIF(Situaciones!$C$4:$C$59,A5,Situaciones!$F$4:$F$59)</f>
        <v>5</v>
      </c>
      <c r="E5" s="8" t="n">
        <f aca="false">Parametros!$B$4</f>
        <v>4</v>
      </c>
      <c r="F5" s="9" t="n">
        <f aca="false">MAX(0,E5-D5)</f>
        <v>0</v>
      </c>
      <c r="G5" s="22" t="str">
        <f aca="false">IF(D5&gt;=E5,"Meta cumplida",IF(D5&gt;=Parametros!$B$5,"Mínimo alcanzado","Insuficiente"))</f>
        <v>Meta cumplida</v>
      </c>
    </row>
    <row r="6" customFormat="false" ht="15" hidden="false" customHeight="true" outlineLevel="0" collapsed="false">
      <c r="A6" s="21" t="s">
        <v>153</v>
      </c>
      <c r="B6" s="21" t="s">
        <v>532</v>
      </c>
      <c r="C6" s="8" t="n">
        <f aca="false">COUNTIF(Situaciones!$C$4:$C$59,A6)</f>
        <v>1</v>
      </c>
      <c r="D6" s="8" t="n">
        <f aca="false">SUMIF(Situaciones!$C$4:$C$59,A6,Situaciones!$F$4:$F$59)</f>
        <v>5</v>
      </c>
      <c r="E6" s="8" t="n">
        <f aca="false">Parametros!$B$4</f>
        <v>4</v>
      </c>
      <c r="F6" s="9" t="n">
        <f aca="false">MAX(0,E6-D6)</f>
        <v>0</v>
      </c>
      <c r="G6" s="22" t="str">
        <f aca="false">IF(D6&gt;=E6,"Meta cumplida",IF(D6&gt;=Parametros!$B$5,"Mínimo alcanzado","Insuficiente"))</f>
        <v>Meta cumplida</v>
      </c>
    </row>
    <row r="7" customFormat="false" ht="15" hidden="false" customHeight="true" outlineLevel="0" collapsed="false">
      <c r="A7" s="21" t="s">
        <v>196</v>
      </c>
      <c r="B7" s="21" t="s">
        <v>532</v>
      </c>
      <c r="C7" s="8" t="n">
        <f aca="false">COUNTIF(Situaciones!$C$4:$C$59,A7)</f>
        <v>1</v>
      </c>
      <c r="D7" s="8" t="n">
        <f aca="false">SUMIF(Situaciones!$C$4:$C$59,A7,Situaciones!$F$4:$F$59)</f>
        <v>5</v>
      </c>
      <c r="E7" s="8" t="n">
        <f aca="false">Parametros!$B$4</f>
        <v>4</v>
      </c>
      <c r="F7" s="9" t="n">
        <f aca="false">MAX(0,E7-D7)</f>
        <v>0</v>
      </c>
      <c r="G7" s="22" t="str">
        <f aca="false">IF(D7&gt;=E7,"Meta cumplida",IF(D7&gt;=Parametros!$B$5,"Mínimo alcanzado","Insuficiente"))</f>
        <v>Meta cumplida</v>
      </c>
    </row>
    <row r="8" customFormat="false" ht="15" hidden="false" customHeight="true" outlineLevel="0" collapsed="false">
      <c r="A8" s="21" t="s">
        <v>240</v>
      </c>
      <c r="B8" s="21" t="s">
        <v>532</v>
      </c>
      <c r="C8" s="8" t="n">
        <f aca="false">COUNTIF(Situaciones!$C$4:$C$59,A8)</f>
        <v>1</v>
      </c>
      <c r="D8" s="8" t="n">
        <f aca="false">SUMIF(Situaciones!$C$4:$C$59,A8,Situaciones!$F$4:$F$59)</f>
        <v>4</v>
      </c>
      <c r="E8" s="8" t="n">
        <f aca="false">Parametros!$B$4</f>
        <v>4</v>
      </c>
      <c r="F8" s="9" t="n">
        <f aca="false">MAX(0,E8-D8)</f>
        <v>0</v>
      </c>
      <c r="G8" s="22" t="str">
        <f aca="false">IF(D8&gt;=E8,"Meta cumplida",IF(D8&gt;=Parametros!$B$5,"Mínimo alcanzado","Insuficiente"))</f>
        <v>Meta cumplida</v>
      </c>
    </row>
    <row r="9" customFormat="false" ht="15" hidden="false" customHeight="true" outlineLevel="0" collapsed="false">
      <c r="A9" s="21" t="s">
        <v>67</v>
      </c>
      <c r="B9" s="21" t="s">
        <v>532</v>
      </c>
      <c r="C9" s="8" t="n">
        <f aca="false">COUNTIF(Situaciones!$C$4:$C$59,A9)</f>
        <v>1</v>
      </c>
      <c r="D9" s="8" t="n">
        <f aca="false">SUMIF(Situaciones!$C$4:$C$59,A9,Situaciones!$F$4:$F$59)</f>
        <v>5</v>
      </c>
      <c r="E9" s="8" t="n">
        <f aca="false">Parametros!$B$4</f>
        <v>4</v>
      </c>
      <c r="F9" s="9" t="n">
        <f aca="false">MAX(0,E9-D9)</f>
        <v>0</v>
      </c>
      <c r="G9" s="22" t="str">
        <f aca="false">IF(D9&gt;=E9,"Meta cumplida",IF(D9&gt;=Parametros!$B$5,"Mínimo alcanzado","Insuficiente"))</f>
        <v>Meta cumplida</v>
      </c>
    </row>
    <row r="10" customFormat="false" ht="15" hidden="false" customHeight="true" outlineLevel="0" collapsed="false">
      <c r="A10" s="21" t="s">
        <v>115</v>
      </c>
      <c r="B10" s="21" t="s">
        <v>533</v>
      </c>
      <c r="C10" s="8" t="n">
        <f aca="false">COUNTIF(Situaciones!$C$4:$C$59,A10)</f>
        <v>1</v>
      </c>
      <c r="D10" s="8" t="n">
        <f aca="false">SUMIF(Situaciones!$C$4:$C$59,A10,Situaciones!$F$4:$F$59)</f>
        <v>5</v>
      </c>
      <c r="E10" s="8" t="n">
        <f aca="false">Parametros!$B$4</f>
        <v>4</v>
      </c>
      <c r="F10" s="9" t="n">
        <f aca="false">MAX(0,E10-D10)</f>
        <v>0</v>
      </c>
      <c r="G10" s="22" t="str">
        <f aca="false">IF(D10&gt;=E10,"Meta cumplida",IF(D10&gt;=Parametros!$B$5,"Mínimo alcanzado","Insuficiente"))</f>
        <v>Meta cumplida</v>
      </c>
    </row>
    <row r="11" customFormat="false" ht="15" hidden="false" customHeight="true" outlineLevel="0" collapsed="false">
      <c r="A11" s="21" t="s">
        <v>157</v>
      </c>
      <c r="B11" s="21" t="s">
        <v>533</v>
      </c>
      <c r="C11" s="8" t="n">
        <f aca="false">COUNTIF(Situaciones!$C$4:$C$59,A11)</f>
        <v>1</v>
      </c>
      <c r="D11" s="8" t="n">
        <f aca="false">SUMIF(Situaciones!$C$4:$C$59,A11,Situaciones!$F$4:$F$59)</f>
        <v>4</v>
      </c>
      <c r="E11" s="8" t="n">
        <f aca="false">Parametros!$B$4</f>
        <v>4</v>
      </c>
      <c r="F11" s="9" t="n">
        <f aca="false">MAX(0,E11-D11)</f>
        <v>0</v>
      </c>
      <c r="G11" s="22" t="str">
        <f aca="false">IF(D11&gt;=E11,"Meta cumplida",IF(D11&gt;=Parametros!$B$5,"Mínimo alcanzado","Insuficiente"))</f>
        <v>Meta cumplida</v>
      </c>
    </row>
    <row r="12" customFormat="false" ht="15" hidden="false" customHeight="true" outlineLevel="0" collapsed="false">
      <c r="A12" s="21" t="s">
        <v>200</v>
      </c>
      <c r="B12" s="21" t="s">
        <v>533</v>
      </c>
      <c r="C12" s="8" t="n">
        <f aca="false">COUNTIF(Situaciones!$C$4:$C$59,A12)</f>
        <v>1</v>
      </c>
      <c r="D12" s="8" t="n">
        <f aca="false">SUMIF(Situaciones!$C$4:$C$59,A12,Situaciones!$F$4:$F$59)</f>
        <v>5</v>
      </c>
      <c r="E12" s="8" t="n">
        <f aca="false">Parametros!$B$4</f>
        <v>4</v>
      </c>
      <c r="F12" s="9" t="n">
        <f aca="false">MAX(0,E12-D12)</f>
        <v>0</v>
      </c>
      <c r="G12" s="22" t="str">
        <f aca="false">IF(D12&gt;=E12,"Meta cumplida",IF(D12&gt;=Parametros!$B$5,"Mínimo alcanzado","Insuficiente"))</f>
        <v>Meta cumplida</v>
      </c>
    </row>
    <row r="13" customFormat="false" ht="15" hidden="false" customHeight="true" outlineLevel="0" collapsed="false">
      <c r="A13" s="21" t="s">
        <v>244</v>
      </c>
      <c r="B13" s="21" t="s">
        <v>533</v>
      </c>
      <c r="C13" s="8" t="n">
        <f aca="false">COUNTIF(Situaciones!$C$4:$C$59,A13)</f>
        <v>1</v>
      </c>
      <c r="D13" s="8" t="n">
        <f aca="false">SUMIF(Situaciones!$C$4:$C$59,A13,Situaciones!$F$4:$F$59)</f>
        <v>4</v>
      </c>
      <c r="E13" s="8" t="n">
        <f aca="false">Parametros!$B$4</f>
        <v>4</v>
      </c>
      <c r="F13" s="9" t="n">
        <f aca="false">MAX(0,E13-D13)</f>
        <v>0</v>
      </c>
      <c r="G13" s="22" t="str">
        <f aca="false">IF(D13&gt;=E13,"Meta cumplida",IF(D13&gt;=Parametros!$B$5,"Mínimo alcanzado","Insuficiente"))</f>
        <v>Meta cumplida</v>
      </c>
    </row>
    <row r="14" customFormat="false" ht="15" hidden="false" customHeight="true" outlineLevel="0" collapsed="false">
      <c r="A14" s="21" t="s">
        <v>71</v>
      </c>
      <c r="B14" s="21" t="s">
        <v>533</v>
      </c>
      <c r="C14" s="8" t="n">
        <f aca="false">COUNTIF(Situaciones!$C$4:$C$59,A14)</f>
        <v>1</v>
      </c>
      <c r="D14" s="8" t="n">
        <f aca="false">SUMIF(Situaciones!$C$4:$C$59,A14,Situaciones!$F$4:$F$59)</f>
        <v>4</v>
      </c>
      <c r="E14" s="8" t="n">
        <f aca="false">Parametros!$B$4</f>
        <v>4</v>
      </c>
      <c r="F14" s="9" t="n">
        <f aca="false">MAX(0,E14-D14)</f>
        <v>0</v>
      </c>
      <c r="G14" s="22" t="str">
        <f aca="false">IF(D14&gt;=E14,"Meta cumplida",IF(D14&gt;=Parametros!$B$5,"Mínimo alcanzado","Insuficiente"))</f>
        <v>Meta cumplida</v>
      </c>
    </row>
    <row r="15" customFormat="false" ht="15" hidden="false" customHeight="true" outlineLevel="0" collapsed="false">
      <c r="A15" s="21" t="s">
        <v>119</v>
      </c>
      <c r="B15" s="21" t="s">
        <v>533</v>
      </c>
      <c r="C15" s="8" t="n">
        <f aca="false">COUNTIF(Situaciones!$C$4:$C$59,A15)</f>
        <v>1</v>
      </c>
      <c r="D15" s="8" t="n">
        <f aca="false">SUMIF(Situaciones!$C$4:$C$59,A15,Situaciones!$F$4:$F$59)</f>
        <v>5</v>
      </c>
      <c r="E15" s="8" t="n">
        <f aca="false">Parametros!$B$4</f>
        <v>4</v>
      </c>
      <c r="F15" s="9" t="n">
        <f aca="false">MAX(0,E15-D15)</f>
        <v>0</v>
      </c>
      <c r="G15" s="22" t="str">
        <f aca="false">IF(D15&gt;=E15,"Meta cumplida",IF(D15&gt;=Parametros!$B$5,"Mínimo alcanzado","Insuficiente"))</f>
        <v>Meta cumplida</v>
      </c>
    </row>
    <row r="16" customFormat="false" ht="15" hidden="false" customHeight="true" outlineLevel="0" collapsed="false">
      <c r="A16" s="21" t="s">
        <v>161</v>
      </c>
      <c r="B16" s="21" t="s">
        <v>534</v>
      </c>
      <c r="C16" s="8" t="n">
        <f aca="false">COUNTIF(Situaciones!$C$4:$C$59,A16)</f>
        <v>1</v>
      </c>
      <c r="D16" s="8" t="n">
        <f aca="false">SUMIF(Situaciones!$C$4:$C$59,A16,Situaciones!$F$4:$F$59)</f>
        <v>5</v>
      </c>
      <c r="E16" s="8" t="n">
        <f aca="false">Parametros!$B$4</f>
        <v>4</v>
      </c>
      <c r="F16" s="9" t="n">
        <f aca="false">MAX(0,E16-D16)</f>
        <v>0</v>
      </c>
      <c r="G16" s="22" t="str">
        <f aca="false">IF(D16&gt;=E16,"Meta cumplida",IF(D16&gt;=Parametros!$B$5,"Mínimo alcanzado","Insuficiente"))</f>
        <v>Meta cumplida</v>
      </c>
    </row>
    <row r="17" customFormat="false" ht="15" hidden="false" customHeight="true" outlineLevel="0" collapsed="false">
      <c r="A17" s="21" t="s">
        <v>204</v>
      </c>
      <c r="B17" s="21" t="s">
        <v>534</v>
      </c>
      <c r="C17" s="8" t="n">
        <f aca="false">COUNTIF(Situaciones!$C$4:$C$59,A17)</f>
        <v>1</v>
      </c>
      <c r="D17" s="8" t="n">
        <f aca="false">SUMIF(Situaciones!$C$4:$C$59,A17,Situaciones!$F$4:$F$59)</f>
        <v>5</v>
      </c>
      <c r="E17" s="8" t="n">
        <f aca="false">Parametros!$B$4</f>
        <v>4</v>
      </c>
      <c r="F17" s="9" t="n">
        <f aca="false">MAX(0,E17-D17)</f>
        <v>0</v>
      </c>
      <c r="G17" s="22" t="str">
        <f aca="false">IF(D17&gt;=E17,"Meta cumplida",IF(D17&gt;=Parametros!$B$5,"Mínimo alcanzado","Insuficiente"))</f>
        <v>Meta cumplida</v>
      </c>
    </row>
    <row r="18" customFormat="false" ht="15" hidden="false" customHeight="true" outlineLevel="0" collapsed="false">
      <c r="A18" s="21" t="s">
        <v>248</v>
      </c>
      <c r="B18" s="21" t="s">
        <v>534</v>
      </c>
      <c r="C18" s="8" t="n">
        <f aca="false">COUNTIF(Situaciones!$C$4:$C$59,A18)</f>
        <v>1</v>
      </c>
      <c r="D18" s="8" t="n">
        <f aca="false">SUMIF(Situaciones!$C$4:$C$59,A18,Situaciones!$F$4:$F$59)</f>
        <v>5</v>
      </c>
      <c r="E18" s="8" t="n">
        <f aca="false">Parametros!$B$4</f>
        <v>4</v>
      </c>
      <c r="F18" s="9" t="n">
        <f aca="false">MAX(0,E18-D18)</f>
        <v>0</v>
      </c>
      <c r="G18" s="22" t="str">
        <f aca="false">IF(D18&gt;=E18,"Meta cumplida",IF(D18&gt;=Parametros!$B$5,"Mínimo alcanzado","Insuficiente"))</f>
        <v>Meta cumplida</v>
      </c>
    </row>
    <row r="19" customFormat="false" ht="15" hidden="false" customHeight="true" outlineLevel="0" collapsed="false">
      <c r="A19" s="21" t="s">
        <v>75</v>
      </c>
      <c r="B19" s="21" t="s">
        <v>534</v>
      </c>
      <c r="C19" s="8" t="n">
        <f aca="false">COUNTIF(Situaciones!$C$4:$C$59,A19)</f>
        <v>1</v>
      </c>
      <c r="D19" s="8" t="n">
        <f aca="false">SUMIF(Situaciones!$C$4:$C$59,A19,Situaciones!$F$4:$F$59)</f>
        <v>5</v>
      </c>
      <c r="E19" s="8" t="n">
        <f aca="false">Parametros!$B$4</f>
        <v>4</v>
      </c>
      <c r="F19" s="9" t="n">
        <f aca="false">MAX(0,E19-D19)</f>
        <v>0</v>
      </c>
      <c r="G19" s="22" t="str">
        <f aca="false">IF(D19&gt;=E19,"Meta cumplida",IF(D19&gt;=Parametros!$B$5,"Mínimo alcanzado","Insuficiente"))</f>
        <v>Meta cumplida</v>
      </c>
    </row>
    <row r="20" customFormat="false" ht="15" hidden="false" customHeight="true" outlineLevel="0" collapsed="false">
      <c r="A20" s="21" t="s">
        <v>123</v>
      </c>
      <c r="B20" s="21" t="s">
        <v>534</v>
      </c>
      <c r="C20" s="8" t="n">
        <f aca="false">COUNTIF(Situaciones!$C$4:$C$59,A20)</f>
        <v>1</v>
      </c>
      <c r="D20" s="8" t="n">
        <f aca="false">SUMIF(Situaciones!$C$4:$C$59,A20,Situaciones!$F$4:$F$59)</f>
        <v>5</v>
      </c>
      <c r="E20" s="8" t="n">
        <f aca="false">Parametros!$B$4</f>
        <v>4</v>
      </c>
      <c r="F20" s="9" t="n">
        <f aca="false">MAX(0,E20-D20)</f>
        <v>0</v>
      </c>
      <c r="G20" s="22" t="str">
        <f aca="false">IF(D20&gt;=E20,"Meta cumplida",IF(D20&gt;=Parametros!$B$5,"Mínimo alcanzado","Insuficiente"))</f>
        <v>Meta cumplida</v>
      </c>
    </row>
    <row r="21" customFormat="false" ht="15" hidden="false" customHeight="true" outlineLevel="0" collapsed="false">
      <c r="A21" s="21" t="s">
        <v>165</v>
      </c>
      <c r="B21" s="21" t="s">
        <v>534</v>
      </c>
      <c r="C21" s="8" t="n">
        <f aca="false">COUNTIF(Situaciones!$C$4:$C$59,A21)</f>
        <v>1</v>
      </c>
      <c r="D21" s="8" t="n">
        <f aca="false">SUMIF(Situaciones!$C$4:$C$59,A21,Situaciones!$F$4:$F$59)</f>
        <v>5</v>
      </c>
      <c r="E21" s="8" t="n">
        <f aca="false">Parametros!$B$4</f>
        <v>4</v>
      </c>
      <c r="F21" s="9" t="n">
        <f aca="false">MAX(0,E21-D21)</f>
        <v>0</v>
      </c>
      <c r="G21" s="22" t="str">
        <f aca="false">IF(D21&gt;=E21,"Meta cumplida",IF(D21&gt;=Parametros!$B$5,"Mínimo alcanzado","Insuficiente"))</f>
        <v>Meta cumplida</v>
      </c>
    </row>
    <row r="22" customFormat="false" ht="15" hidden="false" customHeight="true" outlineLevel="0" collapsed="false">
      <c r="A22" s="21" t="s">
        <v>208</v>
      </c>
      <c r="B22" s="21" t="s">
        <v>535</v>
      </c>
      <c r="C22" s="8" t="n">
        <f aca="false">COUNTIF(Situaciones!$C$4:$C$59,A22)</f>
        <v>1</v>
      </c>
      <c r="D22" s="8" t="n">
        <f aca="false">SUMIF(Situaciones!$C$4:$C$59,A22,Situaciones!$F$4:$F$59)</f>
        <v>5</v>
      </c>
      <c r="E22" s="8" t="n">
        <f aca="false">Parametros!$B$4</f>
        <v>4</v>
      </c>
      <c r="F22" s="9" t="n">
        <f aca="false">MAX(0,E22-D22)</f>
        <v>0</v>
      </c>
      <c r="G22" s="22" t="str">
        <f aca="false">IF(D22&gt;=E22,"Meta cumplida",IF(D22&gt;=Parametros!$B$5,"Mínimo alcanzado","Insuficiente"))</f>
        <v>Meta cumplida</v>
      </c>
    </row>
    <row r="23" customFormat="false" ht="15" hidden="false" customHeight="true" outlineLevel="0" collapsed="false">
      <c r="A23" s="21" t="s">
        <v>252</v>
      </c>
      <c r="B23" s="21" t="s">
        <v>535</v>
      </c>
      <c r="C23" s="8" t="n">
        <f aca="false">COUNTIF(Situaciones!$C$4:$C$59,A23)</f>
        <v>1</v>
      </c>
      <c r="D23" s="8" t="n">
        <f aca="false">SUMIF(Situaciones!$C$4:$C$59,A23,Situaciones!$F$4:$F$59)</f>
        <v>5</v>
      </c>
      <c r="E23" s="8" t="n">
        <f aca="false">Parametros!$B$4</f>
        <v>4</v>
      </c>
      <c r="F23" s="9" t="n">
        <f aca="false">MAX(0,E23-D23)</f>
        <v>0</v>
      </c>
      <c r="G23" s="22" t="str">
        <f aca="false">IF(D23&gt;=E23,"Meta cumplida",IF(D23&gt;=Parametros!$B$5,"Mínimo alcanzado","Insuficiente"))</f>
        <v>Meta cumplida</v>
      </c>
    </row>
    <row r="24" customFormat="false" ht="15" hidden="false" customHeight="true" outlineLevel="0" collapsed="false">
      <c r="A24" s="21" t="s">
        <v>79</v>
      </c>
      <c r="B24" s="21" t="s">
        <v>535</v>
      </c>
      <c r="C24" s="8" t="n">
        <f aca="false">COUNTIF(Situaciones!$C$4:$C$59,A24)</f>
        <v>1</v>
      </c>
      <c r="D24" s="8" t="n">
        <f aca="false">SUMIF(Situaciones!$C$4:$C$59,A24,Situaciones!$F$4:$F$59)</f>
        <v>5</v>
      </c>
      <c r="E24" s="8" t="n">
        <f aca="false">Parametros!$B$4</f>
        <v>4</v>
      </c>
      <c r="F24" s="9" t="n">
        <f aca="false">MAX(0,E24-D24)</f>
        <v>0</v>
      </c>
      <c r="G24" s="22" t="str">
        <f aca="false">IF(D24&gt;=E24,"Meta cumplida",IF(D24&gt;=Parametros!$B$5,"Mínimo alcanzado","Insuficiente"))</f>
        <v>Meta cumplida</v>
      </c>
    </row>
    <row r="25" customFormat="false" ht="15" hidden="false" customHeight="true" outlineLevel="0" collapsed="false">
      <c r="A25" s="21" t="s">
        <v>127</v>
      </c>
      <c r="B25" s="21" t="s">
        <v>535</v>
      </c>
      <c r="C25" s="8" t="n">
        <f aca="false">COUNTIF(Situaciones!$C$4:$C$59,A25)</f>
        <v>1</v>
      </c>
      <c r="D25" s="8" t="n">
        <f aca="false">SUMIF(Situaciones!$C$4:$C$59,A25,Situaciones!$F$4:$F$59)</f>
        <v>4</v>
      </c>
      <c r="E25" s="8" t="n">
        <f aca="false">Parametros!$B$4</f>
        <v>4</v>
      </c>
      <c r="F25" s="9" t="n">
        <f aca="false">MAX(0,E25-D25)</f>
        <v>0</v>
      </c>
      <c r="G25" s="22" t="str">
        <f aca="false">IF(D25&gt;=E25,"Meta cumplida",IF(D25&gt;=Parametros!$B$5,"Mínimo alcanzado","Insuficiente"))</f>
        <v>Meta cumplida</v>
      </c>
    </row>
    <row r="26" customFormat="false" ht="15" hidden="false" customHeight="true" outlineLevel="0" collapsed="false">
      <c r="A26" s="21" t="s">
        <v>169</v>
      </c>
      <c r="B26" s="21" t="s">
        <v>535</v>
      </c>
      <c r="C26" s="8" t="n">
        <f aca="false">COUNTIF(Situaciones!$C$4:$C$59,A26)</f>
        <v>1</v>
      </c>
      <c r="D26" s="8" t="n">
        <f aca="false">SUMIF(Situaciones!$C$4:$C$59,A26,Situaciones!$F$4:$F$59)</f>
        <v>5</v>
      </c>
      <c r="E26" s="8" t="n">
        <f aca="false">Parametros!$B$4</f>
        <v>4</v>
      </c>
      <c r="F26" s="9" t="n">
        <f aca="false">MAX(0,E26-D26)</f>
        <v>0</v>
      </c>
      <c r="G26" s="22" t="str">
        <f aca="false">IF(D26&gt;=E26,"Meta cumplida",IF(D26&gt;=Parametros!$B$5,"Mínimo alcanzado","Insuficiente"))</f>
        <v>Meta cumplida</v>
      </c>
    </row>
    <row r="27" customFormat="false" ht="15" hidden="false" customHeight="true" outlineLevel="0" collapsed="false">
      <c r="A27" s="21" t="s">
        <v>212</v>
      </c>
      <c r="B27" s="21" t="s">
        <v>536</v>
      </c>
      <c r="C27" s="8" t="n">
        <f aca="false">COUNTIF(Situaciones!$C$4:$C$59,A27)</f>
        <v>1</v>
      </c>
      <c r="D27" s="8" t="n">
        <f aca="false">SUMIF(Situaciones!$C$4:$C$59,A27,Situaciones!$F$4:$F$59)</f>
        <v>5</v>
      </c>
      <c r="E27" s="8" t="n">
        <f aca="false">Parametros!$B$4</f>
        <v>4</v>
      </c>
      <c r="F27" s="9" t="n">
        <f aca="false">MAX(0,E27-D27)</f>
        <v>0</v>
      </c>
      <c r="G27" s="22" t="str">
        <f aca="false">IF(D27&gt;=E27,"Meta cumplida",IF(D27&gt;=Parametros!$B$5,"Mínimo alcanzado","Insuficiente"))</f>
        <v>Meta cumplida</v>
      </c>
    </row>
    <row r="28" customFormat="false" ht="15" hidden="false" customHeight="true" outlineLevel="0" collapsed="false">
      <c r="A28" s="21" t="s">
        <v>256</v>
      </c>
      <c r="B28" s="21" t="s">
        <v>536</v>
      </c>
      <c r="C28" s="8" t="n">
        <f aca="false">COUNTIF(Situaciones!$C$4:$C$59,A28)</f>
        <v>1</v>
      </c>
      <c r="D28" s="8" t="n">
        <f aca="false">SUMIF(Situaciones!$C$4:$C$59,A28,Situaciones!$F$4:$F$59)</f>
        <v>5</v>
      </c>
      <c r="E28" s="8" t="n">
        <f aca="false">Parametros!$B$4</f>
        <v>4</v>
      </c>
      <c r="F28" s="9" t="n">
        <f aca="false">MAX(0,E28-D28)</f>
        <v>0</v>
      </c>
      <c r="G28" s="22" t="str">
        <f aca="false">IF(D28&gt;=E28,"Meta cumplida",IF(D28&gt;=Parametros!$B$5,"Mínimo alcanzado","Insuficiente"))</f>
        <v>Meta cumplida</v>
      </c>
    </row>
    <row r="29" customFormat="false" ht="15" hidden="false" customHeight="true" outlineLevel="0" collapsed="false">
      <c r="A29" s="21" t="s">
        <v>83</v>
      </c>
      <c r="B29" s="21" t="s">
        <v>536</v>
      </c>
      <c r="C29" s="8" t="n">
        <f aca="false">COUNTIF(Situaciones!$C$4:$C$59,A29)</f>
        <v>1</v>
      </c>
      <c r="D29" s="8" t="n">
        <f aca="false">SUMIF(Situaciones!$C$4:$C$59,A29,Situaciones!$F$4:$F$59)</f>
        <v>5</v>
      </c>
      <c r="E29" s="8" t="n">
        <f aca="false">Parametros!$B$4</f>
        <v>4</v>
      </c>
      <c r="F29" s="9" t="n">
        <f aca="false">MAX(0,E29-D29)</f>
        <v>0</v>
      </c>
      <c r="G29" s="22" t="str">
        <f aca="false">IF(D29&gt;=E29,"Meta cumplida",IF(D29&gt;=Parametros!$B$5,"Mínimo alcanzado","Insuficiente"))</f>
        <v>Meta cumplida</v>
      </c>
    </row>
    <row r="30" customFormat="false" ht="15" hidden="false" customHeight="true" outlineLevel="0" collapsed="false">
      <c r="A30" s="21" t="s">
        <v>130</v>
      </c>
      <c r="B30" s="21" t="s">
        <v>536</v>
      </c>
      <c r="C30" s="8" t="n">
        <f aca="false">COUNTIF(Situaciones!$C$4:$C$59,A30)</f>
        <v>1</v>
      </c>
      <c r="D30" s="8" t="n">
        <f aca="false">SUMIF(Situaciones!$C$4:$C$59,A30,Situaciones!$F$4:$F$59)</f>
        <v>4</v>
      </c>
      <c r="E30" s="8" t="n">
        <f aca="false">Parametros!$B$4</f>
        <v>4</v>
      </c>
      <c r="F30" s="9" t="n">
        <f aca="false">MAX(0,E30-D30)</f>
        <v>0</v>
      </c>
      <c r="G30" s="22" t="str">
        <f aca="false">IF(D30&gt;=E30,"Meta cumplida",IF(D30&gt;=Parametros!$B$5,"Mínimo alcanzado","Insuficiente"))</f>
        <v>Meta cumplida</v>
      </c>
    </row>
    <row r="31" customFormat="false" ht="15" hidden="false" customHeight="true" outlineLevel="0" collapsed="false">
      <c r="A31" s="21" t="s">
        <v>173</v>
      </c>
      <c r="B31" s="21" t="s">
        <v>536</v>
      </c>
      <c r="C31" s="8" t="n">
        <f aca="false">COUNTIF(Situaciones!$C$4:$C$59,A31)</f>
        <v>1</v>
      </c>
      <c r="D31" s="8" t="n">
        <f aca="false">SUMIF(Situaciones!$C$4:$C$59,A31,Situaciones!$F$4:$F$59)</f>
        <v>5</v>
      </c>
      <c r="E31" s="8" t="n">
        <f aca="false">Parametros!$B$4</f>
        <v>4</v>
      </c>
      <c r="F31" s="9" t="n">
        <f aca="false">MAX(0,E31-D31)</f>
        <v>0</v>
      </c>
      <c r="G31" s="22" t="str">
        <f aca="false">IF(D31&gt;=E31,"Meta cumplida",IF(D31&gt;=Parametros!$B$5,"Mínimo alcanzado","Insuficiente"))</f>
        <v>Meta cumplida</v>
      </c>
    </row>
    <row r="32" customFormat="false" ht="15" hidden="false" customHeight="true" outlineLevel="0" collapsed="false">
      <c r="A32" s="21" t="s">
        <v>216</v>
      </c>
      <c r="B32" s="21" t="s">
        <v>537</v>
      </c>
      <c r="C32" s="8" t="n">
        <f aca="false">COUNTIF(Situaciones!$C$4:$C$59,A32)</f>
        <v>1</v>
      </c>
      <c r="D32" s="8" t="n">
        <f aca="false">SUMIF(Situaciones!$C$4:$C$59,A32,Situaciones!$F$4:$F$59)</f>
        <v>5</v>
      </c>
      <c r="E32" s="8" t="n">
        <f aca="false">Parametros!$B$4</f>
        <v>4</v>
      </c>
      <c r="F32" s="9" t="n">
        <f aca="false">MAX(0,E32-D32)</f>
        <v>0</v>
      </c>
      <c r="G32" s="22" t="str">
        <f aca="false">IF(D32&gt;=E32,"Meta cumplida",IF(D32&gt;=Parametros!$B$5,"Mínimo alcanzado","Insuficiente"))</f>
        <v>Meta cumplida</v>
      </c>
    </row>
    <row r="33" customFormat="false" ht="15" hidden="false" customHeight="true" outlineLevel="0" collapsed="false">
      <c r="A33" s="21" t="s">
        <v>260</v>
      </c>
      <c r="B33" s="21" t="s">
        <v>537</v>
      </c>
      <c r="C33" s="8" t="n">
        <f aca="false">COUNTIF(Situaciones!$C$4:$C$59,A33)</f>
        <v>1</v>
      </c>
      <c r="D33" s="8" t="n">
        <f aca="false">SUMIF(Situaciones!$C$4:$C$59,A33,Situaciones!$F$4:$F$59)</f>
        <v>5</v>
      </c>
      <c r="E33" s="8" t="n">
        <f aca="false">Parametros!$B$4</f>
        <v>4</v>
      </c>
      <c r="F33" s="9" t="n">
        <f aca="false">MAX(0,E33-D33)</f>
        <v>0</v>
      </c>
      <c r="G33" s="22" t="str">
        <f aca="false">IF(D33&gt;=E33,"Meta cumplida",IF(D33&gt;=Parametros!$B$5,"Mínimo alcanzado","Insuficiente"))</f>
        <v>Meta cumplida</v>
      </c>
    </row>
    <row r="34" customFormat="false" ht="15" hidden="false" customHeight="true" outlineLevel="0" collapsed="false">
      <c r="A34" s="21" t="s">
        <v>87</v>
      </c>
      <c r="B34" s="21" t="s">
        <v>537</v>
      </c>
      <c r="C34" s="8" t="n">
        <f aca="false">COUNTIF(Situaciones!$C$4:$C$59,A34)</f>
        <v>1</v>
      </c>
      <c r="D34" s="8" t="n">
        <f aca="false">SUMIF(Situaciones!$C$4:$C$59,A34,Situaciones!$F$4:$F$59)</f>
        <v>5</v>
      </c>
      <c r="E34" s="8" t="n">
        <f aca="false">Parametros!$B$4</f>
        <v>4</v>
      </c>
      <c r="F34" s="9" t="n">
        <f aca="false">MAX(0,E34-D34)</f>
        <v>0</v>
      </c>
      <c r="G34" s="22" t="str">
        <f aca="false">IF(D34&gt;=E34,"Meta cumplida",IF(D34&gt;=Parametros!$B$5,"Mínimo alcanzado","Insuficiente"))</f>
        <v>Meta cumplida</v>
      </c>
    </row>
    <row r="35" customFormat="false" ht="15" hidden="false" customHeight="true" outlineLevel="0" collapsed="false">
      <c r="A35" s="21" t="s">
        <v>134</v>
      </c>
      <c r="B35" s="21" t="s">
        <v>537</v>
      </c>
      <c r="C35" s="8" t="n">
        <f aca="false">COUNTIF(Situaciones!$C$4:$C$59,A35)</f>
        <v>1</v>
      </c>
      <c r="D35" s="8" t="n">
        <f aca="false">SUMIF(Situaciones!$C$4:$C$59,A35,Situaciones!$F$4:$F$59)</f>
        <v>5</v>
      </c>
      <c r="E35" s="8" t="n">
        <f aca="false">Parametros!$B$4</f>
        <v>4</v>
      </c>
      <c r="F35" s="9" t="n">
        <f aca="false">MAX(0,E35-D35)</f>
        <v>0</v>
      </c>
      <c r="G35" s="22" t="str">
        <f aca="false">IF(D35&gt;=E35,"Meta cumplida",IF(D35&gt;=Parametros!$B$5,"Mínimo alcanzado","Insuficiente"))</f>
        <v>Meta cumplida</v>
      </c>
    </row>
    <row r="36" customFormat="false" ht="15" hidden="false" customHeight="true" outlineLevel="0" collapsed="false">
      <c r="A36" s="21" t="s">
        <v>176</v>
      </c>
      <c r="B36" s="21" t="s">
        <v>537</v>
      </c>
      <c r="C36" s="8" t="n">
        <f aca="false">COUNTIF(Situaciones!$C$4:$C$59,A36)</f>
        <v>1</v>
      </c>
      <c r="D36" s="8" t="n">
        <f aca="false">SUMIF(Situaciones!$C$4:$C$59,A36,Situaciones!$F$4:$F$59)</f>
        <v>4</v>
      </c>
      <c r="E36" s="8" t="n">
        <f aca="false">Parametros!$B$4</f>
        <v>4</v>
      </c>
      <c r="F36" s="9" t="n">
        <f aca="false">MAX(0,E36-D36)</f>
        <v>0</v>
      </c>
      <c r="G36" s="22" t="str">
        <f aca="false">IF(D36&gt;=E36,"Meta cumplida",IF(D36&gt;=Parametros!$B$5,"Mínimo alcanzado","Insuficiente"))</f>
        <v>Meta cumplida</v>
      </c>
    </row>
    <row r="37" customFormat="false" ht="15" hidden="false" customHeight="true" outlineLevel="0" collapsed="false">
      <c r="A37" s="21" t="s">
        <v>220</v>
      </c>
      <c r="B37" s="21" t="s">
        <v>538</v>
      </c>
      <c r="C37" s="8" t="n">
        <f aca="false">COUNTIF(Situaciones!$C$4:$C$59,A37)</f>
        <v>1</v>
      </c>
      <c r="D37" s="8" t="n">
        <f aca="false">SUMIF(Situaciones!$C$4:$C$59,A37,Situaciones!$F$4:$F$59)</f>
        <v>5</v>
      </c>
      <c r="E37" s="8" t="n">
        <f aca="false">Parametros!$B$4</f>
        <v>4</v>
      </c>
      <c r="F37" s="9" t="n">
        <f aca="false">MAX(0,E37-D37)</f>
        <v>0</v>
      </c>
      <c r="G37" s="22" t="str">
        <f aca="false">IF(D37&gt;=E37,"Meta cumplida",IF(D37&gt;=Parametros!$B$5,"Mínimo alcanzado","Insuficiente"))</f>
        <v>Meta cumplida</v>
      </c>
    </row>
    <row r="38" customFormat="false" ht="15" hidden="false" customHeight="true" outlineLevel="0" collapsed="false">
      <c r="A38" s="21" t="s">
        <v>264</v>
      </c>
      <c r="B38" s="21" t="s">
        <v>538</v>
      </c>
      <c r="C38" s="8" t="n">
        <f aca="false">COUNTIF(Situaciones!$C$4:$C$59,A38)</f>
        <v>1</v>
      </c>
      <c r="D38" s="8" t="n">
        <f aca="false">SUMIF(Situaciones!$C$4:$C$59,A38,Situaciones!$F$4:$F$59)</f>
        <v>5</v>
      </c>
      <c r="E38" s="8" t="n">
        <f aca="false">Parametros!$B$4</f>
        <v>4</v>
      </c>
      <c r="F38" s="9" t="n">
        <f aca="false">MAX(0,E38-D38)</f>
        <v>0</v>
      </c>
      <c r="G38" s="22" t="str">
        <f aca="false">IF(D38&gt;=E38,"Meta cumplida",IF(D38&gt;=Parametros!$B$5,"Mínimo alcanzado","Insuficiente"))</f>
        <v>Meta cumplida</v>
      </c>
    </row>
    <row r="39" customFormat="false" ht="15" hidden="false" customHeight="true" outlineLevel="0" collapsed="false">
      <c r="A39" s="21" t="s">
        <v>91</v>
      </c>
      <c r="B39" s="21" t="s">
        <v>538</v>
      </c>
      <c r="C39" s="8" t="n">
        <f aca="false">COUNTIF(Situaciones!$C$4:$C$59,A39)</f>
        <v>1</v>
      </c>
      <c r="D39" s="8" t="n">
        <f aca="false">SUMIF(Situaciones!$C$4:$C$59,A39,Situaciones!$F$4:$F$59)</f>
        <v>5</v>
      </c>
      <c r="E39" s="8" t="n">
        <f aca="false">Parametros!$B$4</f>
        <v>4</v>
      </c>
      <c r="F39" s="9" t="n">
        <f aca="false">MAX(0,E39-D39)</f>
        <v>0</v>
      </c>
      <c r="G39" s="22" t="str">
        <f aca="false">IF(D39&gt;=E39,"Meta cumplida",IF(D39&gt;=Parametros!$B$5,"Mínimo alcanzado","Insuficiente"))</f>
        <v>Meta cumplida</v>
      </c>
    </row>
    <row r="40" customFormat="false" ht="15" hidden="false" customHeight="true" outlineLevel="0" collapsed="false">
      <c r="A40" s="21" t="s">
        <v>138</v>
      </c>
      <c r="B40" s="21" t="s">
        <v>538</v>
      </c>
      <c r="C40" s="8" t="n">
        <f aca="false">COUNTIF(Situaciones!$C$4:$C$59,A40)</f>
        <v>1</v>
      </c>
      <c r="D40" s="8" t="n">
        <f aca="false">SUMIF(Situaciones!$C$4:$C$59,A40,Situaciones!$F$4:$F$59)</f>
        <v>5</v>
      </c>
      <c r="E40" s="8" t="n">
        <f aca="false">Parametros!$B$4</f>
        <v>4</v>
      </c>
      <c r="F40" s="9" t="n">
        <f aca="false">MAX(0,E40-D40)</f>
        <v>0</v>
      </c>
      <c r="G40" s="22" t="str">
        <f aca="false">IF(D40&gt;=E40,"Meta cumplida",IF(D40&gt;=Parametros!$B$5,"Mínimo alcanzado","Insuficiente"))</f>
        <v>Meta cumplida</v>
      </c>
    </row>
    <row r="41" customFormat="false" ht="15" hidden="false" customHeight="true" outlineLevel="0" collapsed="false">
      <c r="A41" s="21" t="s">
        <v>180</v>
      </c>
      <c r="B41" s="21" t="s">
        <v>538</v>
      </c>
      <c r="C41" s="8" t="n">
        <f aca="false">COUNTIF(Situaciones!$C$4:$C$59,A41)</f>
        <v>1</v>
      </c>
      <c r="D41" s="8" t="n">
        <f aca="false">SUMIF(Situaciones!$C$4:$C$59,A41,Situaciones!$F$4:$F$59)</f>
        <v>5</v>
      </c>
      <c r="E41" s="8" t="n">
        <f aca="false">Parametros!$B$4</f>
        <v>4</v>
      </c>
      <c r="F41" s="9" t="n">
        <f aca="false">MAX(0,E41-D41)</f>
        <v>0</v>
      </c>
      <c r="G41" s="22" t="str">
        <f aca="false">IF(D41&gt;=E41,"Meta cumplida",IF(D41&gt;=Parametros!$B$5,"Mínimo alcanzado","Insuficiente"))</f>
        <v>Meta cumplida</v>
      </c>
    </row>
    <row r="42" customFormat="false" ht="15" hidden="false" customHeight="true" outlineLevel="0" collapsed="false">
      <c r="A42" s="21" t="s">
        <v>224</v>
      </c>
      <c r="B42" s="21" t="s">
        <v>539</v>
      </c>
      <c r="C42" s="8" t="n">
        <f aca="false">COUNTIF(Situaciones!$C$4:$C$59,A42)</f>
        <v>1</v>
      </c>
      <c r="D42" s="8" t="n">
        <f aca="false">SUMIF(Situaciones!$C$4:$C$59,A42,Situaciones!$F$4:$F$59)</f>
        <v>5</v>
      </c>
      <c r="E42" s="8" t="n">
        <f aca="false">Parametros!$B$4</f>
        <v>4</v>
      </c>
      <c r="F42" s="9" t="n">
        <f aca="false">MAX(0,E42-D42)</f>
        <v>0</v>
      </c>
      <c r="G42" s="22" t="str">
        <f aca="false">IF(D42&gt;=E42,"Meta cumplida",IF(D42&gt;=Parametros!$B$5,"Mínimo alcanzado","Insuficiente"))</f>
        <v>Meta cumplida</v>
      </c>
    </row>
    <row r="43" customFormat="false" ht="15" hidden="false" customHeight="true" outlineLevel="0" collapsed="false">
      <c r="A43" s="21" t="s">
        <v>268</v>
      </c>
      <c r="B43" s="21" t="s">
        <v>539</v>
      </c>
      <c r="C43" s="8" t="n">
        <f aca="false">COUNTIF(Situaciones!$C$4:$C$59,A43)</f>
        <v>1</v>
      </c>
      <c r="D43" s="8" t="n">
        <f aca="false">SUMIF(Situaciones!$C$4:$C$59,A43,Situaciones!$F$4:$F$59)</f>
        <v>5</v>
      </c>
      <c r="E43" s="8" t="n">
        <f aca="false">Parametros!$B$4</f>
        <v>4</v>
      </c>
      <c r="F43" s="9" t="n">
        <f aca="false">MAX(0,E43-D43)</f>
        <v>0</v>
      </c>
      <c r="G43" s="22" t="str">
        <f aca="false">IF(D43&gt;=E43,"Meta cumplida",IF(D43&gt;=Parametros!$B$5,"Mínimo alcanzado","Insuficiente"))</f>
        <v>Meta cumplida</v>
      </c>
    </row>
    <row r="44" customFormat="false" ht="15" hidden="false" customHeight="true" outlineLevel="0" collapsed="false">
      <c r="A44" s="21" t="s">
        <v>95</v>
      </c>
      <c r="B44" s="21" t="s">
        <v>539</v>
      </c>
      <c r="C44" s="8" t="n">
        <f aca="false">COUNTIF(Situaciones!$C$4:$C$59,A44)</f>
        <v>1</v>
      </c>
      <c r="D44" s="8" t="n">
        <f aca="false">SUMIF(Situaciones!$C$4:$C$59,A44,Situaciones!$F$4:$F$59)</f>
        <v>5</v>
      </c>
      <c r="E44" s="8" t="n">
        <f aca="false">Parametros!$B$4</f>
        <v>4</v>
      </c>
      <c r="F44" s="9" t="n">
        <f aca="false">MAX(0,E44-D44)</f>
        <v>0</v>
      </c>
      <c r="G44" s="22" t="str">
        <f aca="false">IF(D44&gt;=E44,"Meta cumplida",IF(D44&gt;=Parametros!$B$5,"Mínimo alcanzado","Insuficiente"))</f>
        <v>Meta cumplida</v>
      </c>
    </row>
    <row r="45" customFormat="false" ht="15" hidden="false" customHeight="true" outlineLevel="0" collapsed="false">
      <c r="A45" s="21" t="s">
        <v>142</v>
      </c>
      <c r="B45" s="21" t="s">
        <v>539</v>
      </c>
      <c r="C45" s="8" t="n">
        <f aca="false">COUNTIF(Situaciones!$C$4:$C$59,A45)</f>
        <v>1</v>
      </c>
      <c r="D45" s="8" t="n">
        <f aca="false">SUMIF(Situaciones!$C$4:$C$59,A45,Situaciones!$F$4:$F$59)</f>
        <v>5</v>
      </c>
      <c r="E45" s="8" t="n">
        <f aca="false">Parametros!$B$4</f>
        <v>4</v>
      </c>
      <c r="F45" s="9" t="n">
        <f aca="false">MAX(0,E45-D45)</f>
        <v>0</v>
      </c>
      <c r="G45" s="22" t="str">
        <f aca="false">IF(D45&gt;=E45,"Meta cumplida",IF(D45&gt;=Parametros!$B$5,"Mínimo alcanzado","Insuficiente"))</f>
        <v>Meta cumplida</v>
      </c>
    </row>
    <row r="46" customFormat="false" ht="15" hidden="false" customHeight="true" outlineLevel="0" collapsed="false">
      <c r="A46" s="21" t="s">
        <v>184</v>
      </c>
      <c r="B46" s="21" t="s">
        <v>539</v>
      </c>
      <c r="C46" s="8" t="n">
        <f aca="false">COUNTIF(Situaciones!$C$4:$C$59,A46)</f>
        <v>1</v>
      </c>
      <c r="D46" s="8" t="n">
        <f aca="false">SUMIF(Situaciones!$C$4:$C$59,A46,Situaciones!$F$4:$F$59)</f>
        <v>5</v>
      </c>
      <c r="E46" s="8" t="n">
        <f aca="false">Parametros!$B$4</f>
        <v>4</v>
      </c>
      <c r="F46" s="9" t="n">
        <f aca="false">MAX(0,E46-D46)</f>
        <v>0</v>
      </c>
      <c r="G46" s="22" t="str">
        <f aca="false">IF(D46&gt;=E46,"Meta cumplida",IF(D46&gt;=Parametros!$B$5,"Mínimo alcanzado","Insuficiente"))</f>
        <v>Meta cumplida</v>
      </c>
    </row>
    <row r="47" customFormat="false" ht="15" hidden="false" customHeight="true" outlineLevel="0" collapsed="false">
      <c r="A47" s="21" t="s">
        <v>228</v>
      </c>
      <c r="B47" s="21" t="s">
        <v>539</v>
      </c>
      <c r="C47" s="8" t="n">
        <f aca="false">COUNTIF(Situaciones!$C$4:$C$59,A47)</f>
        <v>1</v>
      </c>
      <c r="D47" s="8" t="n">
        <f aca="false">SUMIF(Situaciones!$C$4:$C$59,A47,Situaciones!$F$4:$F$59)</f>
        <v>5</v>
      </c>
      <c r="E47" s="8" t="n">
        <f aca="false">Parametros!$B$4</f>
        <v>4</v>
      </c>
      <c r="F47" s="9" t="n">
        <f aca="false">MAX(0,E47-D47)</f>
        <v>0</v>
      </c>
      <c r="G47" s="22" t="str">
        <f aca="false">IF(D47&gt;=E47,"Meta cumplida",IF(D47&gt;=Parametros!$B$5,"Mínimo alcanzado","Insuficiente"))</f>
        <v>Meta cumplida</v>
      </c>
    </row>
    <row r="48" customFormat="false" ht="15" hidden="false" customHeight="true" outlineLevel="0" collapsed="false">
      <c r="A48" s="21" t="s">
        <v>272</v>
      </c>
      <c r="B48" s="21" t="s">
        <v>540</v>
      </c>
      <c r="C48" s="8" t="n">
        <f aca="false">COUNTIF(Situaciones!$C$4:$C$59,A48)</f>
        <v>1</v>
      </c>
      <c r="D48" s="8" t="n">
        <f aca="false">SUMIF(Situaciones!$C$4:$C$59,A48,Situaciones!$F$4:$F$59)</f>
        <v>5</v>
      </c>
      <c r="E48" s="8" t="n">
        <f aca="false">Parametros!$B$4</f>
        <v>4</v>
      </c>
      <c r="F48" s="9" t="n">
        <f aca="false">MAX(0,E48-D48)</f>
        <v>0</v>
      </c>
      <c r="G48" s="22" t="str">
        <f aca="false">IF(D48&gt;=E48,"Meta cumplida",IF(D48&gt;=Parametros!$B$5,"Mínimo alcanzado","Insuficiente"))</f>
        <v>Meta cumplida</v>
      </c>
    </row>
    <row r="49" customFormat="false" ht="15" hidden="false" customHeight="true" outlineLevel="0" collapsed="false">
      <c r="A49" s="21" t="s">
        <v>99</v>
      </c>
      <c r="B49" s="21" t="s">
        <v>540</v>
      </c>
      <c r="C49" s="8" t="n">
        <f aca="false">COUNTIF(Situaciones!$C$4:$C$59,A49)</f>
        <v>1</v>
      </c>
      <c r="D49" s="8" t="n">
        <f aca="false">SUMIF(Situaciones!$C$4:$C$59,A49,Situaciones!$F$4:$F$59)</f>
        <v>5</v>
      </c>
      <c r="E49" s="8" t="n">
        <f aca="false">Parametros!$B$4</f>
        <v>4</v>
      </c>
      <c r="F49" s="9" t="n">
        <f aca="false">MAX(0,E49-D49)</f>
        <v>0</v>
      </c>
      <c r="G49" s="22" t="str">
        <f aca="false">IF(D49&gt;=E49,"Meta cumplida",IF(D49&gt;=Parametros!$B$5,"Mínimo alcanzado","Insuficiente"))</f>
        <v>Meta cumplida</v>
      </c>
    </row>
    <row r="50" customFormat="false" ht="15" hidden="false" customHeight="true" outlineLevel="0" collapsed="false">
      <c r="A50" s="21" t="s">
        <v>146</v>
      </c>
      <c r="B50" s="21" t="s">
        <v>540</v>
      </c>
      <c r="C50" s="8" t="n">
        <f aca="false">COUNTIF(Situaciones!$C$4:$C$59,A50)</f>
        <v>1</v>
      </c>
      <c r="D50" s="8" t="n">
        <f aca="false">SUMIF(Situaciones!$C$4:$C$59,A50,Situaciones!$F$4:$F$59)</f>
        <v>5</v>
      </c>
      <c r="E50" s="8" t="n">
        <f aca="false">Parametros!$B$4</f>
        <v>4</v>
      </c>
      <c r="F50" s="9" t="n">
        <f aca="false">MAX(0,E50-D50)</f>
        <v>0</v>
      </c>
      <c r="G50" s="22" t="str">
        <f aca="false">IF(D50&gt;=E50,"Meta cumplida",IF(D50&gt;=Parametros!$B$5,"Mínimo alcanzado","Insuficiente"))</f>
        <v>Meta cumplida</v>
      </c>
    </row>
    <row r="51" customFormat="false" ht="15" hidden="false" customHeight="true" outlineLevel="0" collapsed="false">
      <c r="A51" s="21" t="s">
        <v>188</v>
      </c>
      <c r="B51" s="21" t="s">
        <v>540</v>
      </c>
      <c r="C51" s="8" t="n">
        <f aca="false">COUNTIF(Situaciones!$C$4:$C$59,A51)</f>
        <v>1</v>
      </c>
      <c r="D51" s="8" t="n">
        <f aca="false">SUMIF(Situaciones!$C$4:$C$59,A51,Situaciones!$F$4:$F$59)</f>
        <v>5</v>
      </c>
      <c r="E51" s="8" t="n">
        <f aca="false">Parametros!$B$4</f>
        <v>4</v>
      </c>
      <c r="F51" s="9" t="n">
        <f aca="false">MAX(0,E51-D51)</f>
        <v>0</v>
      </c>
      <c r="G51" s="22" t="str">
        <f aca="false">IF(D51&gt;=E51,"Meta cumplida",IF(D51&gt;=Parametros!$B$5,"Mínimo alcanzado","Insuficiente"))</f>
        <v>Meta cumplida</v>
      </c>
    </row>
    <row r="52" customFormat="false" ht="15" hidden="false" customHeight="true" outlineLevel="0" collapsed="false">
      <c r="A52" s="21" t="s">
        <v>232</v>
      </c>
      <c r="B52" s="21" t="s">
        <v>540</v>
      </c>
      <c r="C52" s="8" t="n">
        <f aca="false">COUNTIF(Situaciones!$C$4:$C$59,A52)</f>
        <v>1</v>
      </c>
      <c r="D52" s="8" t="n">
        <f aca="false">SUMIF(Situaciones!$C$4:$C$59,A52,Situaciones!$F$4:$F$59)</f>
        <v>5</v>
      </c>
      <c r="E52" s="8" t="n">
        <f aca="false">Parametros!$B$4</f>
        <v>4</v>
      </c>
      <c r="F52" s="9" t="n">
        <f aca="false">MAX(0,E52-D52)</f>
        <v>0</v>
      </c>
      <c r="G52" s="22" t="str">
        <f aca="false">IF(D52&gt;=E52,"Meta cumplida",IF(D52&gt;=Parametros!$B$5,"Mínimo alcanzado","Insuficiente"))</f>
        <v>Meta cumplida</v>
      </c>
    </row>
    <row r="53" customFormat="false" ht="15" hidden="false" customHeight="true" outlineLevel="0" collapsed="false">
      <c r="A53" s="21" t="s">
        <v>103</v>
      </c>
      <c r="B53" s="21" t="s">
        <v>540</v>
      </c>
      <c r="C53" s="8" t="n">
        <f aca="false">COUNTIF(Situaciones!$C$4:$C$59,A53)</f>
        <v>3</v>
      </c>
      <c r="D53" s="8" t="n">
        <f aca="false">SUMIF(Situaciones!$C$4:$C$59,A53,Situaciones!$F$4:$F$59)</f>
        <v>15</v>
      </c>
      <c r="E53" s="8" t="n">
        <f aca="false">Parametros!$B$4</f>
        <v>4</v>
      </c>
      <c r="F53" s="9" t="n">
        <f aca="false">MAX(0,E53-D53)</f>
        <v>0</v>
      </c>
      <c r="G53" s="22" t="str">
        <f aca="false">IF(D53&gt;=E53,"Meta cumplida",IF(D53&gt;=Parametros!$B$5,"Mínimo alcanzado","Insuficiente"))</f>
        <v>Meta cumplida</v>
      </c>
    </row>
    <row r="54" customFormat="false" ht="15" hidden="false" customHeight="true" outlineLevel="0" collapsed="false">
      <c r="A54" s="21" t="s">
        <v>192</v>
      </c>
      <c r="B54" s="21" t="s">
        <v>540</v>
      </c>
      <c r="C54" s="8" t="n">
        <f aca="false">COUNTIF(Situaciones!$C$4:$C$59,A54)</f>
        <v>1</v>
      </c>
      <c r="D54" s="8" t="n">
        <f aca="false">SUMIF(Situaciones!$C$4:$C$59,A54,Situaciones!$F$4:$F$59)</f>
        <v>5</v>
      </c>
      <c r="E54" s="8" t="n">
        <f aca="false">Parametros!$B$4</f>
        <v>4</v>
      </c>
      <c r="F54" s="9" t="n">
        <f aca="false">MAX(0,E54-D54)</f>
        <v>0</v>
      </c>
      <c r="G54" s="22" t="str">
        <f aca="false">IF(D54&gt;=E54,"Meta cumplida",IF(D54&gt;=Parametros!$B$5,"Mínimo alcanzado","Insuficiente"))</f>
        <v>Meta cumplida</v>
      </c>
    </row>
    <row r="55" customFormat="false" ht="15" hidden="false" customHeight="true" outlineLevel="0" collapsed="false">
      <c r="A55" s="21" t="s">
        <v>236</v>
      </c>
      <c r="B55" s="21" t="s">
        <v>540</v>
      </c>
      <c r="C55" s="8" t="n">
        <f aca="false">COUNTIF(Situaciones!$C$4:$C$59,A55)</f>
        <v>1</v>
      </c>
      <c r="D55" s="8" t="n">
        <f aca="false">SUMIF(Situaciones!$C$4:$C$59,A55,Situaciones!$F$4:$F$59)</f>
        <v>5</v>
      </c>
      <c r="E55" s="8" t="n">
        <f aca="false">Parametros!$B$4</f>
        <v>4</v>
      </c>
      <c r="F55" s="9" t="n">
        <f aca="false">MAX(0,E55-D55)</f>
        <v>0</v>
      </c>
      <c r="G55" s="22" t="str">
        <f aca="false">IF(D55&gt;=E55,"Meta cumplida",IF(D55&gt;=Parametros!$B$5,"Mínimo alcanzado","Insuficiente"))</f>
        <v>Meta cumplida</v>
      </c>
    </row>
    <row r="56" customFormat="false" ht="15" hidden="false" customHeight="true" outlineLevel="0" collapsed="false">
      <c r="A56" s="21" t="s">
        <v>279</v>
      </c>
      <c r="B56" s="21" t="s">
        <v>540</v>
      </c>
      <c r="C56" s="8" t="n">
        <f aca="false">COUNTIF(Situaciones!$C$4:$C$59,A56)</f>
        <v>1</v>
      </c>
      <c r="D56" s="8" t="n">
        <f aca="false">SUMIF(Situaciones!$C$4:$C$59,A56,Situaciones!$F$4:$F$59)</f>
        <v>5</v>
      </c>
      <c r="E56" s="8" t="n">
        <f aca="false">Parametros!$B$4</f>
        <v>4</v>
      </c>
      <c r="F56" s="9" t="n">
        <f aca="false">MAX(0,E56-D56)</f>
        <v>0</v>
      </c>
      <c r="G56" s="22" t="str">
        <f aca="false">IF(D56&gt;=E56,"Meta cumplida",IF(D56&gt;=Parametros!$B$5,"Mínimo alcanzado","Insuficiente"))</f>
        <v>Meta cumplida</v>
      </c>
    </row>
    <row r="57" customFormat="false" ht="15" hidden="false" customHeight="true" outlineLevel="0" collapsed="false">
      <c r="A57" s="21" t="s">
        <v>107</v>
      </c>
      <c r="B57" s="21" t="s">
        <v>540</v>
      </c>
      <c r="C57" s="8" t="n">
        <f aca="false">COUNTIF(Situaciones!$C$4:$C$59,A57)</f>
        <v>1</v>
      </c>
      <c r="D57" s="8" t="n">
        <f aca="false">SUMIF(Situaciones!$C$4:$C$59,A57,Situaciones!$F$4:$F$59)</f>
        <v>5</v>
      </c>
      <c r="E57" s="8" t="n">
        <f aca="false">Parametros!$B$4</f>
        <v>4</v>
      </c>
      <c r="F57" s="9" t="n">
        <f aca="false">MAX(0,E57-D57)</f>
        <v>0</v>
      </c>
      <c r="G57" s="22" t="str">
        <f aca="false">IF(D57&gt;=E57,"Meta cumplida",IF(D57&gt;=Parametros!$B$5,"Mínimo alcanzado","Insuficiente"))</f>
        <v>Meta cumplida</v>
      </c>
    </row>
  </sheetData>
  <mergeCells count="1">
    <mergeCell ref="A2:G2"/>
  </mergeCells>
  <conditionalFormatting sqref="G4:G57">
    <cfRule type="cellIs" priority="2" operator="equal" aboveAverage="0" equalAverage="0" bottom="0" percent="0" rank="0" text="" dxfId="0">
      <formula>"Meta cumplida"</formula>
    </cfRule>
    <cfRule type="cellIs" priority="3" operator="equal" aboveAverage="0" equalAverage="0" bottom="0" percent="0" rank="0" text="" dxfId="1">
      <formula>"Mínimo alcanzado"</formula>
    </cfRule>
    <cfRule type="cellIs" priority="4" operator="equal" aboveAverage="0" equalAverage="0" bottom="0" percent="0" rank="0" text="" dxfId="2">
      <formula>"Insuficiente"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7"/>
    <col collapsed="false" customWidth="true" hidden="false" outlineLevel="0" max="3" min="3" style="1" width="30"/>
    <col collapsed="false" customWidth="true" hidden="false" outlineLevel="0" max="4" min="4" style="1" width="32"/>
    <col collapsed="false" customWidth="true" hidden="false" outlineLevel="0" max="5" min="5" style="1" width="80"/>
    <col collapsed="false" customWidth="true" hidden="false" outlineLevel="0" max="7" min="6" style="1" width="12"/>
    <col collapsed="false" customWidth="true" hidden="false" outlineLevel="0" max="8" min="8" style="1" width="11"/>
  </cols>
  <sheetData>
    <row r="1" customFormat="false" ht="17.25" hidden="false" customHeight="true" outlineLevel="0" collapsed="false">
      <c r="A1" s="2" t="s">
        <v>541</v>
      </c>
    </row>
    <row r="2" customFormat="false" ht="30" hidden="false" customHeight="true" outlineLevel="0" collapsed="false">
      <c r="A2" s="3" t="s">
        <v>542</v>
      </c>
      <c r="B2" s="3"/>
      <c r="C2" s="3"/>
      <c r="D2" s="3"/>
      <c r="E2" s="3"/>
      <c r="F2" s="3"/>
      <c r="G2" s="3"/>
      <c r="H2" s="3"/>
    </row>
    <row r="3" customFormat="false" ht="33.75" hidden="false" customHeight="true" outlineLevel="0" collapsed="false">
      <c r="A3" s="4" t="s">
        <v>55</v>
      </c>
      <c r="B3" s="4" t="s">
        <v>3</v>
      </c>
      <c r="C3" s="4" t="s">
        <v>543</v>
      </c>
      <c r="D3" s="4" t="s">
        <v>528</v>
      </c>
      <c r="E3" s="4" t="s">
        <v>544</v>
      </c>
      <c r="F3" s="4" t="s">
        <v>11</v>
      </c>
      <c r="G3" s="4" t="s">
        <v>545</v>
      </c>
      <c r="H3" s="4" t="s">
        <v>502</v>
      </c>
    </row>
    <row r="4" customFormat="false" ht="23.25" hidden="false" customHeight="true" outlineLevel="0" collapsed="false">
      <c r="A4" s="23" t="s">
        <v>60</v>
      </c>
      <c r="B4" s="23" t="s">
        <v>16</v>
      </c>
      <c r="C4" s="21" t="s">
        <v>63</v>
      </c>
      <c r="D4" s="21" t="s">
        <v>532</v>
      </c>
      <c r="E4" s="21" t="s">
        <v>62</v>
      </c>
      <c r="F4" s="8" t="n">
        <f aca="false">SUMPRODUCT((Respuestas!$C$4:$C$283=A4)*(LEN(TRIM(Respuestas!$D$4:$D$283))&gt;0))</f>
        <v>5</v>
      </c>
      <c r="G4" s="8" t="n">
        <f aca="false">COUNTIF(Respuestas!$C$4:$C$283,A4)</f>
        <v>5</v>
      </c>
      <c r="H4" s="9" t="n">
        <f aca="false">G4-F4</f>
        <v>0</v>
      </c>
    </row>
    <row r="5" customFormat="false" ht="23.25" hidden="false" customHeight="true" outlineLevel="0" collapsed="false">
      <c r="A5" s="23" t="s">
        <v>108</v>
      </c>
      <c r="B5" s="23" t="s">
        <v>22</v>
      </c>
      <c r="C5" s="21" t="s">
        <v>111</v>
      </c>
      <c r="D5" s="21" t="s">
        <v>532</v>
      </c>
      <c r="E5" s="21" t="s">
        <v>110</v>
      </c>
      <c r="F5" s="8" t="n">
        <f aca="false">SUMPRODUCT((Respuestas!$C$4:$C$283=A5)*(LEN(TRIM(Respuestas!$D$4:$D$283))&gt;0))</f>
        <v>5</v>
      </c>
      <c r="G5" s="8" t="n">
        <f aca="false">COUNTIF(Respuestas!$C$4:$C$283,A5)</f>
        <v>5</v>
      </c>
      <c r="H5" s="9" t="n">
        <f aca="false">G5-F5</f>
        <v>0</v>
      </c>
    </row>
    <row r="6" customFormat="false" ht="23.25" hidden="false" customHeight="true" outlineLevel="0" collapsed="false">
      <c r="A6" s="23" t="s">
        <v>150</v>
      </c>
      <c r="B6" s="23" t="s">
        <v>25</v>
      </c>
      <c r="C6" s="21" t="s">
        <v>153</v>
      </c>
      <c r="D6" s="21" t="s">
        <v>532</v>
      </c>
      <c r="E6" s="21" t="s">
        <v>152</v>
      </c>
      <c r="F6" s="8" t="n">
        <f aca="false">SUMPRODUCT((Respuestas!$C$4:$C$283=A6)*(LEN(TRIM(Respuestas!$D$4:$D$283))&gt;0))</f>
        <v>5</v>
      </c>
      <c r="G6" s="8" t="n">
        <f aca="false">COUNTIF(Respuestas!$C$4:$C$283,A6)</f>
        <v>5</v>
      </c>
      <c r="H6" s="9" t="n">
        <f aca="false">G6-F6</f>
        <v>0</v>
      </c>
    </row>
    <row r="7" customFormat="false" ht="23.25" hidden="false" customHeight="true" outlineLevel="0" collapsed="false">
      <c r="A7" s="23" t="s">
        <v>193</v>
      </c>
      <c r="B7" s="23" t="s">
        <v>27</v>
      </c>
      <c r="C7" s="21" t="s">
        <v>196</v>
      </c>
      <c r="D7" s="21" t="s">
        <v>532</v>
      </c>
      <c r="E7" s="21" t="s">
        <v>195</v>
      </c>
      <c r="F7" s="8" t="n">
        <f aca="false">SUMPRODUCT((Respuestas!$C$4:$C$283=A7)*(LEN(TRIM(Respuestas!$D$4:$D$283))&gt;0))</f>
        <v>5</v>
      </c>
      <c r="G7" s="8" t="n">
        <f aca="false">COUNTIF(Respuestas!$C$4:$C$283,A7)</f>
        <v>5</v>
      </c>
      <c r="H7" s="9" t="n">
        <f aca="false">G7-F7</f>
        <v>0</v>
      </c>
    </row>
    <row r="8" customFormat="false" ht="15" hidden="false" customHeight="true" outlineLevel="0" collapsed="false">
      <c r="A8" s="23" t="s">
        <v>237</v>
      </c>
      <c r="B8" s="23" t="s">
        <v>30</v>
      </c>
      <c r="C8" s="21" t="s">
        <v>240</v>
      </c>
      <c r="D8" s="21" t="s">
        <v>532</v>
      </c>
      <c r="E8" s="21" t="s">
        <v>239</v>
      </c>
      <c r="F8" s="8" t="n">
        <f aca="false">SUMPRODUCT((Respuestas!$C$4:$C$283=A8)*(LEN(TRIM(Respuestas!$D$4:$D$283))&gt;0))</f>
        <v>4</v>
      </c>
      <c r="G8" s="8" t="n">
        <f aca="false">COUNTIF(Respuestas!$C$4:$C$283,A8)</f>
        <v>5</v>
      </c>
      <c r="H8" s="9" t="n">
        <f aca="false">G8-F8</f>
        <v>1</v>
      </c>
    </row>
    <row r="9" customFormat="false" ht="23.25" hidden="false" customHeight="true" outlineLevel="0" collapsed="false">
      <c r="A9" s="23" t="s">
        <v>64</v>
      </c>
      <c r="B9" s="23" t="s">
        <v>16</v>
      </c>
      <c r="C9" s="21" t="s">
        <v>67</v>
      </c>
      <c r="D9" s="21" t="s">
        <v>532</v>
      </c>
      <c r="E9" s="21" t="s">
        <v>66</v>
      </c>
      <c r="F9" s="8" t="n">
        <f aca="false">SUMPRODUCT((Respuestas!$C$4:$C$283=A9)*(LEN(TRIM(Respuestas!$D$4:$D$283))&gt;0))</f>
        <v>5</v>
      </c>
      <c r="G9" s="8" t="n">
        <f aca="false">COUNTIF(Respuestas!$C$4:$C$283,A9)</f>
        <v>5</v>
      </c>
      <c r="H9" s="9" t="n">
        <f aca="false">G9-F9</f>
        <v>0</v>
      </c>
    </row>
    <row r="10" customFormat="false" ht="15" hidden="false" customHeight="true" outlineLevel="0" collapsed="false">
      <c r="A10" s="23" t="s">
        <v>112</v>
      </c>
      <c r="B10" s="23" t="s">
        <v>22</v>
      </c>
      <c r="C10" s="21" t="s">
        <v>115</v>
      </c>
      <c r="D10" s="21" t="s">
        <v>533</v>
      </c>
      <c r="E10" s="21" t="s">
        <v>114</v>
      </c>
      <c r="F10" s="8" t="n">
        <f aca="false">SUMPRODUCT((Respuestas!$C$4:$C$283=A10)*(LEN(TRIM(Respuestas!$D$4:$D$283))&gt;0))</f>
        <v>5</v>
      </c>
      <c r="G10" s="8" t="n">
        <f aca="false">COUNTIF(Respuestas!$C$4:$C$283,A10)</f>
        <v>5</v>
      </c>
      <c r="H10" s="9" t="n">
        <f aca="false">G10-F10</f>
        <v>0</v>
      </c>
    </row>
    <row r="11" customFormat="false" ht="23.25" hidden="false" customHeight="true" outlineLevel="0" collapsed="false">
      <c r="A11" s="23" t="s">
        <v>154</v>
      </c>
      <c r="B11" s="23" t="s">
        <v>25</v>
      </c>
      <c r="C11" s="21" t="s">
        <v>157</v>
      </c>
      <c r="D11" s="21" t="s">
        <v>533</v>
      </c>
      <c r="E11" s="21" t="s">
        <v>156</v>
      </c>
      <c r="F11" s="8" t="n">
        <f aca="false">SUMPRODUCT((Respuestas!$C$4:$C$283=A11)*(LEN(TRIM(Respuestas!$D$4:$D$283))&gt;0))</f>
        <v>4</v>
      </c>
      <c r="G11" s="8" t="n">
        <f aca="false">COUNTIF(Respuestas!$C$4:$C$283,A11)</f>
        <v>5</v>
      </c>
      <c r="H11" s="9" t="n">
        <f aca="false">G11-F11</f>
        <v>1</v>
      </c>
    </row>
    <row r="12" customFormat="false" ht="23.25" hidden="false" customHeight="true" outlineLevel="0" collapsed="false">
      <c r="A12" s="23" t="s">
        <v>197</v>
      </c>
      <c r="B12" s="23" t="s">
        <v>27</v>
      </c>
      <c r="C12" s="21" t="s">
        <v>200</v>
      </c>
      <c r="D12" s="21" t="s">
        <v>533</v>
      </c>
      <c r="E12" s="21" t="s">
        <v>199</v>
      </c>
      <c r="F12" s="8" t="n">
        <f aca="false">SUMPRODUCT((Respuestas!$C$4:$C$283=A12)*(LEN(TRIM(Respuestas!$D$4:$D$283))&gt;0))</f>
        <v>5</v>
      </c>
      <c r="G12" s="8" t="n">
        <f aca="false">COUNTIF(Respuestas!$C$4:$C$283,A12)</f>
        <v>5</v>
      </c>
      <c r="H12" s="9" t="n">
        <f aca="false">G12-F12</f>
        <v>0</v>
      </c>
    </row>
    <row r="13" customFormat="false" ht="23.25" hidden="false" customHeight="true" outlineLevel="0" collapsed="false">
      <c r="A13" s="23" t="s">
        <v>241</v>
      </c>
      <c r="B13" s="23" t="s">
        <v>30</v>
      </c>
      <c r="C13" s="21" t="s">
        <v>244</v>
      </c>
      <c r="D13" s="21" t="s">
        <v>533</v>
      </c>
      <c r="E13" s="21" t="s">
        <v>243</v>
      </c>
      <c r="F13" s="8" t="n">
        <f aca="false">SUMPRODUCT((Respuestas!$C$4:$C$283=A13)*(LEN(TRIM(Respuestas!$D$4:$D$283))&gt;0))</f>
        <v>4</v>
      </c>
      <c r="G13" s="8" t="n">
        <f aca="false">COUNTIF(Respuestas!$C$4:$C$283,A13)</f>
        <v>5</v>
      </c>
      <c r="H13" s="9" t="n">
        <f aca="false">G13-F13</f>
        <v>1</v>
      </c>
    </row>
    <row r="14" customFormat="false" ht="23.25" hidden="false" customHeight="true" outlineLevel="0" collapsed="false">
      <c r="A14" s="23" t="s">
        <v>68</v>
      </c>
      <c r="B14" s="23" t="s">
        <v>16</v>
      </c>
      <c r="C14" s="21" t="s">
        <v>71</v>
      </c>
      <c r="D14" s="21" t="s">
        <v>533</v>
      </c>
      <c r="E14" s="21" t="s">
        <v>70</v>
      </c>
      <c r="F14" s="8" t="n">
        <f aca="false">SUMPRODUCT((Respuestas!$C$4:$C$283=A14)*(LEN(TRIM(Respuestas!$D$4:$D$283))&gt;0))</f>
        <v>4</v>
      </c>
      <c r="G14" s="8" t="n">
        <f aca="false">COUNTIF(Respuestas!$C$4:$C$283,A14)</f>
        <v>5</v>
      </c>
      <c r="H14" s="9" t="n">
        <f aca="false">G14-F14</f>
        <v>1</v>
      </c>
    </row>
    <row r="15" customFormat="false" ht="23.25" hidden="false" customHeight="true" outlineLevel="0" collapsed="false">
      <c r="A15" s="23" t="s">
        <v>116</v>
      </c>
      <c r="B15" s="23" t="s">
        <v>22</v>
      </c>
      <c r="C15" s="21" t="s">
        <v>119</v>
      </c>
      <c r="D15" s="21" t="s">
        <v>533</v>
      </c>
      <c r="E15" s="21" t="s">
        <v>118</v>
      </c>
      <c r="F15" s="8" t="n">
        <f aca="false">SUMPRODUCT((Respuestas!$C$4:$C$283=A15)*(LEN(TRIM(Respuestas!$D$4:$D$283))&gt;0))</f>
        <v>5</v>
      </c>
      <c r="G15" s="8" t="n">
        <f aca="false">COUNTIF(Respuestas!$C$4:$C$283,A15)</f>
        <v>5</v>
      </c>
      <c r="H15" s="9" t="n">
        <f aca="false">G15-F15</f>
        <v>0</v>
      </c>
    </row>
    <row r="16" customFormat="false" ht="15" hidden="false" customHeight="true" outlineLevel="0" collapsed="false">
      <c r="A16" s="23" t="s">
        <v>158</v>
      </c>
      <c r="B16" s="23" t="s">
        <v>25</v>
      </c>
      <c r="C16" s="21" t="s">
        <v>161</v>
      </c>
      <c r="D16" s="21" t="s">
        <v>534</v>
      </c>
      <c r="E16" s="21" t="s">
        <v>160</v>
      </c>
      <c r="F16" s="8" t="n">
        <f aca="false">SUMPRODUCT((Respuestas!$C$4:$C$283=A16)*(LEN(TRIM(Respuestas!$D$4:$D$283))&gt;0))</f>
        <v>5</v>
      </c>
      <c r="G16" s="8" t="n">
        <f aca="false">COUNTIF(Respuestas!$C$4:$C$283,A16)</f>
        <v>5</v>
      </c>
      <c r="H16" s="9" t="n">
        <f aca="false">G16-F16</f>
        <v>0</v>
      </c>
    </row>
    <row r="17" customFormat="false" ht="15" hidden="false" customHeight="true" outlineLevel="0" collapsed="false">
      <c r="A17" s="23" t="s">
        <v>201</v>
      </c>
      <c r="B17" s="23" t="s">
        <v>27</v>
      </c>
      <c r="C17" s="21" t="s">
        <v>204</v>
      </c>
      <c r="D17" s="21" t="s">
        <v>534</v>
      </c>
      <c r="E17" s="21" t="s">
        <v>203</v>
      </c>
      <c r="F17" s="8" t="n">
        <f aca="false">SUMPRODUCT((Respuestas!$C$4:$C$283=A17)*(LEN(TRIM(Respuestas!$D$4:$D$283))&gt;0))</f>
        <v>5</v>
      </c>
      <c r="G17" s="8" t="n">
        <f aca="false">COUNTIF(Respuestas!$C$4:$C$283,A17)</f>
        <v>5</v>
      </c>
      <c r="H17" s="9" t="n">
        <f aca="false">G17-F17</f>
        <v>0</v>
      </c>
    </row>
    <row r="18" customFormat="false" ht="23.25" hidden="false" customHeight="true" outlineLevel="0" collapsed="false">
      <c r="A18" s="23" t="s">
        <v>245</v>
      </c>
      <c r="B18" s="23" t="s">
        <v>30</v>
      </c>
      <c r="C18" s="21" t="s">
        <v>248</v>
      </c>
      <c r="D18" s="21" t="s">
        <v>534</v>
      </c>
      <c r="E18" s="21" t="s">
        <v>247</v>
      </c>
      <c r="F18" s="8" t="n">
        <f aca="false">SUMPRODUCT((Respuestas!$C$4:$C$283=A18)*(LEN(TRIM(Respuestas!$D$4:$D$283))&gt;0))</f>
        <v>5</v>
      </c>
      <c r="G18" s="8" t="n">
        <f aca="false">COUNTIF(Respuestas!$C$4:$C$283,A18)</f>
        <v>5</v>
      </c>
      <c r="H18" s="9" t="n">
        <f aca="false">G18-F18</f>
        <v>0</v>
      </c>
    </row>
    <row r="19" customFormat="false" ht="15" hidden="false" customHeight="true" outlineLevel="0" collapsed="false">
      <c r="A19" s="23" t="s">
        <v>72</v>
      </c>
      <c r="B19" s="23" t="s">
        <v>16</v>
      </c>
      <c r="C19" s="21" t="s">
        <v>75</v>
      </c>
      <c r="D19" s="21" t="s">
        <v>534</v>
      </c>
      <c r="E19" s="21" t="s">
        <v>74</v>
      </c>
      <c r="F19" s="8" t="n">
        <f aca="false">SUMPRODUCT((Respuestas!$C$4:$C$283=A19)*(LEN(TRIM(Respuestas!$D$4:$D$283))&gt;0))</f>
        <v>5</v>
      </c>
      <c r="G19" s="8" t="n">
        <f aca="false">COUNTIF(Respuestas!$C$4:$C$283,A19)</f>
        <v>5</v>
      </c>
      <c r="H19" s="9" t="n">
        <f aca="false">G19-F19</f>
        <v>0</v>
      </c>
    </row>
    <row r="20" customFormat="false" ht="23.25" hidden="false" customHeight="true" outlineLevel="0" collapsed="false">
      <c r="A20" s="23" t="s">
        <v>120</v>
      </c>
      <c r="B20" s="23" t="s">
        <v>22</v>
      </c>
      <c r="C20" s="21" t="s">
        <v>123</v>
      </c>
      <c r="D20" s="21" t="s">
        <v>534</v>
      </c>
      <c r="E20" s="21" t="s">
        <v>122</v>
      </c>
      <c r="F20" s="8" t="n">
        <f aca="false">SUMPRODUCT((Respuestas!$C$4:$C$283=A20)*(LEN(TRIM(Respuestas!$D$4:$D$283))&gt;0))</f>
        <v>5</v>
      </c>
      <c r="G20" s="8" t="n">
        <f aca="false">COUNTIF(Respuestas!$C$4:$C$283,A20)</f>
        <v>5</v>
      </c>
      <c r="H20" s="9" t="n">
        <f aca="false">G20-F20</f>
        <v>0</v>
      </c>
    </row>
    <row r="21" customFormat="false" ht="23.25" hidden="false" customHeight="true" outlineLevel="0" collapsed="false">
      <c r="A21" s="23" t="s">
        <v>162</v>
      </c>
      <c r="B21" s="23" t="s">
        <v>25</v>
      </c>
      <c r="C21" s="21" t="s">
        <v>165</v>
      </c>
      <c r="D21" s="21" t="s">
        <v>534</v>
      </c>
      <c r="E21" s="21" t="s">
        <v>164</v>
      </c>
      <c r="F21" s="8" t="n">
        <f aca="false">SUMPRODUCT((Respuestas!$C$4:$C$283=A21)*(LEN(TRIM(Respuestas!$D$4:$D$283))&gt;0))</f>
        <v>5</v>
      </c>
      <c r="G21" s="8" t="n">
        <f aca="false">COUNTIF(Respuestas!$C$4:$C$283,A21)</f>
        <v>5</v>
      </c>
      <c r="H21" s="9" t="n">
        <f aca="false">G21-F21</f>
        <v>0</v>
      </c>
    </row>
    <row r="22" customFormat="false" ht="23.25" hidden="false" customHeight="true" outlineLevel="0" collapsed="false">
      <c r="A22" s="23" t="s">
        <v>205</v>
      </c>
      <c r="B22" s="23" t="s">
        <v>27</v>
      </c>
      <c r="C22" s="21" t="s">
        <v>208</v>
      </c>
      <c r="D22" s="21" t="s">
        <v>535</v>
      </c>
      <c r="E22" s="21" t="s">
        <v>207</v>
      </c>
      <c r="F22" s="8" t="n">
        <f aca="false">SUMPRODUCT((Respuestas!$C$4:$C$283=A22)*(LEN(TRIM(Respuestas!$D$4:$D$283))&gt;0))</f>
        <v>5</v>
      </c>
      <c r="G22" s="8" t="n">
        <f aca="false">COUNTIF(Respuestas!$C$4:$C$283,A22)</f>
        <v>5</v>
      </c>
      <c r="H22" s="9" t="n">
        <f aca="false">G22-F22</f>
        <v>0</v>
      </c>
    </row>
    <row r="23" customFormat="false" ht="23.25" hidden="false" customHeight="true" outlineLevel="0" collapsed="false">
      <c r="A23" s="23" t="s">
        <v>249</v>
      </c>
      <c r="B23" s="23" t="s">
        <v>30</v>
      </c>
      <c r="C23" s="21" t="s">
        <v>252</v>
      </c>
      <c r="D23" s="21" t="s">
        <v>535</v>
      </c>
      <c r="E23" s="21" t="s">
        <v>251</v>
      </c>
      <c r="F23" s="8" t="n">
        <f aca="false">SUMPRODUCT((Respuestas!$C$4:$C$283=A23)*(LEN(TRIM(Respuestas!$D$4:$D$283))&gt;0))</f>
        <v>5</v>
      </c>
      <c r="G23" s="8" t="n">
        <f aca="false">COUNTIF(Respuestas!$C$4:$C$283,A23)</f>
        <v>5</v>
      </c>
      <c r="H23" s="9" t="n">
        <f aca="false">G23-F23</f>
        <v>0</v>
      </c>
    </row>
    <row r="24" customFormat="false" ht="23.25" hidden="false" customHeight="true" outlineLevel="0" collapsed="false">
      <c r="A24" s="23" t="s">
        <v>76</v>
      </c>
      <c r="B24" s="23" t="s">
        <v>16</v>
      </c>
      <c r="C24" s="21" t="s">
        <v>79</v>
      </c>
      <c r="D24" s="21" t="s">
        <v>535</v>
      </c>
      <c r="E24" s="21" t="s">
        <v>78</v>
      </c>
      <c r="F24" s="8" t="n">
        <f aca="false">SUMPRODUCT((Respuestas!$C$4:$C$283=A24)*(LEN(TRIM(Respuestas!$D$4:$D$283))&gt;0))</f>
        <v>5</v>
      </c>
      <c r="G24" s="8" t="n">
        <f aca="false">COUNTIF(Respuestas!$C$4:$C$283,A24)</f>
        <v>5</v>
      </c>
      <c r="H24" s="9" t="n">
        <f aca="false">G24-F24</f>
        <v>0</v>
      </c>
    </row>
    <row r="25" customFormat="false" ht="23.25" hidden="false" customHeight="true" outlineLevel="0" collapsed="false">
      <c r="A25" s="23" t="s">
        <v>124</v>
      </c>
      <c r="B25" s="23" t="s">
        <v>22</v>
      </c>
      <c r="C25" s="21" t="s">
        <v>127</v>
      </c>
      <c r="D25" s="21" t="s">
        <v>535</v>
      </c>
      <c r="E25" s="21" t="s">
        <v>126</v>
      </c>
      <c r="F25" s="8" t="n">
        <f aca="false">SUMPRODUCT((Respuestas!$C$4:$C$283=A25)*(LEN(TRIM(Respuestas!$D$4:$D$283))&gt;0))</f>
        <v>4</v>
      </c>
      <c r="G25" s="8" t="n">
        <f aca="false">COUNTIF(Respuestas!$C$4:$C$283,A25)</f>
        <v>5</v>
      </c>
      <c r="H25" s="9" t="n">
        <f aca="false">G25-F25</f>
        <v>1</v>
      </c>
    </row>
    <row r="26" customFormat="false" ht="15" hidden="false" customHeight="true" outlineLevel="0" collapsed="false">
      <c r="A26" s="23" t="s">
        <v>166</v>
      </c>
      <c r="B26" s="23" t="s">
        <v>25</v>
      </c>
      <c r="C26" s="21" t="s">
        <v>169</v>
      </c>
      <c r="D26" s="21" t="s">
        <v>535</v>
      </c>
      <c r="E26" s="21" t="s">
        <v>168</v>
      </c>
      <c r="F26" s="8" t="n">
        <f aca="false">SUMPRODUCT((Respuestas!$C$4:$C$283=A26)*(LEN(TRIM(Respuestas!$D$4:$D$283))&gt;0))</f>
        <v>5</v>
      </c>
      <c r="G26" s="8" t="n">
        <f aca="false">COUNTIF(Respuestas!$C$4:$C$283,A26)</f>
        <v>5</v>
      </c>
      <c r="H26" s="9" t="n">
        <f aca="false">G26-F26</f>
        <v>0</v>
      </c>
    </row>
    <row r="27" customFormat="false" ht="15" hidden="false" customHeight="true" outlineLevel="0" collapsed="false">
      <c r="A27" s="23" t="s">
        <v>209</v>
      </c>
      <c r="B27" s="23" t="s">
        <v>27</v>
      </c>
      <c r="C27" s="21" t="s">
        <v>212</v>
      </c>
      <c r="D27" s="21" t="s">
        <v>536</v>
      </c>
      <c r="E27" s="21" t="s">
        <v>211</v>
      </c>
      <c r="F27" s="8" t="n">
        <f aca="false">SUMPRODUCT((Respuestas!$C$4:$C$283=A27)*(LEN(TRIM(Respuestas!$D$4:$D$283))&gt;0))</f>
        <v>5</v>
      </c>
      <c r="G27" s="8" t="n">
        <f aca="false">COUNTIF(Respuestas!$C$4:$C$283,A27)</f>
        <v>5</v>
      </c>
      <c r="H27" s="9" t="n">
        <f aca="false">G27-F27</f>
        <v>0</v>
      </c>
    </row>
    <row r="28" customFormat="false" ht="15" hidden="false" customHeight="true" outlineLevel="0" collapsed="false">
      <c r="A28" s="23" t="s">
        <v>253</v>
      </c>
      <c r="B28" s="23" t="s">
        <v>30</v>
      </c>
      <c r="C28" s="21" t="s">
        <v>256</v>
      </c>
      <c r="D28" s="21" t="s">
        <v>536</v>
      </c>
      <c r="E28" s="21" t="s">
        <v>255</v>
      </c>
      <c r="F28" s="8" t="n">
        <f aca="false">SUMPRODUCT((Respuestas!$C$4:$C$283=A28)*(LEN(TRIM(Respuestas!$D$4:$D$283))&gt;0))</f>
        <v>5</v>
      </c>
      <c r="G28" s="8" t="n">
        <f aca="false">COUNTIF(Respuestas!$C$4:$C$283,A28)</f>
        <v>5</v>
      </c>
      <c r="H28" s="9" t="n">
        <f aca="false">G28-F28</f>
        <v>0</v>
      </c>
    </row>
    <row r="29" customFormat="false" ht="23.25" hidden="false" customHeight="true" outlineLevel="0" collapsed="false">
      <c r="A29" s="23" t="s">
        <v>80</v>
      </c>
      <c r="B29" s="23" t="s">
        <v>16</v>
      </c>
      <c r="C29" s="21" t="s">
        <v>83</v>
      </c>
      <c r="D29" s="21" t="s">
        <v>536</v>
      </c>
      <c r="E29" s="21" t="s">
        <v>82</v>
      </c>
      <c r="F29" s="8" t="n">
        <f aca="false">SUMPRODUCT((Respuestas!$C$4:$C$283=A29)*(LEN(TRIM(Respuestas!$D$4:$D$283))&gt;0))</f>
        <v>5</v>
      </c>
      <c r="G29" s="8" t="n">
        <f aca="false">COUNTIF(Respuestas!$C$4:$C$283,A29)</f>
        <v>5</v>
      </c>
      <c r="H29" s="9" t="n">
        <f aca="false">G29-F29</f>
        <v>0</v>
      </c>
    </row>
    <row r="30" customFormat="false" ht="15" hidden="false" customHeight="true" outlineLevel="0" collapsed="false">
      <c r="A30" s="23" t="s">
        <v>128</v>
      </c>
      <c r="B30" s="23" t="s">
        <v>22</v>
      </c>
      <c r="C30" s="21" t="s">
        <v>130</v>
      </c>
      <c r="D30" s="21" t="s">
        <v>536</v>
      </c>
      <c r="E30" s="21" t="s">
        <v>129</v>
      </c>
      <c r="F30" s="8" t="n">
        <f aca="false">SUMPRODUCT((Respuestas!$C$4:$C$283=A30)*(LEN(TRIM(Respuestas!$D$4:$D$283))&gt;0))</f>
        <v>4</v>
      </c>
      <c r="G30" s="8" t="n">
        <f aca="false">COUNTIF(Respuestas!$C$4:$C$283,A30)</f>
        <v>5</v>
      </c>
      <c r="H30" s="9" t="n">
        <f aca="false">G30-F30</f>
        <v>1</v>
      </c>
    </row>
    <row r="31" customFormat="false" ht="23.25" hidden="false" customHeight="true" outlineLevel="0" collapsed="false">
      <c r="A31" s="23" t="s">
        <v>170</v>
      </c>
      <c r="B31" s="23" t="s">
        <v>25</v>
      </c>
      <c r="C31" s="21" t="s">
        <v>173</v>
      </c>
      <c r="D31" s="21" t="s">
        <v>536</v>
      </c>
      <c r="E31" s="21" t="s">
        <v>172</v>
      </c>
      <c r="F31" s="8" t="n">
        <f aca="false">SUMPRODUCT((Respuestas!$C$4:$C$283=A31)*(LEN(TRIM(Respuestas!$D$4:$D$283))&gt;0))</f>
        <v>5</v>
      </c>
      <c r="G31" s="8" t="n">
        <f aca="false">COUNTIF(Respuestas!$C$4:$C$283,A31)</f>
        <v>5</v>
      </c>
      <c r="H31" s="9" t="n">
        <f aca="false">G31-F31</f>
        <v>0</v>
      </c>
    </row>
    <row r="32" customFormat="false" ht="15" hidden="false" customHeight="true" outlineLevel="0" collapsed="false">
      <c r="A32" s="23" t="s">
        <v>213</v>
      </c>
      <c r="B32" s="23" t="s">
        <v>27</v>
      </c>
      <c r="C32" s="21" t="s">
        <v>216</v>
      </c>
      <c r="D32" s="21" t="s">
        <v>537</v>
      </c>
      <c r="E32" s="21" t="s">
        <v>215</v>
      </c>
      <c r="F32" s="8" t="n">
        <f aca="false">SUMPRODUCT((Respuestas!$C$4:$C$283=A32)*(LEN(TRIM(Respuestas!$D$4:$D$283))&gt;0))</f>
        <v>5</v>
      </c>
      <c r="G32" s="8" t="n">
        <f aca="false">COUNTIF(Respuestas!$C$4:$C$283,A32)</f>
        <v>5</v>
      </c>
      <c r="H32" s="9" t="n">
        <f aca="false">G32-F32</f>
        <v>0</v>
      </c>
    </row>
    <row r="33" customFormat="false" ht="15" hidden="false" customHeight="true" outlineLevel="0" collapsed="false">
      <c r="A33" s="23" t="s">
        <v>257</v>
      </c>
      <c r="B33" s="23" t="s">
        <v>30</v>
      </c>
      <c r="C33" s="21" t="s">
        <v>260</v>
      </c>
      <c r="D33" s="21" t="s">
        <v>537</v>
      </c>
      <c r="E33" s="21" t="s">
        <v>259</v>
      </c>
      <c r="F33" s="8" t="n">
        <f aca="false">SUMPRODUCT((Respuestas!$C$4:$C$283=A33)*(LEN(TRIM(Respuestas!$D$4:$D$283))&gt;0))</f>
        <v>5</v>
      </c>
      <c r="G33" s="8" t="n">
        <f aca="false">COUNTIF(Respuestas!$C$4:$C$283,A33)</f>
        <v>5</v>
      </c>
      <c r="H33" s="9" t="n">
        <f aca="false">G33-F33</f>
        <v>0</v>
      </c>
    </row>
    <row r="34" customFormat="false" ht="23.25" hidden="false" customHeight="true" outlineLevel="0" collapsed="false">
      <c r="A34" s="23" t="s">
        <v>84</v>
      </c>
      <c r="B34" s="23" t="s">
        <v>16</v>
      </c>
      <c r="C34" s="21" t="s">
        <v>87</v>
      </c>
      <c r="D34" s="21" t="s">
        <v>537</v>
      </c>
      <c r="E34" s="21" t="s">
        <v>86</v>
      </c>
      <c r="F34" s="8" t="n">
        <f aca="false">SUMPRODUCT((Respuestas!$C$4:$C$283=A34)*(LEN(TRIM(Respuestas!$D$4:$D$283))&gt;0))</f>
        <v>5</v>
      </c>
      <c r="G34" s="8" t="n">
        <f aca="false">COUNTIF(Respuestas!$C$4:$C$283,A34)</f>
        <v>5</v>
      </c>
      <c r="H34" s="9" t="n">
        <f aca="false">G34-F34</f>
        <v>0</v>
      </c>
    </row>
    <row r="35" customFormat="false" ht="15" hidden="false" customHeight="true" outlineLevel="0" collapsed="false">
      <c r="A35" s="23" t="s">
        <v>131</v>
      </c>
      <c r="B35" s="23" t="s">
        <v>22</v>
      </c>
      <c r="C35" s="21" t="s">
        <v>134</v>
      </c>
      <c r="D35" s="21" t="s">
        <v>537</v>
      </c>
      <c r="E35" s="21" t="s">
        <v>133</v>
      </c>
      <c r="F35" s="8" t="n">
        <f aca="false">SUMPRODUCT((Respuestas!$C$4:$C$283=A35)*(LEN(TRIM(Respuestas!$D$4:$D$283))&gt;0))</f>
        <v>5</v>
      </c>
      <c r="G35" s="8" t="n">
        <f aca="false">COUNTIF(Respuestas!$C$4:$C$283,A35)</f>
        <v>5</v>
      </c>
      <c r="H35" s="9" t="n">
        <f aca="false">G35-F35</f>
        <v>0</v>
      </c>
    </row>
    <row r="36" customFormat="false" ht="15" hidden="false" customHeight="true" outlineLevel="0" collapsed="false">
      <c r="A36" s="23" t="s">
        <v>174</v>
      </c>
      <c r="B36" s="23" t="s">
        <v>25</v>
      </c>
      <c r="C36" s="21" t="s">
        <v>176</v>
      </c>
      <c r="D36" s="21" t="s">
        <v>537</v>
      </c>
      <c r="E36" s="21" t="s">
        <v>175</v>
      </c>
      <c r="F36" s="8" t="n">
        <f aca="false">SUMPRODUCT((Respuestas!$C$4:$C$283=A36)*(LEN(TRIM(Respuestas!$D$4:$D$283))&gt;0))</f>
        <v>4</v>
      </c>
      <c r="G36" s="8" t="n">
        <f aca="false">COUNTIF(Respuestas!$C$4:$C$283,A36)</f>
        <v>5</v>
      </c>
      <c r="H36" s="9" t="n">
        <f aca="false">G36-F36</f>
        <v>1</v>
      </c>
    </row>
    <row r="37" customFormat="false" ht="15" hidden="false" customHeight="true" outlineLevel="0" collapsed="false">
      <c r="A37" s="23" t="s">
        <v>217</v>
      </c>
      <c r="B37" s="23" t="s">
        <v>27</v>
      </c>
      <c r="C37" s="21" t="s">
        <v>220</v>
      </c>
      <c r="D37" s="21" t="s">
        <v>538</v>
      </c>
      <c r="E37" s="21" t="s">
        <v>219</v>
      </c>
      <c r="F37" s="8" t="n">
        <f aca="false">SUMPRODUCT((Respuestas!$C$4:$C$283=A37)*(LEN(TRIM(Respuestas!$D$4:$D$283))&gt;0))</f>
        <v>5</v>
      </c>
      <c r="G37" s="8" t="n">
        <f aca="false">COUNTIF(Respuestas!$C$4:$C$283,A37)</f>
        <v>5</v>
      </c>
      <c r="H37" s="9" t="n">
        <f aca="false">G37-F37</f>
        <v>0</v>
      </c>
    </row>
    <row r="38" customFormat="false" ht="15" hidden="false" customHeight="true" outlineLevel="0" collapsed="false">
      <c r="A38" s="23" t="s">
        <v>261</v>
      </c>
      <c r="B38" s="23" t="s">
        <v>30</v>
      </c>
      <c r="C38" s="21" t="s">
        <v>264</v>
      </c>
      <c r="D38" s="21" t="s">
        <v>538</v>
      </c>
      <c r="E38" s="21" t="s">
        <v>263</v>
      </c>
      <c r="F38" s="8" t="n">
        <f aca="false">SUMPRODUCT((Respuestas!$C$4:$C$283=A38)*(LEN(TRIM(Respuestas!$D$4:$D$283))&gt;0))</f>
        <v>5</v>
      </c>
      <c r="G38" s="8" t="n">
        <f aca="false">COUNTIF(Respuestas!$C$4:$C$283,A38)</f>
        <v>5</v>
      </c>
      <c r="H38" s="9" t="n">
        <f aca="false">G38-F38</f>
        <v>0</v>
      </c>
    </row>
    <row r="39" customFormat="false" ht="15" hidden="false" customHeight="true" outlineLevel="0" collapsed="false">
      <c r="A39" s="23" t="s">
        <v>88</v>
      </c>
      <c r="B39" s="23" t="s">
        <v>16</v>
      </c>
      <c r="C39" s="21" t="s">
        <v>91</v>
      </c>
      <c r="D39" s="21" t="s">
        <v>538</v>
      </c>
      <c r="E39" s="21" t="s">
        <v>90</v>
      </c>
      <c r="F39" s="8" t="n">
        <f aca="false">SUMPRODUCT((Respuestas!$C$4:$C$283=A39)*(LEN(TRIM(Respuestas!$D$4:$D$283))&gt;0))</f>
        <v>5</v>
      </c>
      <c r="G39" s="8" t="n">
        <f aca="false">COUNTIF(Respuestas!$C$4:$C$283,A39)</f>
        <v>5</v>
      </c>
      <c r="H39" s="9" t="n">
        <f aca="false">G39-F39</f>
        <v>0</v>
      </c>
    </row>
    <row r="40" customFormat="false" ht="15" hidden="false" customHeight="true" outlineLevel="0" collapsed="false">
      <c r="A40" s="23" t="s">
        <v>135</v>
      </c>
      <c r="B40" s="23" t="s">
        <v>22</v>
      </c>
      <c r="C40" s="21" t="s">
        <v>138</v>
      </c>
      <c r="D40" s="21" t="s">
        <v>538</v>
      </c>
      <c r="E40" s="21" t="s">
        <v>137</v>
      </c>
      <c r="F40" s="8" t="n">
        <f aca="false">SUMPRODUCT((Respuestas!$C$4:$C$283=A40)*(LEN(TRIM(Respuestas!$D$4:$D$283))&gt;0))</f>
        <v>5</v>
      </c>
      <c r="G40" s="8" t="n">
        <f aca="false">COUNTIF(Respuestas!$C$4:$C$283,A40)</f>
        <v>5</v>
      </c>
      <c r="H40" s="9" t="n">
        <f aca="false">G40-F40</f>
        <v>0</v>
      </c>
    </row>
    <row r="41" customFormat="false" ht="15" hidden="false" customHeight="true" outlineLevel="0" collapsed="false">
      <c r="A41" s="23" t="s">
        <v>177</v>
      </c>
      <c r="B41" s="23" t="s">
        <v>25</v>
      </c>
      <c r="C41" s="21" t="s">
        <v>180</v>
      </c>
      <c r="D41" s="21" t="s">
        <v>538</v>
      </c>
      <c r="E41" s="21" t="s">
        <v>179</v>
      </c>
      <c r="F41" s="8" t="n">
        <f aca="false">SUMPRODUCT((Respuestas!$C$4:$C$283=A41)*(LEN(TRIM(Respuestas!$D$4:$D$283))&gt;0))</f>
        <v>5</v>
      </c>
      <c r="G41" s="8" t="n">
        <f aca="false">COUNTIF(Respuestas!$C$4:$C$283,A41)</f>
        <v>5</v>
      </c>
      <c r="H41" s="9" t="n">
        <f aca="false">G41-F41</f>
        <v>0</v>
      </c>
    </row>
    <row r="42" customFormat="false" ht="23.25" hidden="false" customHeight="true" outlineLevel="0" collapsed="false">
      <c r="A42" s="23" t="s">
        <v>221</v>
      </c>
      <c r="B42" s="23" t="s">
        <v>27</v>
      </c>
      <c r="C42" s="21" t="s">
        <v>224</v>
      </c>
      <c r="D42" s="21" t="s">
        <v>539</v>
      </c>
      <c r="E42" s="21" t="s">
        <v>223</v>
      </c>
      <c r="F42" s="8" t="n">
        <f aca="false">SUMPRODUCT((Respuestas!$C$4:$C$283=A42)*(LEN(TRIM(Respuestas!$D$4:$D$283))&gt;0))</f>
        <v>5</v>
      </c>
      <c r="G42" s="8" t="n">
        <f aca="false">COUNTIF(Respuestas!$C$4:$C$283,A42)</f>
        <v>5</v>
      </c>
      <c r="H42" s="9" t="n">
        <f aca="false">G42-F42</f>
        <v>0</v>
      </c>
    </row>
    <row r="43" customFormat="false" ht="15" hidden="false" customHeight="true" outlineLevel="0" collapsed="false">
      <c r="A43" s="23" t="s">
        <v>265</v>
      </c>
      <c r="B43" s="23" t="s">
        <v>30</v>
      </c>
      <c r="C43" s="21" t="s">
        <v>268</v>
      </c>
      <c r="D43" s="21" t="s">
        <v>539</v>
      </c>
      <c r="E43" s="21" t="s">
        <v>267</v>
      </c>
      <c r="F43" s="8" t="n">
        <f aca="false">SUMPRODUCT((Respuestas!$C$4:$C$283=A43)*(LEN(TRIM(Respuestas!$D$4:$D$283))&gt;0))</f>
        <v>5</v>
      </c>
      <c r="G43" s="8" t="n">
        <f aca="false">COUNTIF(Respuestas!$C$4:$C$283,A43)</f>
        <v>5</v>
      </c>
      <c r="H43" s="9" t="n">
        <f aca="false">G43-F43</f>
        <v>0</v>
      </c>
    </row>
    <row r="44" customFormat="false" ht="15" hidden="false" customHeight="true" outlineLevel="0" collapsed="false">
      <c r="A44" s="23" t="s">
        <v>92</v>
      </c>
      <c r="B44" s="23" t="s">
        <v>16</v>
      </c>
      <c r="C44" s="21" t="s">
        <v>95</v>
      </c>
      <c r="D44" s="21" t="s">
        <v>539</v>
      </c>
      <c r="E44" s="21" t="s">
        <v>94</v>
      </c>
      <c r="F44" s="8" t="n">
        <f aca="false">SUMPRODUCT((Respuestas!$C$4:$C$283=A44)*(LEN(TRIM(Respuestas!$D$4:$D$283))&gt;0))</f>
        <v>5</v>
      </c>
      <c r="G44" s="8" t="n">
        <f aca="false">COUNTIF(Respuestas!$C$4:$C$283,A44)</f>
        <v>5</v>
      </c>
      <c r="H44" s="9" t="n">
        <f aca="false">G44-F44</f>
        <v>0</v>
      </c>
    </row>
    <row r="45" customFormat="false" ht="23.25" hidden="false" customHeight="true" outlineLevel="0" collapsed="false">
      <c r="A45" s="23" t="s">
        <v>139</v>
      </c>
      <c r="B45" s="23" t="s">
        <v>22</v>
      </c>
      <c r="C45" s="21" t="s">
        <v>142</v>
      </c>
      <c r="D45" s="21" t="s">
        <v>539</v>
      </c>
      <c r="E45" s="21" t="s">
        <v>141</v>
      </c>
      <c r="F45" s="8" t="n">
        <f aca="false">SUMPRODUCT((Respuestas!$C$4:$C$283=A45)*(LEN(TRIM(Respuestas!$D$4:$D$283))&gt;0))</f>
        <v>5</v>
      </c>
      <c r="G45" s="8" t="n">
        <f aca="false">COUNTIF(Respuestas!$C$4:$C$283,A45)</f>
        <v>5</v>
      </c>
      <c r="H45" s="9" t="n">
        <f aca="false">G45-F45</f>
        <v>0</v>
      </c>
    </row>
    <row r="46" customFormat="false" ht="23.25" hidden="false" customHeight="true" outlineLevel="0" collapsed="false">
      <c r="A46" s="23" t="s">
        <v>181</v>
      </c>
      <c r="B46" s="23" t="s">
        <v>25</v>
      </c>
      <c r="C46" s="21" t="s">
        <v>184</v>
      </c>
      <c r="D46" s="21" t="s">
        <v>539</v>
      </c>
      <c r="E46" s="21" t="s">
        <v>183</v>
      </c>
      <c r="F46" s="8" t="n">
        <f aca="false">SUMPRODUCT((Respuestas!$C$4:$C$283=A46)*(LEN(TRIM(Respuestas!$D$4:$D$283))&gt;0))</f>
        <v>5</v>
      </c>
      <c r="G46" s="8" t="n">
        <f aca="false">COUNTIF(Respuestas!$C$4:$C$283,A46)</f>
        <v>5</v>
      </c>
      <c r="H46" s="9" t="n">
        <f aca="false">G46-F46</f>
        <v>0</v>
      </c>
    </row>
    <row r="47" customFormat="false" ht="23.25" hidden="false" customHeight="true" outlineLevel="0" collapsed="false">
      <c r="A47" s="23" t="s">
        <v>225</v>
      </c>
      <c r="B47" s="23" t="s">
        <v>27</v>
      </c>
      <c r="C47" s="21" t="s">
        <v>228</v>
      </c>
      <c r="D47" s="21" t="s">
        <v>539</v>
      </c>
      <c r="E47" s="21" t="s">
        <v>227</v>
      </c>
      <c r="F47" s="8" t="n">
        <f aca="false">SUMPRODUCT((Respuestas!$C$4:$C$283=A47)*(LEN(TRIM(Respuestas!$D$4:$D$283))&gt;0))</f>
        <v>5</v>
      </c>
      <c r="G47" s="8" t="n">
        <f aca="false">COUNTIF(Respuestas!$C$4:$C$283,A47)</f>
        <v>5</v>
      </c>
      <c r="H47" s="9" t="n">
        <f aca="false">G47-F47</f>
        <v>0</v>
      </c>
    </row>
    <row r="48" customFormat="false" ht="15" hidden="false" customHeight="true" outlineLevel="0" collapsed="false">
      <c r="A48" s="23" t="s">
        <v>269</v>
      </c>
      <c r="B48" s="23" t="s">
        <v>30</v>
      </c>
      <c r="C48" s="21" t="s">
        <v>272</v>
      </c>
      <c r="D48" s="21" t="s">
        <v>540</v>
      </c>
      <c r="E48" s="21" t="s">
        <v>271</v>
      </c>
      <c r="F48" s="8" t="n">
        <f aca="false">SUMPRODUCT((Respuestas!$C$4:$C$283=A48)*(LEN(TRIM(Respuestas!$D$4:$D$283))&gt;0))</f>
        <v>5</v>
      </c>
      <c r="G48" s="8" t="n">
        <f aca="false">COUNTIF(Respuestas!$C$4:$C$283,A48)</f>
        <v>5</v>
      </c>
      <c r="H48" s="9" t="n">
        <f aca="false">G48-F48</f>
        <v>0</v>
      </c>
    </row>
    <row r="49" customFormat="false" ht="23.25" hidden="false" customHeight="true" outlineLevel="0" collapsed="false">
      <c r="A49" s="23" t="s">
        <v>96</v>
      </c>
      <c r="B49" s="23" t="s">
        <v>16</v>
      </c>
      <c r="C49" s="21" t="s">
        <v>99</v>
      </c>
      <c r="D49" s="21" t="s">
        <v>540</v>
      </c>
      <c r="E49" s="21" t="s">
        <v>98</v>
      </c>
      <c r="F49" s="8" t="n">
        <f aca="false">SUMPRODUCT((Respuestas!$C$4:$C$283=A49)*(LEN(TRIM(Respuestas!$D$4:$D$283))&gt;0))</f>
        <v>5</v>
      </c>
      <c r="G49" s="8" t="n">
        <f aca="false">COUNTIF(Respuestas!$C$4:$C$283,A49)</f>
        <v>5</v>
      </c>
      <c r="H49" s="9" t="n">
        <f aca="false">G49-F49</f>
        <v>0</v>
      </c>
    </row>
    <row r="50" customFormat="false" ht="15" hidden="false" customHeight="true" outlineLevel="0" collapsed="false">
      <c r="A50" s="23" t="s">
        <v>143</v>
      </c>
      <c r="B50" s="23" t="s">
        <v>22</v>
      </c>
      <c r="C50" s="21" t="s">
        <v>146</v>
      </c>
      <c r="D50" s="21" t="s">
        <v>540</v>
      </c>
      <c r="E50" s="21" t="s">
        <v>145</v>
      </c>
      <c r="F50" s="8" t="n">
        <f aca="false">SUMPRODUCT((Respuestas!$C$4:$C$283=A50)*(LEN(TRIM(Respuestas!$D$4:$D$283))&gt;0))</f>
        <v>5</v>
      </c>
      <c r="G50" s="8" t="n">
        <f aca="false">COUNTIF(Respuestas!$C$4:$C$283,A50)</f>
        <v>5</v>
      </c>
      <c r="H50" s="9" t="n">
        <f aca="false">G50-F50</f>
        <v>0</v>
      </c>
    </row>
    <row r="51" customFormat="false" ht="15" hidden="false" customHeight="true" outlineLevel="0" collapsed="false">
      <c r="A51" s="23" t="s">
        <v>185</v>
      </c>
      <c r="B51" s="23" t="s">
        <v>25</v>
      </c>
      <c r="C51" s="21" t="s">
        <v>188</v>
      </c>
      <c r="D51" s="21" t="s">
        <v>540</v>
      </c>
      <c r="E51" s="21" t="s">
        <v>187</v>
      </c>
      <c r="F51" s="8" t="n">
        <f aca="false">SUMPRODUCT((Respuestas!$C$4:$C$283=A51)*(LEN(TRIM(Respuestas!$D$4:$D$283))&gt;0))</f>
        <v>5</v>
      </c>
      <c r="G51" s="8" t="n">
        <f aca="false">COUNTIF(Respuestas!$C$4:$C$283,A51)</f>
        <v>5</v>
      </c>
      <c r="H51" s="9" t="n">
        <f aca="false">G51-F51</f>
        <v>0</v>
      </c>
    </row>
    <row r="52" customFormat="false" ht="15" hidden="false" customHeight="true" outlineLevel="0" collapsed="false">
      <c r="A52" s="23" t="s">
        <v>229</v>
      </c>
      <c r="B52" s="23" t="s">
        <v>27</v>
      </c>
      <c r="C52" s="21" t="s">
        <v>232</v>
      </c>
      <c r="D52" s="21" t="s">
        <v>540</v>
      </c>
      <c r="E52" s="21" t="s">
        <v>231</v>
      </c>
      <c r="F52" s="8" t="n">
        <f aca="false">SUMPRODUCT((Respuestas!$C$4:$C$283=A52)*(LEN(TRIM(Respuestas!$D$4:$D$283))&gt;0))</f>
        <v>5</v>
      </c>
      <c r="G52" s="8" t="n">
        <f aca="false">COUNTIF(Respuestas!$C$4:$C$283,A52)</f>
        <v>5</v>
      </c>
      <c r="H52" s="9" t="n">
        <f aca="false">G52-F52</f>
        <v>0</v>
      </c>
    </row>
    <row r="53" customFormat="false" ht="23.25" hidden="false" customHeight="true" outlineLevel="0" collapsed="false">
      <c r="A53" s="23" t="s">
        <v>273</v>
      </c>
      <c r="B53" s="23" t="s">
        <v>30</v>
      </c>
      <c r="C53" s="21" t="s">
        <v>103</v>
      </c>
      <c r="D53" s="21" t="s">
        <v>540</v>
      </c>
      <c r="E53" s="21" t="s">
        <v>275</v>
      </c>
      <c r="F53" s="8" t="n">
        <f aca="false">SUMPRODUCT((Respuestas!$C$4:$C$283=A53)*(LEN(TRIM(Respuestas!$D$4:$D$283))&gt;0))</f>
        <v>5</v>
      </c>
      <c r="G53" s="8" t="n">
        <f aca="false">COUNTIF(Respuestas!$C$4:$C$283,A53)</f>
        <v>5</v>
      </c>
      <c r="H53" s="9" t="n">
        <f aca="false">G53-F53</f>
        <v>0</v>
      </c>
    </row>
    <row r="54" customFormat="false" ht="23.25" hidden="false" customHeight="true" outlineLevel="0" collapsed="false">
      <c r="A54" s="23" t="s">
        <v>100</v>
      </c>
      <c r="B54" s="23" t="s">
        <v>16</v>
      </c>
      <c r="C54" s="21" t="s">
        <v>103</v>
      </c>
      <c r="D54" s="21" t="s">
        <v>540</v>
      </c>
      <c r="E54" s="21" t="s">
        <v>102</v>
      </c>
      <c r="F54" s="8" t="n">
        <f aca="false">SUMPRODUCT((Respuestas!$C$4:$C$283=A54)*(LEN(TRIM(Respuestas!$D$4:$D$283))&gt;0))</f>
        <v>5</v>
      </c>
      <c r="G54" s="8" t="n">
        <f aca="false">COUNTIF(Respuestas!$C$4:$C$283,A54)</f>
        <v>5</v>
      </c>
      <c r="H54" s="9" t="n">
        <f aca="false">G54-F54</f>
        <v>0</v>
      </c>
    </row>
    <row r="55" customFormat="false" ht="23.25" hidden="false" customHeight="true" outlineLevel="0" collapsed="false">
      <c r="A55" s="23" t="s">
        <v>147</v>
      </c>
      <c r="B55" s="23" t="s">
        <v>22</v>
      </c>
      <c r="C55" s="21" t="s">
        <v>103</v>
      </c>
      <c r="D55" s="21" t="s">
        <v>540</v>
      </c>
      <c r="E55" s="21" t="s">
        <v>149</v>
      </c>
      <c r="F55" s="8" t="n">
        <f aca="false">SUMPRODUCT((Respuestas!$C$4:$C$283=A55)*(LEN(TRIM(Respuestas!$D$4:$D$283))&gt;0))</f>
        <v>5</v>
      </c>
      <c r="G55" s="8" t="n">
        <f aca="false">COUNTIF(Respuestas!$C$4:$C$283,A55)</f>
        <v>5</v>
      </c>
      <c r="H55" s="9" t="n">
        <f aca="false">G55-F55</f>
        <v>0</v>
      </c>
    </row>
    <row r="56" customFormat="false" ht="15" hidden="false" customHeight="true" outlineLevel="0" collapsed="false">
      <c r="A56" s="23" t="s">
        <v>189</v>
      </c>
      <c r="B56" s="23" t="s">
        <v>25</v>
      </c>
      <c r="C56" s="21" t="s">
        <v>192</v>
      </c>
      <c r="D56" s="21" t="s">
        <v>540</v>
      </c>
      <c r="E56" s="21" t="s">
        <v>191</v>
      </c>
      <c r="F56" s="8" t="n">
        <f aca="false">SUMPRODUCT((Respuestas!$C$4:$C$283=A56)*(LEN(TRIM(Respuestas!$D$4:$D$283))&gt;0))</f>
        <v>5</v>
      </c>
      <c r="G56" s="8" t="n">
        <f aca="false">COUNTIF(Respuestas!$C$4:$C$283,A56)</f>
        <v>5</v>
      </c>
      <c r="H56" s="9" t="n">
        <f aca="false">G56-F56</f>
        <v>0</v>
      </c>
    </row>
    <row r="57" customFormat="false" ht="15" hidden="false" customHeight="true" outlineLevel="0" collapsed="false">
      <c r="A57" s="23" t="s">
        <v>233</v>
      </c>
      <c r="B57" s="23" t="s">
        <v>27</v>
      </c>
      <c r="C57" s="21" t="s">
        <v>236</v>
      </c>
      <c r="D57" s="21" t="s">
        <v>540</v>
      </c>
      <c r="E57" s="21" t="s">
        <v>235</v>
      </c>
      <c r="F57" s="8" t="n">
        <f aca="false">SUMPRODUCT((Respuestas!$C$4:$C$283=A57)*(LEN(TRIM(Respuestas!$D$4:$D$283))&gt;0))</f>
        <v>5</v>
      </c>
      <c r="G57" s="8" t="n">
        <f aca="false">COUNTIF(Respuestas!$C$4:$C$283,A57)</f>
        <v>5</v>
      </c>
      <c r="H57" s="9" t="n">
        <f aca="false">G57-F57</f>
        <v>0</v>
      </c>
    </row>
    <row r="58" customFormat="false" ht="15" hidden="false" customHeight="true" outlineLevel="0" collapsed="false">
      <c r="A58" s="23" t="s">
        <v>276</v>
      </c>
      <c r="B58" s="23" t="s">
        <v>30</v>
      </c>
      <c r="C58" s="21" t="s">
        <v>279</v>
      </c>
      <c r="D58" s="21" t="s">
        <v>540</v>
      </c>
      <c r="E58" s="21" t="s">
        <v>278</v>
      </c>
      <c r="F58" s="8" t="n">
        <f aca="false">SUMPRODUCT((Respuestas!$C$4:$C$283=A58)*(LEN(TRIM(Respuestas!$D$4:$D$283))&gt;0))</f>
        <v>5</v>
      </c>
      <c r="G58" s="8" t="n">
        <f aca="false">COUNTIF(Respuestas!$C$4:$C$283,A58)</f>
        <v>5</v>
      </c>
      <c r="H58" s="9" t="n">
        <f aca="false">G58-F58</f>
        <v>0</v>
      </c>
    </row>
    <row r="59" customFormat="false" ht="23.25" hidden="false" customHeight="true" outlineLevel="0" collapsed="false">
      <c r="A59" s="23" t="s">
        <v>104</v>
      </c>
      <c r="B59" s="23" t="s">
        <v>16</v>
      </c>
      <c r="C59" s="21" t="s">
        <v>107</v>
      </c>
      <c r="D59" s="21" t="s">
        <v>540</v>
      </c>
      <c r="E59" s="21" t="s">
        <v>106</v>
      </c>
      <c r="F59" s="8" t="n">
        <f aca="false">SUMPRODUCT((Respuestas!$C$4:$C$283=A59)*(LEN(TRIM(Respuestas!$D$4:$D$283))&gt;0))</f>
        <v>5</v>
      </c>
      <c r="G59" s="8" t="n">
        <f aca="false">COUNTIF(Respuestas!$C$4:$C$283,A59)</f>
        <v>5</v>
      </c>
      <c r="H59" s="9" t="n">
        <f aca="false">G59-F59</f>
        <v>0</v>
      </c>
    </row>
  </sheetData>
  <mergeCells count="1"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0"/>
    <col collapsed="false" customWidth="true" hidden="false" outlineLevel="0" max="3" min="3" style="1" width="70"/>
    <col collapsed="false" customWidth="true" hidden="false" outlineLevel="0" max="5" min="4" style="1" width="3"/>
    <col collapsed="false" customWidth="true" hidden="false" outlineLevel="0" max="6" min="6" style="1" width="13"/>
    <col collapsed="false" customWidth="true" hidden="false" outlineLevel="0" max="7" min="7" style="1" width="9"/>
    <col collapsed="false" customWidth="true" hidden="false" outlineLevel="0" max="8" min="8" style="1" width="13"/>
    <col collapsed="false" customWidth="true" hidden="false" outlineLevel="0" max="10" min="9" style="1" width="3"/>
    <col collapsed="false" customWidth="true" hidden="false" outlineLevel="0" max="11" min="11" style="1" width="26"/>
  </cols>
  <sheetData>
    <row r="1" customFormat="false" ht="17.25" hidden="false" customHeight="true" outlineLevel="0" collapsed="false">
      <c r="A1" s="2" t="s">
        <v>546</v>
      </c>
    </row>
    <row r="2" customFormat="false" ht="18" hidden="false" customHeight="true" outlineLevel="0" collapsed="false">
      <c r="A2" s="3" t="s">
        <v>547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customFormat="false" ht="33.75" hidden="false" customHeight="true" outlineLevel="0" collapsed="false">
      <c r="A3" s="4" t="s">
        <v>548</v>
      </c>
      <c r="B3" s="4" t="s">
        <v>549</v>
      </c>
      <c r="C3" s="4" t="s">
        <v>550</v>
      </c>
      <c r="F3" s="4" t="s">
        <v>551</v>
      </c>
      <c r="G3" s="4" t="s">
        <v>552</v>
      </c>
      <c r="H3" s="4" t="s">
        <v>4</v>
      </c>
      <c r="K3" s="4" t="s">
        <v>553</v>
      </c>
    </row>
    <row r="4" customFormat="false" ht="15" hidden="false" customHeight="true" outlineLevel="0" collapsed="false">
      <c r="A4" s="16" t="s">
        <v>554</v>
      </c>
      <c r="B4" s="6" t="n">
        <v>4</v>
      </c>
      <c r="C4" s="20" t="s">
        <v>555</v>
      </c>
      <c r="F4" s="21" t="s">
        <v>28</v>
      </c>
      <c r="G4" s="21" t="s">
        <v>19</v>
      </c>
      <c r="H4" s="21" t="s">
        <v>556</v>
      </c>
      <c r="K4" s="21" t="s">
        <v>272</v>
      </c>
    </row>
    <row r="5" customFormat="false" ht="15" hidden="false" customHeight="true" outlineLevel="0" collapsed="false">
      <c r="A5" s="16" t="s">
        <v>557</v>
      </c>
      <c r="B5" s="6" t="n">
        <v>3</v>
      </c>
      <c r="C5" s="20" t="s">
        <v>558</v>
      </c>
      <c r="F5" s="21" t="s">
        <v>18</v>
      </c>
      <c r="G5" s="21" t="s">
        <v>33</v>
      </c>
      <c r="H5" s="21" t="s">
        <v>559</v>
      </c>
      <c r="K5" s="21" t="s">
        <v>99</v>
      </c>
    </row>
    <row r="6" customFormat="false" ht="15" hidden="false" customHeight="true" outlineLevel="0" collapsed="false">
      <c r="A6" s="16" t="s">
        <v>507</v>
      </c>
      <c r="B6" s="6" t="n">
        <v>15</v>
      </c>
      <c r="C6" s="20" t="s">
        <v>560</v>
      </c>
      <c r="F6" s="21" t="s">
        <v>23</v>
      </c>
      <c r="H6" s="21" t="s">
        <v>17</v>
      </c>
      <c r="K6" s="21" t="s">
        <v>146</v>
      </c>
    </row>
    <row r="7" customFormat="false" ht="15" hidden="false" customHeight="true" outlineLevel="0" collapsed="false">
      <c r="F7" s="21" t="s">
        <v>38</v>
      </c>
      <c r="K7" s="21" t="s">
        <v>188</v>
      </c>
    </row>
    <row r="8" customFormat="false" ht="15" hidden="false" customHeight="true" outlineLevel="0" collapsed="false">
      <c r="K8" s="21" t="s">
        <v>232</v>
      </c>
    </row>
  </sheetData>
  <mergeCells count="1"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5"/>
  </cols>
  <sheetData>
    <row r="1" customFormat="false" ht="17.25" hidden="false" customHeight="true" outlineLevel="0" collapsed="false">
      <c r="A1" s="24" t="s">
        <v>561</v>
      </c>
    </row>
    <row r="2" customFormat="false" ht="15" hidden="false" customHeight="true" outlineLevel="0" collapsed="false">
      <c r="A2" s="25"/>
    </row>
    <row r="3" customFormat="false" ht="15" hidden="false" customHeight="true" outlineLevel="0" collapsed="false">
      <c r="A3" s="26" t="s">
        <v>562</v>
      </c>
    </row>
    <row r="4" customFormat="false" ht="23.25" hidden="false" customHeight="true" outlineLevel="0" collapsed="false">
      <c r="A4" s="25" t="s">
        <v>563</v>
      </c>
    </row>
    <row r="5" customFormat="false" ht="23.25" hidden="false" customHeight="true" outlineLevel="0" collapsed="false">
      <c r="A5" s="25" t="s">
        <v>564</v>
      </c>
    </row>
    <row r="6" customFormat="false" ht="15" hidden="false" customHeight="true" outlineLevel="0" collapsed="false">
      <c r="A6" s="25" t="s">
        <v>565</v>
      </c>
    </row>
    <row r="7" customFormat="false" ht="23.25" hidden="false" customHeight="true" outlineLevel="0" collapsed="false">
      <c r="A7" s="25" t="s">
        <v>566</v>
      </c>
    </row>
    <row r="8" customFormat="false" ht="23.25" hidden="false" customHeight="true" outlineLevel="0" collapsed="false">
      <c r="A8" s="25" t="s">
        <v>567</v>
      </c>
    </row>
    <row r="9" customFormat="false" ht="15" hidden="false" customHeight="true" outlineLevel="0" collapsed="false">
      <c r="A9" s="25"/>
    </row>
    <row r="10" customFormat="false" ht="15" hidden="false" customHeight="true" outlineLevel="0" collapsed="false">
      <c r="A10" s="26" t="s">
        <v>568</v>
      </c>
    </row>
    <row r="11" customFormat="false" ht="15" hidden="false" customHeight="true" outlineLevel="0" collapsed="false">
      <c r="A11" s="25" t="s">
        <v>569</v>
      </c>
    </row>
    <row r="12" customFormat="false" ht="15" hidden="false" customHeight="true" outlineLevel="0" collapsed="false">
      <c r="A12" s="25" t="s">
        <v>570</v>
      </c>
    </row>
    <row r="13" customFormat="false" ht="15" hidden="false" customHeight="true" outlineLevel="0" collapsed="false">
      <c r="A13" s="25" t="s">
        <v>571</v>
      </c>
    </row>
    <row r="14" customFormat="false" ht="23.25" hidden="false" customHeight="true" outlineLevel="0" collapsed="false">
      <c r="A14" s="25" t="s">
        <v>572</v>
      </c>
    </row>
    <row r="15" customFormat="false" ht="15" hidden="false" customHeight="true" outlineLevel="0" collapsed="false">
      <c r="A15" s="25" t="s">
        <v>573</v>
      </c>
    </row>
    <row r="16" customFormat="false" ht="15" hidden="false" customHeight="true" outlineLevel="0" collapsed="false">
      <c r="A16" s="25"/>
    </row>
    <row r="17" customFormat="false" ht="15" hidden="false" customHeight="true" outlineLevel="0" collapsed="false">
      <c r="A17" s="26" t="s">
        <v>574</v>
      </c>
    </row>
    <row r="18" customFormat="false" ht="23.25" hidden="false" customHeight="true" outlineLevel="0" collapsed="false">
      <c r="A18" s="25" t="s">
        <v>575</v>
      </c>
    </row>
    <row r="19" customFormat="false" ht="15" hidden="false" customHeight="true" outlineLevel="0" collapsed="false">
      <c r="A19" s="25" t="s">
        <v>576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2026-10-04T15:32:57Z</dcterms:created>
  <dc:creator>openpyxl</dc:creator>
  <dc:description/>
  <dc:language>en-US</dc:language>
  <cp:lastModifiedBy/>
  <dcterms:modified xsi:type="dcterms:W3CDTF">2026-10-04T20:28:48Z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