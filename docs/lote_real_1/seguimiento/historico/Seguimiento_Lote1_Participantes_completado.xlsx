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4d036a38044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es" sheetId="1" r:id="Ra13a43746a8a4ceb"/>
    <x:sheet xmlns:r="http://schemas.openxmlformats.org/officeDocument/2006/relationships" name="Resumen" sheetId="2" r:id="Rff9affdd1be140d5"/>
    <x:sheet xmlns:r="http://schemas.openxmlformats.org/officeDocument/2006/relationships" name="Formularios" sheetId="3" r:id="R661cbea480a54c7d"/>
    <x:sheet xmlns:r="http://schemas.openxmlformats.org/officeDocument/2006/relationships" name="Listas" sheetId="4" r:id="R54d8e10ce2344ec4"/>
    <x:sheet xmlns:r="http://schemas.openxmlformats.org/officeDocument/2006/relationships" name="Notas" sheetId="5" r:id="R96645ca2c598415c"/>
    <x:sheet xmlns:r="http://schemas.openxmlformats.org/officeDocument/2006/relationships" name="Situaciones" sheetId="6" r:id="Rd134609121cd4bfb"/>
  </x:sheets>
</x:workbook>
</file>

<file path=xl/sharedStrings.xml><?xml version="1.0" encoding="utf-8"?>
<x:sst xmlns:x="http://schemas.openxmlformats.org/spreadsheetml/2006/main">
  <x:si>
    <x:t xml:space="preserve">Seguimiento del Lote 1 — participantes y formularios</x:t>
  </x:si>
  <x:si>
    <x:t xml:space="preserve">Edita solo las celdas amarillas (columnas E a K y N). Las columnas B, C, D, L y M son fórmulas: no las sobrescribas. Código sin relación con el nombre de la persona.</x:t>
  </x:si>
  <x:si>
    <x:t xml:space="preserve">Código</x:t>
  </x:si>
  <x:si>
    <x:t xml:space="preserve">Formulario</x:t>
  </x:si>
  <x:si>
    <x:t xml:space="preserve">Páginas a imprimir</x:t>
  </x:si>
  <x:si>
    <x:t xml:space="preserve">Tipo</x:t>
  </x:si>
  <x:si>
    <x:t xml:space="preserve">Rango de edad</x:t>
  </x:si>
  <x:si>
    <x:t xml:space="preserve">Ocupación</x:t>
  </x:si>
  <x:si>
    <x:t xml:space="preserve">¿Vive en Juliaca?</x:t>
  </x:si>
  <x:si>
    <x:t xml:space="preserve">¿Trámite en el último año?</x:t>
  </x:si>
  <x:si>
    <x:t xml:space="preserve">Estado</x:t>
  </x:si>
  <x:si>
    <x:t xml:space="preserve">Fecha de aplicación</x:t>
  </x:si>
  <x:si>
    <x:t xml:space="preserve">Situaciones respondidas</x:t>
  </x:si>
  <x:si>
    <x:t xml:space="preserve">Situaciones del formulario</x:t>
  </x:si>
  <x:si>
    <x:t xml:space="preserve">% respondido</x:t>
  </x:si>
  <x:si>
    <x:t xml:space="preserve">Observaciones</x:t>
  </x:si>
  <x:si>
    <x:t xml:space="preserve">P01</x:t>
  </x:si>
  <x:si>
    <x:t xml:space="preserve">Pendiente</x:t>
  </x:si>
  <x:si>
    <x:t xml:space="preserve">P02</x:t>
  </x:si>
  <x:si>
    <x:t xml:space="preserve">P03</x:t>
  </x:si>
  <x:si>
    <x:t xml:space="preserve">P04</x:t>
  </x:si>
  <x:si>
    <x:t xml:space="preserve">P05</x:t>
  </x:si>
  <x:si>
    <x:t xml:space="preserve">P06</x:t>
  </x:si>
  <x:si>
    <x:t xml:space="preserve">P07</x:t>
  </x:si>
  <x:si>
    <x:t xml:space="preserve">P08</x:t>
  </x:si>
  <x:si>
    <x:t xml:space="preserve">P09</x:t>
  </x:si>
  <x:si>
    <x:t xml:space="preserve">P10</x:t>
  </x:si>
  <x:si>
    <x:t xml:space="preserve">P11</x:t>
  </x:si>
  <x:si>
    <x:t xml:space="preserve">P12</x:t>
  </x:si>
  <x:si>
    <x:t xml:space="preserve">P13</x:t>
  </x:si>
  <x:si>
    <x:t xml:space="preserve">P14</x:t>
  </x:si>
  <x:si>
    <x:t xml:space="preserve">P15</x:t>
  </x:si>
  <x:si>
    <x:t xml:space="preserve">P16</x:t>
  </x:si>
  <x:si>
    <x:t xml:space="preserve">P17</x:t>
  </x:si>
  <x:si>
    <x:t xml:space="preserve">P18</x:t>
  </x:si>
  <x:si>
    <x:t xml:space="preserve">P19</x:t>
  </x:si>
  <x:si>
    <x:t xml:space="preserve">P20</x:t>
  </x:si>
  <x:si>
    <x:t xml:space="preserve">P21</x:t>
  </x:si>
  <x:si>
    <x:t xml:space="preserve">P22</x:t>
  </x:si>
  <x:si>
    <x:t xml:space="preserve">P23</x:t>
  </x:si>
  <x:si>
    <x:t xml:space="preserve">P24</x:t>
  </x:si>
  <x:si>
    <x:t xml:space="preserve">P25</x:t>
  </x:si>
  <x:si>
    <x:t xml:space="preserve">Ejemplo de fila completada (solo muestra el formato; no cuenta en los conteos):</x:t>
  </x:si>
  <x:si>
    <x:t xml:space="preserve">A</x:t>
  </x:si>
  <x:si>
    <x:t xml:space="preserve">2–3</x:t>
  </x:si>
  <x:si>
    <x:t xml:space="preserve">Base</x:t>
  </x:si>
  <x:si>
    <x:t xml:space="preserve">30–44</x:t>
  </x:si>
  <x:si>
    <x:t xml:space="preserve">Comerciante</x:t>
  </x:si>
  <x:si>
    <x:t xml:space="preserve">Sí</x:t>
  </x:si>
  <x:si>
    <x:t xml:space="preserve">Transcrito</x:t>
  </x:si>
  <x:si>
    <x:t xml:space="preserve">Sin observaciones</x:t>
  </x:si>
  <x:si>
    <x:t xml:space="preserve">Resumen de cobertura del Lote 1</x:t>
  </x:si>
  <x:si>
    <x:t xml:space="preserve">Celdas amarillas = parámetros editables. El resto son fórmulas que leen la hoja Participantes.</x:t>
  </x:si>
  <x:si>
    <x:t xml:space="preserve">Parámetro</x:t>
  </x:si>
  <x:si>
    <x:t xml:space="preserve">Valor</x:t>
  </x:si>
  <x:si>
    <x:t xml:space="preserve">Fuente / criterio</x:t>
  </x:si>
  <x:si>
    <x:t xml:space="preserve">Participantes base (rotación A–E)</x:t>
  </x:si>
  <x:si>
    <x:t xml:space="preserve">Guía de aplicación del Lote 1 (Lote1_Formularios_lenguaje_real_v2): 20 personas, mínimo 15, ideal 25 a 30. P21–P25 quedan como reserva.</x:t>
  </x:si>
  <x:si>
    <x:t xml:space="preserve">Meta de respuestas por formulario</x:t>
  </x:si>
  <x:si>
    <x:t xml:space="preserve">20 personas ÷ 5 formularios = 4 respuestas por formulario (4 frases reales por intención). Guía de aplicación.</x:t>
  </x:si>
  <x:si>
    <x:t xml:space="preserve">Mínimo de respuestas por formulario</x:t>
  </x:si>
  <x:si>
    <x:t xml:space="preserve">La Parte B se detiene si alguna intención queda con menos de 3 frases reales (Instrucciones_ClaudeCode_lote_real_v2.md, paso B1).</x:t>
  </x:si>
  <x:si>
    <x:t xml:space="preserve">Mínimo de participantes transcritos para iniciar la Parte B</x:t>
  </x:si>
  <x:si>
    <x:t xml:space="preserve">Mínimo indicado en la guía de aplicación del Lote 1.</x:t>
  </x:si>
  <x:si>
    <x:t xml:space="preserve">Rangos de edad distintos para variedad “Buena”</x:t>
  </x:si>
  <x:si>
    <x:t xml:space="preserve">Criterio de esta hoja para reducir el sesgo de una muestra de conveniencia; no es una norma.</x:t>
  </x:si>
  <x:si>
    <x:t xml:space="preserve">Cobertura por formulario</x:t>
  </x:si>
  <x:si>
    <x:t xml:space="preserve">Situaciones</x:t>
  </x:si>
  <x:si>
    <x:t xml:space="preserve">Asignados (incl. reserva)</x:t>
  </x:si>
  <x:si>
    <x:t xml:space="preserve">Transcritos</x:t>
  </x:si>
  <x:si>
    <x:t xml:space="preserve">Meta</x:t>
  </x:si>
  <x:si>
    <x:t xml:space="preserve">Faltan para la meta</x:t>
  </x:si>
  <x:si>
    <x:t xml:space="preserve">Cobertura</x:t>
  </x:si>
  <x:si>
    <x:t xml:space="preserve">B</x:t>
  </x:si>
  <x:si>
    <x:t xml:space="preserve">C</x:t>
  </x:si>
  <x:si>
    <x:t xml:space="preserve">D</x:t>
  </x:si>
  <x:si>
    <x:t xml:space="preserve">E</x:t>
  </x:si>
  <x:si>
    <x:t xml:space="preserve">Total</x:t>
  </x:si>
  <x:si>
    <x:t xml:space="preserve">Mezcla de edades por formulario</x:t>
  </x:si>
  <x:si>
    <x:t xml:space="preserve">Rangos distintos</x:t>
  </x:si>
  <x:si>
    <x:t xml:space="preserve">Variedad</x:t>
  </x:si>
  <x:si>
    <x:t xml:space="preserve">Cuenta solo a los participantes con rango de edad registrado en la hoja Participantes.</x:t>
  </x:si>
  <x:si>
    <x:t xml:space="preserve">Pág. inicial</x:t>
  </x:si>
  <x:si>
    <x:t xml:space="preserve">Pág. final</x:t>
  </x:si>
  <x:si>
    <x:t xml:space="preserve">Situaciones en el catálogo</x:t>
  </x:si>
  <x:si>
    <x:t xml:space="preserve">Verificación</x:t>
  </x:si>
  <x:si>
    <x:t xml:space="preserve">Fuente: Lote1_Formularios_lenguaje_real_v2.pdf (11 páginas; la página 1 es la guía del tesista y no se imprime) y situaciones_lote1_v1.csv (56 situaciones: 12 en el formulario A y 11 en cada uno de los demás).</x:t>
  </x:si>
  <x:si>
    <x:t xml:space="preserve">Sí / No</x:t>
  </x:si>
  <x:si>
    <x:t xml:space="preserve">Definición de los estados</x:t>
  </x:si>
  <x:si>
    <x:t xml:space="preserve">18–29</x:t>
  </x:si>
  <x:si>
    <x:t xml:space="preserve">Aún no se aplicó el formulario.</x:t>
  </x:si>
  <x:si>
    <x:t xml:space="preserve">No</x:t>
  </x:si>
  <x:si>
    <x:t xml:space="preserve">Entregado</x:t>
  </x:si>
  <x:si>
    <x:t xml:space="preserve">El formulario se entregó a la persona.</x:t>
  </x:si>
  <x:si>
    <x:t xml:space="preserve">45–59</x:t>
  </x:si>
  <x:si>
    <x:t xml:space="preserve">Respondido</x:t>
  </x:si>
  <x:si>
    <x:t xml:space="preserve">La persona devolvió la hoja respondida.</x:t>
  </x:si>
  <x:si>
    <x:t xml:space="preserve">60 a más</x:t>
  </x:si>
  <x:si>
    <x:t xml:space="preserve">Las respuestas ya se pasaron al archivo de la Parte B.</x:t>
  </x:si>
  <x:si>
    <x:t xml:space="preserve">Notas de uso, criterios y fuentes</x:t>
  </x:si>
  <x:si>
    <x:t xml:space="preserve">Cómo usar</x:t>
  </x:si>
  <x:si>
    <x:t xml:space="preserve">1. Asigna a cada persona un código (P01 a P25) que no permita identificarla. El formulario y las páginas a imprimir salen solos en las columnas B y C de la hoja Participantes.</x:t>
  </x:si>
  <x:si>
    <x:t xml:space="preserve">2. Completa solo las celdas amarillas: rango de edad, ocupación, si vive en Juliaca, si hizo un trámite el último año, estado, fecha, situaciones respondidas y observaciones.</x:t>
  </x:si>
  <x:si>
    <x:t xml:space="preserve">3. Avanza el Estado: Pendiente, Entregado, Respondido y Transcrito (Transcrito = respuestas ya pasadas al archivo de la Parte B).</x:t>
  </x:si>
  <x:si>
    <x:t xml:space="preserve">4. Revisa la hoja Resumen. Cuando el total de transcritos llega al mínimo y cada formulario llega al mínimo, aparece “Listo para la Parte B”.</x:t>
  </x:si>
  <x:si>
    <x:t xml:space="preserve">Criterios de reclutamiento</x:t>
  </x:si>
  <x:si>
    <x:t xml:space="preserve">• Se usan los cinco formularios (A–E) y cada persona responde uno solo. Cada situación aparece en un solo formulario: omitir uno deja intenciones sin frases reales.</x:t>
  </x:si>
  <x:si>
    <x:t xml:space="preserve">• P01–P20 son la base (4 respuestas por formulario). P21–P25 son reserva por si alguien deja varias situaciones en blanco.</x:t>
  </x:si>
  <x:si>
    <x:t xml:space="preserve">• Las personas que reciben el mismo formulario deberían tener edades y ocupaciones distintas (tabla de mezcla de edades en Resumen).</x:t>
  </x:si>
  <x:si>
    <x:t xml:space="preserve">• Las frases las escriben los participantes, no el tesista ni una IA.</x:t>
  </x:si>
  <x:si>
    <x:t xml:space="preserve">Fuentes y supuestos</x:t>
  </x:si>
  <x:si>
    <x:t xml:space="preserve">• Rotación A–E por código y mínimos de personas: guía de aplicación del Lote 1 (Lote1_Formularios_lenguaje_real_v2).</x:t>
  </x:si>
  <x:si>
    <x:t xml:space="preserve">• Páginas a imprimir y situaciones por formulario: Lote1_Formularios_lenguaje_real_v2.pdf y situaciones_lote1_v1.csv (56 situaciones; 12/11/11/11/11).</x:t>
  </x:si>
  <x:si>
    <x:t xml:space="preserve">• Meta de 4 respuestas por formulario: 20 personas ÷ 5 formularios.</x:t>
  </x:si>
  <x:si>
    <x:t xml:space="preserve">• Mínimo de 3 respuestas por formulario: la Parte B se detiene si alguna intención queda con menos de 3 frases reales (Instrucciones_ClaudeCode_lote_real_v2.md, paso B1).</x:t>
  </x:si>
  <x:si>
    <x:t xml:space="preserve">• 3 rangos de edad distintos para variedad “Buena”: criterio propio de esta hoja para reducir el sesgo de una muestra de conveniencia; no es una norma.</x:t>
  </x:si>
  <x:si>
    <x:t xml:space="preserve">• Los parámetros se pueden cambiar en las celdas amarillas de la hoja Resumen. Colores: azul = valor escrito a mano; negro = fórmula; verde = vínculo a otra hoja.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</x:si>
</x:sst>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dd/mm/yyyy"/>
    <x:numFmt numFmtId="166" formatCode="0%"/>
  </x:numFmts>
  <x:fonts count="14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name val="Arial"/>
    </x:font>
    <x:font>
      <x:i/>
      <x:sz val="9"/>
      <x:color rgb="FF595959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sz val="10"/>
      <x:color rgb="FF008000"/>
      <x:name val="Arial"/>
    </x:font>
    <x:font>
      <x:sz val="10"/>
      <x:color rgb="FF0000FF"/>
      <x:name val="Arial"/>
    </x:font>
    <x:font>
      <x:i/>
      <x:sz val="10"/>
      <x:color rgb="FF7F7F7F"/>
      <x:name val="Arial"/>
    </x:font>
    <x:font>
      <x:sz val="11"/>
      <x:color theme="1"/>
      <x:name val="Calibri"/>
      <x:family val="2"/>
    </x:font>
    <x:font>
      <x:b/>
      <x:sz val="15"/>
      <x:color rgb="FFFFFFFF"/>
      <x:name val="Arial"/>
    </x:font>
    <x:font>
      <x:i/>
      <x:sz val="10"/>
      <x:color rgb="FF7F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404040"/>
      </x:patternFill>
    </x:fill>
    <x:fill>
      <x:patternFill patternType="solid">
        <x:fgColor rgb="FFFFF2CC"/>
      </x:patternFill>
    </x:fill>
    <x:fill>
      <x:patternFill patternType="solid">
        <x:fgColor rgb="FFD9D9D9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4472C4"/>
      </x:patternFill>
    </x:fill>
  </x:fills>
  <x:borders count="3">
    <x:border diagonalUp="0" diagonalDown="0">
      <x:left/>
      <x:right/>
      <x:top/>
      <x:bottom/>
      <x:diagonal/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 diagonalUp="0" diagonalDown="0"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44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5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6" fillId="2" borderId="1" xfId="0" applyFont="1" applyBorder="1" applyAlignment="1" applyProtection="0">
      <x:alignment horizontal="center" vertical="center" wrapText="1" shrinkToFit="0"/>
      <x:protection locked="1" hidden="0"/>
    </x:xf>
    <x:xf numFmtId="164" fontId="7" fillId="0" borderId="1" xfId="0" applyFont="1" applyBorder="1" applyAlignment="1" applyProtection="0">
      <x:alignment horizontal="center" vertical="center" wrapText="0" shrinkToFit="0"/>
      <x:protection locked="1" hidden="0"/>
    </x:xf>
    <x:xf numFmtId="164" fontId="0" fillId="0" borderId="1" xfId="0" applyFont="1" applyBorder="1" applyAlignment="1" applyProtection="0">
      <x:alignment horizontal="center" vertical="center" wrapText="0" shrinkToFit="0"/>
      <x:protection locked="1" hidden="0"/>
    </x:xf>
    <x:xf numFmtId="164" fontId="8" fillId="0" borderId="1" xfId="0" applyFont="1" applyBorder="1" applyAlignment="1" applyProtection="0">
      <x:alignment horizontal="center" vertical="center" wrapText="0" shrinkToFit="0"/>
      <x:protection locked="1" hidden="0"/>
    </x:xf>
    <x:xf numFmtId="164" fontId="9" fillId="3" borderId="1" xfId="0" applyFont="1" applyBorder="1" applyAlignment="1" applyProtection="0">
      <x:alignment horizontal="center" vertical="center" wrapText="0" shrinkToFit="0"/>
      <x:protection locked="1" hidden="0"/>
    </x:xf>
    <x:xf numFmtId="164" fontId="9" fillId="3" borderId="1" xfId="0" applyFont="1" applyBorder="1" applyAlignment="1" applyProtection="0">
      <x:alignment horizontal="left" vertical="center" wrapText="1" shrinkToFit="0"/>
      <x:protection locked="1" hidden="0"/>
    </x:xf>
    <x:xf numFmtId="165" fontId="9" fillId="3" borderId="1" xfId="0" applyFont="1" applyBorder="1" applyAlignment="1" applyProtection="0">
      <x:alignment horizontal="center" vertical="center" wrapText="0" shrinkToFit="0"/>
      <x:protection locked="1" hidden="0"/>
    </x:xf>
    <x:xf numFmtId="166" fontId="0" fillId="0" borderId="1" xfId="0" applyFont="1" applyBorder="1" applyAlignment="1" applyProtection="0">
      <x:alignment horizontal="center" vertical="center" wrapText="0" shrinkToFit="0"/>
      <x:protection locked="1" hidden="0"/>
    </x:xf>
    <x:xf numFmtId="164" fontId="10" fillId="0" borderId="1" xfId="0" applyFont="1" applyBorder="1" applyAlignment="1" applyProtection="0">
      <x:alignment horizontal="center" vertical="center" wrapText="0" shrinkToFit="0"/>
      <x:protection locked="1" hidden="0"/>
    </x:xf>
    <x:xf numFmtId="164" fontId="10" fillId="0" borderId="1" xfId="0" applyFont="1" applyBorder="1" applyAlignment="1" applyProtection="0">
      <x:alignment horizontal="left" vertical="center" wrapText="1" shrinkToFit="0"/>
      <x:protection locked="1" hidden="0"/>
    </x:xf>
    <x:xf numFmtId="165" fontId="10" fillId="0" borderId="1" xfId="0" applyFont="1" applyBorder="1" applyAlignment="1" applyProtection="0">
      <x:alignment horizontal="center" vertical="center" wrapText="0" shrinkToFit="0"/>
      <x:protection locked="1" hidden="0"/>
    </x:xf>
    <x:xf numFmtId="166" fontId="10" fillId="0" borderId="1" xfId="0" applyFont="1" applyBorder="1" applyAlignment="1" applyProtection="0">
      <x:alignment horizontal="center" vertical="center" wrapText="0" shrinkToFit="0"/>
      <x:protection locked="1" hidden="0"/>
    </x:xf>
    <x:xf numFmtId="164" fontId="0" fillId="0" borderId="1" xfId="0" applyFont="1" applyBorder="1" applyAlignment="1" applyProtection="0">
      <x:alignment horizontal="left" vertical="center" wrapText="1" shrinkToFit="0"/>
      <x:protection locked="1" hidden="0"/>
    </x:xf>
    <x:xf numFmtId="164" fontId="5" fillId="0" borderId="0" xfId="0" applyFont="1" applyBorder="0" applyAlignment="1" applyProtection="0">
      <x:alignment horizontal="left" vertical="center" wrapText="0" shrinkToFit="0"/>
      <x:protection locked="1" hidden="0"/>
    </x:xf>
    <x:xf numFmtId="164" fontId="7" fillId="4" borderId="0" xfId="0" applyFont="1" applyBorder="0" applyAlignment="0" applyProtection="0">
      <x:alignment horizontal="general" vertical="bottom" wrapText="0" shrinkToFit="0"/>
      <x:protection locked="1" hidden="0"/>
    </x:xf>
    <x:xf numFmtId="164" fontId="11" fillId="4" borderId="0" xfId="0" applyFont="1" applyBorder="0" applyAlignment="0" applyProtection="0">
      <x:alignment horizontal="general" vertical="bottom" wrapText="0" shrinkToFit="0"/>
      <x:protection locked="1" hidden="0"/>
    </x:xf>
    <x:xf numFmtId="164" fontId="9" fillId="0" borderId="1" xfId="0" applyFont="1" applyBorder="1" applyAlignment="1" applyProtection="0">
      <x:alignment horizontal="center" vertical="center" wrapText="0" shrinkToFit="0"/>
      <x:protection locked="1" hidden="0"/>
    </x:xf>
    <x:xf numFmtId="164" fontId="6" fillId="2" borderId="0" xfId="0" applyFont="1" applyBorder="0" applyAlignment="1" applyProtection="0">
      <x:alignment horizontal="center" vertical="center" wrapText="1" shrinkToFit="0"/>
      <x:protection locked="1" hidden="0"/>
    </x:xf>
    <x:xf numFmtId="164" fontId="7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9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0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4" fillId="0" borderId="0" xfId="0" applyFont="1" applyBorder="0" applyAlignment="1" applyProtection="0">
      <x:alignment horizontal="general" vertical="top" wrapText="1" shrinkToFit="0"/>
      <x:protection locked="1" hidden="0"/>
    </x:xf>
    <x:xf numFmtId="164" fontId="0" fillId="0" borderId="0" xfId="0" applyFont="1" applyBorder="0" applyAlignment="1" applyProtection="0">
      <x:alignment horizontal="general" vertical="top" wrapText="1" shrinkToFit="0"/>
      <x:protection locked="1" hidden="0"/>
    </x:xf>
    <x:xf numFmtId="164" fontId="7" fillId="0" borderId="0" xfId="0" applyFont="1" applyBorder="0" applyAlignment="1" applyProtection="0">
      <x:alignment horizontal="general" vertical="top" wrapText="1" shrinkToFit="0"/>
      <x:protection locked="1" hidden="0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12" fillId="5" borderId="0" xfId="0" applyNumberFormat="1" applyFont="1" applyFill="1" applyBorder="1" applyAlignment="1">
      <x:alignment horizontal="general" vertical="bottom" wrapText="0"/>
    </x:xf>
    <x:xf numFmtId="164" fontId="12" fillId="5" borderId="0" xfId="0" applyNumberFormat="1" applyFont="1" applyFill="1" applyBorder="1" applyAlignment="1">
      <x:alignment horizontal="center" vertical="bottom" wrapText="0"/>
    </x:xf>
    <x:xf numFmtId="164" fontId="12" fillId="5" borderId="0" xfId="0" applyNumberFormat="1" applyFont="1" applyFill="1" applyBorder="1" applyAlignment="1">
      <x:alignment horizontal="center" vertical="center" wrapText="0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1"/>
    </x:xf>
    <x:xf numFmtId="164" fontId="13" fillId="6" borderId="0" xfId="0" applyNumberFormat="1" applyFont="1" applyFill="1" applyBorder="1" applyAlignment="1">
      <x:alignment horizontal="general" vertical="center" wrapText="1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6" fillId="7" borderId="0" xfId="0" applyNumberFormat="1" applyFont="1" applyFill="1" applyBorder="1" applyAlignment="1">
      <x:alignment horizontal="general" vertical="bottom" wrapText="0"/>
    </x:xf>
    <x:xf numFmtId="164" fontId="6" fillId="7" borderId="0" xfId="0" applyNumberFormat="1" applyFont="1" applyFill="1" applyBorder="1" applyAlignment="1">
      <x:alignment horizontal="general" vertical="bottom" wrapText="1"/>
    </x:xf>
    <x:xf numFmtId="164" fontId="6" fillId="7" borderId="0" xfId="0" applyNumberFormat="1" applyFont="1" applyFill="1" applyBorder="1" applyAlignment="1">
      <x:alignment horizontal="center" vertical="bottom" wrapText="1"/>
    </x:xf>
    <x:xf numFmtId="164" fontId="6" fillId="7" borderId="0" xfId="0" applyNumberFormat="1" applyFont="1" applyFill="1" applyBorder="1" applyAlignment="1">
      <x:alignment horizontal="center" vertical="center" wrapText="1"/>
    </x:xf>
    <x:xf numFmtId="164" fontId="6" fillId="7" borderId="2" xfId="0" applyNumberFormat="1" applyFont="1" applyFill="1" applyBorder="1" applyAlignment="1">
      <x:alignment horizontal="center" vertical="center" wrapText="1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0" fillId="0" borderId="2" xfId="0" applyNumberFormat="1" applyFont="1" applyFill="1" applyBorder="1" applyAlignment="1">
      <x:alignment horizontal="general" vertical="bottom" wrapText="1"/>
    </x:xf>
    <x:xf numFmtId="164" fontId="0" fillId="0" borderId="2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3">
    <x:dxf>
      <x:fill>
        <x:patternFill>
          <x:bgColor rgb="FFC6EFCE"/>
        </x:patternFill>
      </x:fill>
    </x:dxf>
    <x:dxf>
      <x:fill>
        <x:patternFill>
          <x:bgColor rgb="FFFFEB9C"/>
        </x:patternFill>
      </x:fill>
    </x:dxf>
    <x:dxf>
      <x:fill>
        <x:patternFill>
          <x:bgColor rgb="FFFFC7CE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7F7F7F"/>
      <x:rgbColor rgb="FF9999FF"/>
      <x:rgbColor rgb="FF993366"/>
      <x:rgbColor rgb="FFFFF2CC"/>
      <x:rgbColor rgb="FFCCFFFF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6EFCE"/>
      <x:rgbColor rgb="FFFFEB9C"/>
      <x:rgbColor rgb="FF99CCFF"/>
      <x:rgbColor rgb="FFFF99CC"/>
      <x:rgbColor rgb="FFCC99FF"/>
      <x:rgbColor rgb="FFFFC7CE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404040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58cdd04e234579" /><Relationship Type="http://schemas.openxmlformats.org/officeDocument/2006/relationships/theme" Target="/xl/theme/theme1.xml" Id="R8808bf5c6b8b43ef" /><Relationship Type="http://schemas.openxmlformats.org/officeDocument/2006/relationships/sharedStrings" Target="/xl/sharedStrings.xml" Id="R6a9dd36f11fa481f" /><Relationship Type="http://schemas.openxmlformats.org/officeDocument/2006/relationships/worksheet" Target="/xl/worksheets/sheet1.xml" Id="Ra13a43746a8a4ceb" /><Relationship Type="http://schemas.openxmlformats.org/officeDocument/2006/relationships/worksheet" Target="/xl/worksheets/sheet2.xml" Id="Rff9affdd1be140d5" /><Relationship Type="http://schemas.openxmlformats.org/officeDocument/2006/relationships/worksheet" Target="/xl/worksheets/sheet3.xml" Id="R661cbea480a54c7d" /><Relationship Type="http://schemas.openxmlformats.org/officeDocument/2006/relationships/worksheet" Target="/xl/worksheets/sheet4.xml" Id="R54d8e10ce2344ec4" /><Relationship Type="http://schemas.openxmlformats.org/officeDocument/2006/relationships/worksheet" Target="/xl/worksheets/sheet5.xml" Id="R96645ca2c598415c" /><Relationship Type="http://schemas.openxmlformats.org/officeDocument/2006/relationships/worksheet" Target="/xl/worksheets/sheet6.xml" Id="Rd134609121cd4bfb" /></Relationships>
</file>

<file path=xl/tables/table1.xml><?xml version="1.0" encoding="utf-8"?>
<x:table xmlns:x="http://schemas.openxmlformats.org/spreadsheetml/2006/main" id="1" name="SituacionesLote1" displayName="SituacionesLote1" ref="A4:G60" headerRowCount="1" totalsRowCount="0" totalsRowShown="0">
  <x:autoFilter ref="A4:G60"/>
  <x:tableColumns count="7">
    <x:tableColumn id="1" name="ID de situación"/>
    <x:tableColumn id="2" name="Formulario"/>
    <x:tableColumn id="3" name="Categoría"/>
    <x:tableColumn id="4" name="Intención esperada"/>
    <x:tableColumn id="5" name="Situación para presentar"/>
    <x:tableColumn id="6" name="Participantes base asignados"/>
    <x:tableColumn id="7" name="Reserva del formula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4eee72264a234fc4" /></Relationships>
</file>

<file path=xl/worksheets/sheet1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ColWidth="8.6796875" defaultRowHeight="15"/>
  <x:cols>
    <x:col min="1" max="1" width="9" hidden="0" customWidth="1"/>
    <x:col min="2" max="2" width="11" hidden="0" customWidth="1"/>
    <x:col min="3" max="3" width="14" hidden="0" customWidth="1"/>
    <x:col min="4" max="4" width="9" hidden="0" customWidth="1"/>
    <x:col min="5" max="5" width="14" hidden="0" customWidth="1"/>
    <x:col min="6" max="6" width="22" hidden="0" customWidth="1"/>
    <x:col min="7" max="7" width="12" hidden="0" customWidth="1"/>
    <x:col min="8" max="8" width="16" hidden="0" customWidth="1"/>
    <x:col min="9" max="9" width="13" hidden="0" customWidth="1"/>
    <x:col min="10" max="12" width="14" hidden="0" customWidth="1"/>
    <x:col min="13" max="13" width="12" hidden="0" customWidth="1"/>
    <x:col min="14" max="14" width="34" hidden="0" customWidth="1"/>
  </x:cols>
  <x:sheetData>
    <x:row r="1" ht="17.350000381469727" hidden="0">
      <x:c r="A1" s="1" t="s">
        <x:v>0</x:v>
      </x:c>
    </x:row>
    <x:row r="2" ht="15" hidden="0">
      <x:c r="A2" s="2" t="s">
        <x:v>1</x:v>
      </x:c>
    </x:row>
    <x:row r="4" ht="42" hidden="0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  <x:c r="N4" s="3" t="s">
        <x:v>15</x:v>
      </x:c>
    </x:row>
    <x:row r="5" ht="15" hidden="0">
      <x:c r="A5" s="4" t="s">
        <x:v>16</x:v>
      </x:c>
      <x:c r="B5" s="5" t="str">
        <x:f aca="0">CHOOSE(MOD(VALUE(MID(A5,2,2))-1,5)+1,"A","B","C","D","E")</x:f>
        <x:v>A</x:v>
      </x:c>
      <x:c r="C5" s="6" t="str">
        <x:f aca="0">INDEX(Formularios!$E$2:$E$6,MATCH(B5,Formularios!$A$2:$A$6,0))</x:f>
        <x:v>2–3</x:v>
      </x:c>
      <x:c r="D5" s="6" t="str">
        <x:f aca="0">IF(VALUE(MID(A5,2,2))&lt;=Resumen!$B$5,"Base","Reserva")</x:f>
        <x:v>Base</x:v>
      </x:c>
      <x:c r="E5" s="7"/>
      <x:c r="F5" s="8"/>
      <x:c r="G5" s="7"/>
      <x:c r="H5" s="7"/>
      <x:c r="I5" s="7" t="s">
        <x:v>17</x:v>
      </x:c>
      <x:c r="J5" s="9"/>
      <x:c r="K5" s="7"/>
      <x:c r="L5" s="6" t="n">
        <x:f aca="0">INDEX(Formularios!$B$2:$B$6,MATCH(B5,Formularios!$A$2:$A$6,0))</x:f>
        <x:v>12</x:v>
      </x:c>
      <x:c r="M5" s="10" t="str">
        <x:f aca="0">IF(K5="","",K5/L5)</x:f>
      </x:c>
      <x:c r="N5" s="8"/>
    </x:row>
    <x:row r="6" ht="15" hidden="0">
      <x:c r="A6" s="4" t="s">
        <x:v>18</x:v>
      </x:c>
      <x:c r="B6" s="5" t="str">
        <x:f aca="0">CHOOSE(MOD(VALUE(MID(A6,2,2))-1,5)+1,"A","B","C","D","E")</x:f>
        <x:v>B</x:v>
      </x:c>
      <x:c r="C6" s="6" t="str">
        <x:f aca="0">INDEX(Formularios!$E$2:$E$6,MATCH(B6,Formularios!$A$2:$A$6,0))</x:f>
        <x:v>4–5</x:v>
      </x:c>
      <x:c r="D6" s="6" t="str">
        <x:f aca="0">IF(VALUE(MID(A6,2,2))&lt;=Resumen!$B$5,"Base","Reserva")</x:f>
        <x:v>Base</x:v>
      </x:c>
      <x:c r="E6" s="7"/>
      <x:c r="F6" s="8"/>
      <x:c r="G6" s="7"/>
      <x:c r="H6" s="7"/>
      <x:c r="I6" s="7" t="s">
        <x:v>17</x:v>
      </x:c>
      <x:c r="J6" s="9"/>
      <x:c r="K6" s="7"/>
      <x:c r="L6" s="6" t="n">
        <x:f aca="0">INDEX(Formularios!$B$2:$B$6,MATCH(B6,Formularios!$A$2:$A$6,0))</x:f>
        <x:v>11</x:v>
      </x:c>
      <x:c r="M6" s="10" t="str">
        <x:f aca="0">IF(K6="","",K6/L6)</x:f>
      </x:c>
      <x:c r="N6" s="8"/>
    </x:row>
    <x:row r="7" ht="15" hidden="0">
      <x:c r="A7" s="4" t="s">
        <x:v>19</x:v>
      </x:c>
      <x:c r="B7" s="5" t="str">
        <x:f aca="0">CHOOSE(MOD(VALUE(MID(A7,2,2))-1,5)+1,"A","B","C","D","E")</x:f>
        <x:v>C</x:v>
      </x:c>
      <x:c r="C7" s="6" t="str">
        <x:f aca="0">INDEX(Formularios!$E$2:$E$6,MATCH(B7,Formularios!$A$2:$A$6,0))</x:f>
        <x:v>6–7</x:v>
      </x:c>
      <x:c r="D7" s="6" t="str">
        <x:f aca="0">IF(VALUE(MID(A7,2,2))&lt;=Resumen!$B$5,"Base","Reserva")</x:f>
        <x:v>Base</x:v>
      </x:c>
      <x:c r="E7" s="7"/>
      <x:c r="F7" s="8"/>
      <x:c r="G7" s="7"/>
      <x:c r="H7" s="7"/>
      <x:c r="I7" s="7" t="s">
        <x:v>17</x:v>
      </x:c>
      <x:c r="J7" s="9"/>
      <x:c r="K7" s="7"/>
      <x:c r="L7" s="6" t="n">
        <x:f aca="0">INDEX(Formularios!$B$2:$B$6,MATCH(B7,Formularios!$A$2:$A$6,0))</x:f>
        <x:v>11</x:v>
      </x:c>
      <x:c r="M7" s="10" t="str">
        <x:f aca="0">IF(K7="","",K7/L7)</x:f>
      </x:c>
      <x:c r="N7" s="8"/>
    </x:row>
    <x:row r="8" ht="15" hidden="0">
      <x:c r="A8" s="4" t="s">
        <x:v>20</x:v>
      </x:c>
      <x:c r="B8" s="5" t="str">
        <x:f aca="0">CHOOSE(MOD(VALUE(MID(A8,2,2))-1,5)+1,"A","B","C","D","E")</x:f>
        <x:v>D</x:v>
      </x:c>
      <x:c r="C8" s="6" t="str">
        <x:f aca="0">INDEX(Formularios!$E$2:$E$6,MATCH(B8,Formularios!$A$2:$A$6,0))</x:f>
        <x:v>8–9</x:v>
      </x:c>
      <x:c r="D8" s="6" t="str">
        <x:f aca="0">IF(VALUE(MID(A8,2,2))&lt;=Resumen!$B$5,"Base","Reserva")</x:f>
        <x:v>Base</x:v>
      </x:c>
      <x:c r="E8" s="7"/>
      <x:c r="F8" s="8"/>
      <x:c r="G8" s="7"/>
      <x:c r="H8" s="7"/>
      <x:c r="I8" s="7" t="s">
        <x:v>17</x:v>
      </x:c>
      <x:c r="J8" s="9"/>
      <x:c r="K8" s="7"/>
      <x:c r="L8" s="6" t="n">
        <x:f aca="0">INDEX(Formularios!$B$2:$B$6,MATCH(B8,Formularios!$A$2:$A$6,0))</x:f>
        <x:v>11</x:v>
      </x:c>
      <x:c r="M8" s="10" t="str">
        <x:f aca="0">IF(K8="","",K8/L8)</x:f>
      </x:c>
      <x:c r="N8" s="8"/>
    </x:row>
    <x:row r="9" ht="15" hidden="0">
      <x:c r="A9" s="4" t="s">
        <x:v>21</x:v>
      </x:c>
      <x:c r="B9" s="5" t="str">
        <x:f aca="0">CHOOSE(MOD(VALUE(MID(A9,2,2))-1,5)+1,"A","B","C","D","E")</x:f>
        <x:v>E</x:v>
      </x:c>
      <x:c r="C9" s="6" t="str">
        <x:f aca="0">INDEX(Formularios!$E$2:$E$6,MATCH(B9,Formularios!$A$2:$A$6,0))</x:f>
        <x:v>10–11</x:v>
      </x:c>
      <x:c r="D9" s="6" t="str">
        <x:f aca="0">IF(VALUE(MID(A9,2,2))&lt;=Resumen!$B$5,"Base","Reserva")</x:f>
        <x:v>Base</x:v>
      </x:c>
      <x:c r="E9" s="7"/>
      <x:c r="F9" s="8"/>
      <x:c r="G9" s="7"/>
      <x:c r="H9" s="7"/>
      <x:c r="I9" s="7" t="s">
        <x:v>17</x:v>
      </x:c>
      <x:c r="J9" s="9"/>
      <x:c r="K9" s="7"/>
      <x:c r="L9" s="6" t="n">
        <x:f aca="0">INDEX(Formularios!$B$2:$B$6,MATCH(B9,Formularios!$A$2:$A$6,0))</x:f>
        <x:v>11</x:v>
      </x:c>
      <x:c r="M9" s="10" t="str">
        <x:f aca="0">IF(K9="","",K9/L9)</x:f>
      </x:c>
      <x:c r="N9" s="8"/>
    </x:row>
    <x:row r="10" ht="15" hidden="0">
      <x:c r="A10" s="4" t="s">
        <x:v>22</x:v>
      </x:c>
      <x:c r="B10" s="5" t="str">
        <x:f aca="0">CHOOSE(MOD(VALUE(MID(A10,2,2))-1,5)+1,"A","B","C","D","E")</x:f>
        <x:v>A</x:v>
      </x:c>
      <x:c r="C10" s="6" t="str">
        <x:f aca="0">INDEX(Formularios!$E$2:$E$6,MATCH(B10,Formularios!$A$2:$A$6,0))</x:f>
        <x:v>2–3</x:v>
      </x:c>
      <x:c r="D10" s="6" t="str">
        <x:f aca="0">IF(VALUE(MID(A10,2,2))&lt;=Resumen!$B$5,"Base","Reserva")</x:f>
        <x:v>Base</x:v>
      </x:c>
      <x:c r="E10" s="7"/>
      <x:c r="F10" s="8"/>
      <x:c r="G10" s="7"/>
      <x:c r="H10" s="7"/>
      <x:c r="I10" s="7" t="s">
        <x:v>17</x:v>
      </x:c>
      <x:c r="J10" s="9"/>
      <x:c r="K10" s="7"/>
      <x:c r="L10" s="6" t="n">
        <x:f aca="0">INDEX(Formularios!$B$2:$B$6,MATCH(B10,Formularios!$A$2:$A$6,0))</x:f>
        <x:v>12</x:v>
      </x:c>
      <x:c r="M10" s="10" t="str">
        <x:f aca="0">IF(K10="","",K10/L10)</x:f>
      </x:c>
      <x:c r="N10" s="8"/>
    </x:row>
    <x:row r="11" ht="15" hidden="0">
      <x:c r="A11" s="4" t="s">
        <x:v>23</x:v>
      </x:c>
      <x:c r="B11" s="5" t="str">
        <x:f aca="0">CHOOSE(MOD(VALUE(MID(A11,2,2))-1,5)+1,"A","B","C","D","E")</x:f>
        <x:v>B</x:v>
      </x:c>
      <x:c r="C11" s="6" t="str">
        <x:f aca="0">INDEX(Formularios!$E$2:$E$6,MATCH(B11,Formularios!$A$2:$A$6,0))</x:f>
        <x:v>4–5</x:v>
      </x:c>
      <x:c r="D11" s="6" t="str">
        <x:f aca="0">IF(VALUE(MID(A11,2,2))&lt;=Resumen!$B$5,"Base","Reserva")</x:f>
        <x:v>Base</x:v>
      </x:c>
      <x:c r="E11" s="7"/>
      <x:c r="F11" s="8"/>
      <x:c r="G11" s="7"/>
      <x:c r="H11" s="7"/>
      <x:c r="I11" s="7" t="s">
        <x:v>17</x:v>
      </x:c>
      <x:c r="J11" s="9"/>
      <x:c r="K11" s="7"/>
      <x:c r="L11" s="6" t="n">
        <x:f aca="0">INDEX(Formularios!$B$2:$B$6,MATCH(B11,Formularios!$A$2:$A$6,0))</x:f>
        <x:v>11</x:v>
      </x:c>
      <x:c r="M11" s="10" t="str">
        <x:f aca="0">IF(K11="","",K11/L11)</x:f>
      </x:c>
      <x:c r="N11" s="8"/>
    </x:row>
    <x:row r="12" ht="15" hidden="0">
      <x:c r="A12" s="4" t="s">
        <x:v>24</x:v>
      </x:c>
      <x:c r="B12" s="5" t="str">
        <x:f aca="0">CHOOSE(MOD(VALUE(MID(A12,2,2))-1,5)+1,"A","B","C","D","E")</x:f>
        <x:v>C</x:v>
      </x:c>
      <x:c r="C12" s="6" t="str">
        <x:f aca="0">INDEX(Formularios!$E$2:$E$6,MATCH(B12,Formularios!$A$2:$A$6,0))</x:f>
        <x:v>6–7</x:v>
      </x:c>
      <x:c r="D12" s="6" t="str">
        <x:f aca="0">IF(VALUE(MID(A12,2,2))&lt;=Resumen!$B$5,"Base","Reserva")</x:f>
        <x:v>Base</x:v>
      </x:c>
      <x:c r="E12" s="7"/>
      <x:c r="F12" s="8"/>
      <x:c r="G12" s="7"/>
      <x:c r="H12" s="7"/>
      <x:c r="I12" s="7" t="s">
        <x:v>17</x:v>
      </x:c>
      <x:c r="J12" s="9"/>
      <x:c r="K12" s="7"/>
      <x:c r="L12" s="6" t="n">
        <x:f aca="0">INDEX(Formularios!$B$2:$B$6,MATCH(B12,Formularios!$A$2:$A$6,0))</x:f>
        <x:v>11</x:v>
      </x:c>
      <x:c r="M12" s="10" t="str">
        <x:f aca="0">IF(K12="","",K12/L12)</x:f>
      </x:c>
      <x:c r="N12" s="8"/>
    </x:row>
    <x:row r="13" ht="15" hidden="0">
      <x:c r="A13" s="4" t="s">
        <x:v>25</x:v>
      </x:c>
      <x:c r="B13" s="5" t="str">
        <x:f aca="0">CHOOSE(MOD(VALUE(MID(A13,2,2))-1,5)+1,"A","B","C","D","E")</x:f>
        <x:v>D</x:v>
      </x:c>
      <x:c r="C13" s="6" t="str">
        <x:f aca="0">INDEX(Formularios!$E$2:$E$6,MATCH(B13,Formularios!$A$2:$A$6,0))</x:f>
        <x:v>8–9</x:v>
      </x:c>
      <x:c r="D13" s="6" t="str">
        <x:f aca="0">IF(VALUE(MID(A13,2,2))&lt;=Resumen!$B$5,"Base","Reserva")</x:f>
        <x:v>Base</x:v>
      </x:c>
      <x:c r="E13" s="7"/>
      <x:c r="F13" s="8"/>
      <x:c r="G13" s="7"/>
      <x:c r="H13" s="7"/>
      <x:c r="I13" s="7" t="s">
        <x:v>17</x:v>
      </x:c>
      <x:c r="J13" s="9"/>
      <x:c r="K13" s="7"/>
      <x:c r="L13" s="6" t="n">
        <x:f aca="0">INDEX(Formularios!$B$2:$B$6,MATCH(B13,Formularios!$A$2:$A$6,0))</x:f>
        <x:v>11</x:v>
      </x:c>
      <x:c r="M13" s="10" t="str">
        <x:f aca="0">IF(K13="","",K13/L13)</x:f>
      </x:c>
      <x:c r="N13" s="8"/>
    </x:row>
    <x:row r="14" ht="15" hidden="0">
      <x:c r="A14" s="4" t="s">
        <x:v>26</x:v>
      </x:c>
      <x:c r="B14" s="5" t="str">
        <x:f aca="0">CHOOSE(MOD(VALUE(MID(A14,2,2))-1,5)+1,"A","B","C","D","E")</x:f>
        <x:v>E</x:v>
      </x:c>
      <x:c r="C14" s="6" t="str">
        <x:f aca="0">INDEX(Formularios!$E$2:$E$6,MATCH(B14,Formularios!$A$2:$A$6,0))</x:f>
        <x:v>10–11</x:v>
      </x:c>
      <x:c r="D14" s="6" t="str">
        <x:f aca="0">IF(VALUE(MID(A14,2,2))&lt;=Resumen!$B$5,"Base","Reserva")</x:f>
        <x:v>Base</x:v>
      </x:c>
      <x:c r="E14" s="7"/>
      <x:c r="F14" s="8"/>
      <x:c r="G14" s="7"/>
      <x:c r="H14" s="7"/>
      <x:c r="I14" s="7" t="s">
        <x:v>17</x:v>
      </x:c>
      <x:c r="J14" s="9"/>
      <x:c r="K14" s="7"/>
      <x:c r="L14" s="6" t="n">
        <x:f aca="0">INDEX(Formularios!$B$2:$B$6,MATCH(B14,Formularios!$A$2:$A$6,0))</x:f>
        <x:v>11</x:v>
      </x:c>
      <x:c r="M14" s="10" t="str">
        <x:f aca="0">IF(K14="","",K14/L14)</x:f>
      </x:c>
      <x:c r="N14" s="8"/>
    </x:row>
    <x:row r="15" ht="15" hidden="0">
      <x:c r="A15" s="4" t="s">
        <x:v>27</x:v>
      </x:c>
      <x:c r="B15" s="5" t="str">
        <x:f aca="0">CHOOSE(MOD(VALUE(MID(A15,2,2))-1,5)+1,"A","B","C","D","E")</x:f>
        <x:v>A</x:v>
      </x:c>
      <x:c r="C15" s="6" t="str">
        <x:f aca="0">INDEX(Formularios!$E$2:$E$6,MATCH(B15,Formularios!$A$2:$A$6,0))</x:f>
        <x:v>2–3</x:v>
      </x:c>
      <x:c r="D15" s="6" t="str">
        <x:f aca="0">IF(VALUE(MID(A15,2,2))&lt;=Resumen!$B$5,"Base","Reserva")</x:f>
        <x:v>Base</x:v>
      </x:c>
      <x:c r="E15" s="7"/>
      <x:c r="F15" s="8"/>
      <x:c r="G15" s="7"/>
      <x:c r="H15" s="7"/>
      <x:c r="I15" s="7" t="s">
        <x:v>17</x:v>
      </x:c>
      <x:c r="J15" s="9"/>
      <x:c r="K15" s="7"/>
      <x:c r="L15" s="6" t="n">
        <x:f aca="0">INDEX(Formularios!$B$2:$B$6,MATCH(B15,Formularios!$A$2:$A$6,0))</x:f>
        <x:v>12</x:v>
      </x:c>
      <x:c r="M15" s="10" t="str">
        <x:f aca="0">IF(K15="","",K15/L15)</x:f>
      </x:c>
      <x:c r="N15" s="8"/>
    </x:row>
    <x:row r="16" ht="15" hidden="0">
      <x:c r="A16" s="4" t="s">
        <x:v>28</x:v>
      </x:c>
      <x:c r="B16" s="5" t="str">
        <x:f aca="0">CHOOSE(MOD(VALUE(MID(A16,2,2))-1,5)+1,"A","B","C","D","E")</x:f>
        <x:v>B</x:v>
      </x:c>
      <x:c r="C16" s="6" t="str">
        <x:f aca="0">INDEX(Formularios!$E$2:$E$6,MATCH(B16,Formularios!$A$2:$A$6,0))</x:f>
        <x:v>4–5</x:v>
      </x:c>
      <x:c r="D16" s="6" t="str">
        <x:f aca="0">IF(VALUE(MID(A16,2,2))&lt;=Resumen!$B$5,"Base","Reserva")</x:f>
        <x:v>Base</x:v>
      </x:c>
      <x:c r="E16" s="7"/>
      <x:c r="F16" s="8"/>
      <x:c r="G16" s="7"/>
      <x:c r="H16" s="7"/>
      <x:c r="I16" s="7" t="s">
        <x:v>17</x:v>
      </x:c>
      <x:c r="J16" s="9"/>
      <x:c r="K16" s="7"/>
      <x:c r="L16" s="6" t="n">
        <x:f aca="0">INDEX(Formularios!$B$2:$B$6,MATCH(B16,Formularios!$A$2:$A$6,0))</x:f>
        <x:v>11</x:v>
      </x:c>
      <x:c r="M16" s="10" t="str">
        <x:f aca="0">IF(K16="","",K16/L16)</x:f>
      </x:c>
      <x:c r="N16" s="8"/>
    </x:row>
    <x:row r="17" ht="15" hidden="0">
      <x:c r="A17" s="4" t="s">
        <x:v>29</x:v>
      </x:c>
      <x:c r="B17" s="5" t="str">
        <x:f aca="0">CHOOSE(MOD(VALUE(MID(A17,2,2))-1,5)+1,"A","B","C","D","E")</x:f>
        <x:v>C</x:v>
      </x:c>
      <x:c r="C17" s="6" t="str">
        <x:f aca="0">INDEX(Formularios!$E$2:$E$6,MATCH(B17,Formularios!$A$2:$A$6,0))</x:f>
        <x:v>6–7</x:v>
      </x:c>
      <x:c r="D17" s="6" t="str">
        <x:f aca="0">IF(VALUE(MID(A17,2,2))&lt;=Resumen!$B$5,"Base","Reserva")</x:f>
        <x:v>Base</x:v>
      </x:c>
      <x:c r="E17" s="7"/>
      <x:c r="F17" s="8"/>
      <x:c r="G17" s="7"/>
      <x:c r="H17" s="7"/>
      <x:c r="I17" s="7" t="s">
        <x:v>17</x:v>
      </x:c>
      <x:c r="J17" s="9"/>
      <x:c r="K17" s="7"/>
      <x:c r="L17" s="6" t="n">
        <x:f aca="0">INDEX(Formularios!$B$2:$B$6,MATCH(B17,Formularios!$A$2:$A$6,0))</x:f>
        <x:v>11</x:v>
      </x:c>
      <x:c r="M17" s="10" t="str">
        <x:f aca="0">IF(K17="","",K17/L17)</x:f>
      </x:c>
      <x:c r="N17" s="8"/>
    </x:row>
    <x:row r="18" ht="15" hidden="0">
      <x:c r="A18" s="4" t="s">
        <x:v>30</x:v>
      </x:c>
      <x:c r="B18" s="5" t="str">
        <x:f aca="0">CHOOSE(MOD(VALUE(MID(A18,2,2))-1,5)+1,"A","B","C","D","E")</x:f>
        <x:v>D</x:v>
      </x:c>
      <x:c r="C18" s="6" t="str">
        <x:f aca="0">INDEX(Formularios!$E$2:$E$6,MATCH(B18,Formularios!$A$2:$A$6,0))</x:f>
        <x:v>8–9</x:v>
      </x:c>
      <x:c r="D18" s="6" t="str">
        <x:f aca="0">IF(VALUE(MID(A18,2,2))&lt;=Resumen!$B$5,"Base","Reserva")</x:f>
        <x:v>Base</x:v>
      </x:c>
      <x:c r="E18" s="7"/>
      <x:c r="F18" s="8"/>
      <x:c r="G18" s="7"/>
      <x:c r="H18" s="7"/>
      <x:c r="I18" s="7" t="s">
        <x:v>17</x:v>
      </x:c>
      <x:c r="J18" s="9"/>
      <x:c r="K18" s="7"/>
      <x:c r="L18" s="6" t="n">
        <x:f aca="0">INDEX(Formularios!$B$2:$B$6,MATCH(B18,Formularios!$A$2:$A$6,0))</x:f>
        <x:v>11</x:v>
      </x:c>
      <x:c r="M18" s="10" t="str">
        <x:f aca="0">IF(K18="","",K18/L18)</x:f>
      </x:c>
      <x:c r="N18" s="8"/>
    </x:row>
    <x:row r="19" ht="15" hidden="0">
      <x:c r="A19" s="4" t="s">
        <x:v>31</x:v>
      </x:c>
      <x:c r="B19" s="5" t="str">
        <x:f aca="0">CHOOSE(MOD(VALUE(MID(A19,2,2))-1,5)+1,"A","B","C","D","E")</x:f>
        <x:v>E</x:v>
      </x:c>
      <x:c r="C19" s="6" t="str">
        <x:f aca="0">INDEX(Formularios!$E$2:$E$6,MATCH(B19,Formularios!$A$2:$A$6,0))</x:f>
        <x:v>10–11</x:v>
      </x:c>
      <x:c r="D19" s="6" t="str">
        <x:f aca="0">IF(VALUE(MID(A19,2,2))&lt;=Resumen!$B$5,"Base","Reserva")</x:f>
        <x:v>Base</x:v>
      </x:c>
      <x:c r="E19" s="7"/>
      <x:c r="F19" s="8"/>
      <x:c r="G19" s="7"/>
      <x:c r="H19" s="7"/>
      <x:c r="I19" s="7" t="s">
        <x:v>17</x:v>
      </x:c>
      <x:c r="J19" s="9"/>
      <x:c r="K19" s="7"/>
      <x:c r="L19" s="6" t="n">
        <x:f aca="0">INDEX(Formularios!$B$2:$B$6,MATCH(B19,Formularios!$A$2:$A$6,0))</x:f>
        <x:v>11</x:v>
      </x:c>
      <x:c r="M19" s="10" t="str">
        <x:f aca="0">IF(K19="","",K19/L19)</x:f>
      </x:c>
      <x:c r="N19" s="8"/>
    </x:row>
    <x:row r="20" ht="15" hidden="0">
      <x:c r="A20" s="4" t="s">
        <x:v>32</x:v>
      </x:c>
      <x:c r="B20" s="5" t="str">
        <x:f aca="0">CHOOSE(MOD(VALUE(MID(A20,2,2))-1,5)+1,"A","B","C","D","E")</x:f>
        <x:v>A</x:v>
      </x:c>
      <x:c r="C20" s="6" t="str">
        <x:f aca="0">INDEX(Formularios!$E$2:$E$6,MATCH(B20,Formularios!$A$2:$A$6,0))</x:f>
        <x:v>2–3</x:v>
      </x:c>
      <x:c r="D20" s="6" t="str">
        <x:f aca="0">IF(VALUE(MID(A20,2,2))&lt;=Resumen!$B$5,"Base","Reserva")</x:f>
        <x:v>Base</x:v>
      </x:c>
      <x:c r="E20" s="7"/>
      <x:c r="F20" s="8"/>
      <x:c r="G20" s="7"/>
      <x:c r="H20" s="7"/>
      <x:c r="I20" s="7" t="s">
        <x:v>17</x:v>
      </x:c>
      <x:c r="J20" s="9"/>
      <x:c r="K20" s="7"/>
      <x:c r="L20" s="6" t="n">
        <x:f aca="0">INDEX(Formularios!$B$2:$B$6,MATCH(B20,Formularios!$A$2:$A$6,0))</x:f>
        <x:v>12</x:v>
      </x:c>
      <x:c r="M20" s="10" t="str">
        <x:f aca="0">IF(K20="","",K20/L20)</x:f>
      </x:c>
      <x:c r="N20" s="8"/>
    </x:row>
    <x:row r="21" ht="15" hidden="0">
      <x:c r="A21" s="4" t="s">
        <x:v>33</x:v>
      </x:c>
      <x:c r="B21" s="5" t="str">
        <x:f aca="0">CHOOSE(MOD(VALUE(MID(A21,2,2))-1,5)+1,"A","B","C","D","E")</x:f>
        <x:v>B</x:v>
      </x:c>
      <x:c r="C21" s="6" t="str">
        <x:f aca="0">INDEX(Formularios!$E$2:$E$6,MATCH(B21,Formularios!$A$2:$A$6,0))</x:f>
        <x:v>4–5</x:v>
      </x:c>
      <x:c r="D21" s="6" t="str">
        <x:f aca="0">IF(VALUE(MID(A21,2,2))&lt;=Resumen!$B$5,"Base","Reserva")</x:f>
        <x:v>Base</x:v>
      </x:c>
      <x:c r="E21" s="7"/>
      <x:c r="F21" s="8"/>
      <x:c r="G21" s="7"/>
      <x:c r="H21" s="7"/>
      <x:c r="I21" s="7" t="s">
        <x:v>17</x:v>
      </x:c>
      <x:c r="J21" s="9"/>
      <x:c r="K21" s="7"/>
      <x:c r="L21" s="6" t="n">
        <x:f aca="0">INDEX(Formularios!$B$2:$B$6,MATCH(B21,Formularios!$A$2:$A$6,0))</x:f>
        <x:v>11</x:v>
      </x:c>
      <x:c r="M21" s="10" t="str">
        <x:f aca="0">IF(K21="","",K21/L21)</x:f>
      </x:c>
      <x:c r="N21" s="8"/>
    </x:row>
    <x:row r="22" ht="15" hidden="0">
      <x:c r="A22" s="4" t="s">
        <x:v>34</x:v>
      </x:c>
      <x:c r="B22" s="5" t="str">
        <x:f aca="0">CHOOSE(MOD(VALUE(MID(A22,2,2))-1,5)+1,"A","B","C","D","E")</x:f>
        <x:v>C</x:v>
      </x:c>
      <x:c r="C22" s="6" t="str">
        <x:f aca="0">INDEX(Formularios!$E$2:$E$6,MATCH(B22,Formularios!$A$2:$A$6,0))</x:f>
        <x:v>6–7</x:v>
      </x:c>
      <x:c r="D22" s="6" t="str">
        <x:f aca="0">IF(VALUE(MID(A22,2,2))&lt;=Resumen!$B$5,"Base","Reserva")</x:f>
        <x:v>Base</x:v>
      </x:c>
      <x:c r="E22" s="7"/>
      <x:c r="F22" s="8"/>
      <x:c r="G22" s="7"/>
      <x:c r="H22" s="7"/>
      <x:c r="I22" s="7" t="s">
        <x:v>17</x:v>
      </x:c>
      <x:c r="J22" s="9"/>
      <x:c r="K22" s="7"/>
      <x:c r="L22" s="6" t="n">
        <x:f aca="0">INDEX(Formularios!$B$2:$B$6,MATCH(B22,Formularios!$A$2:$A$6,0))</x:f>
        <x:v>11</x:v>
      </x:c>
      <x:c r="M22" s="10" t="str">
        <x:f aca="0">IF(K22="","",K22/L22)</x:f>
      </x:c>
      <x:c r="N22" s="8"/>
    </x:row>
    <x:row r="23" ht="15" hidden="0">
      <x:c r="A23" s="4" t="s">
        <x:v>35</x:v>
      </x:c>
      <x:c r="B23" s="5" t="str">
        <x:f aca="0">CHOOSE(MOD(VALUE(MID(A23,2,2))-1,5)+1,"A","B","C","D","E")</x:f>
        <x:v>D</x:v>
      </x:c>
      <x:c r="C23" s="6" t="str">
        <x:f aca="0">INDEX(Formularios!$E$2:$E$6,MATCH(B23,Formularios!$A$2:$A$6,0))</x:f>
        <x:v>8–9</x:v>
      </x:c>
      <x:c r="D23" s="6" t="str">
        <x:f aca="0">IF(VALUE(MID(A23,2,2))&lt;=Resumen!$B$5,"Base","Reserva")</x:f>
        <x:v>Base</x:v>
      </x:c>
      <x:c r="E23" s="7"/>
      <x:c r="F23" s="8"/>
      <x:c r="G23" s="7"/>
      <x:c r="H23" s="7"/>
      <x:c r="I23" s="7" t="s">
        <x:v>17</x:v>
      </x:c>
      <x:c r="J23" s="9"/>
      <x:c r="K23" s="7"/>
      <x:c r="L23" s="6" t="n">
        <x:f aca="0">INDEX(Formularios!$B$2:$B$6,MATCH(B23,Formularios!$A$2:$A$6,0))</x:f>
        <x:v>11</x:v>
      </x:c>
      <x:c r="M23" s="10" t="str">
        <x:f aca="0">IF(K23="","",K23/L23)</x:f>
      </x:c>
      <x:c r="N23" s="8"/>
    </x:row>
    <x:row r="24" ht="15" hidden="0">
      <x:c r="A24" s="4" t="s">
        <x:v>36</x:v>
      </x:c>
      <x:c r="B24" s="5" t="str">
        <x:f aca="0">CHOOSE(MOD(VALUE(MID(A24,2,2))-1,5)+1,"A","B","C","D","E")</x:f>
        <x:v>E</x:v>
      </x:c>
      <x:c r="C24" s="6" t="str">
        <x:f aca="0">INDEX(Formularios!$E$2:$E$6,MATCH(B24,Formularios!$A$2:$A$6,0))</x:f>
        <x:v>10–11</x:v>
      </x:c>
      <x:c r="D24" s="6" t="str">
        <x:f aca="0">IF(VALUE(MID(A24,2,2))&lt;=Resumen!$B$5,"Base","Reserva")</x:f>
        <x:v>Base</x:v>
      </x:c>
      <x:c r="E24" s="7"/>
      <x:c r="F24" s="8"/>
      <x:c r="G24" s="7"/>
      <x:c r="H24" s="7"/>
      <x:c r="I24" s="7" t="s">
        <x:v>17</x:v>
      </x:c>
      <x:c r="J24" s="9"/>
      <x:c r="K24" s="7"/>
      <x:c r="L24" s="6" t="n">
        <x:f aca="0">INDEX(Formularios!$B$2:$B$6,MATCH(B24,Formularios!$A$2:$A$6,0))</x:f>
        <x:v>11</x:v>
      </x:c>
      <x:c r="M24" s="10" t="str">
        <x:f aca="0">IF(K24="","",K24/L24)</x:f>
      </x:c>
      <x:c r="N24" s="8"/>
    </x:row>
    <x:row r="25" ht="15" hidden="0">
      <x:c r="A25" s="4" t="s">
        <x:v>37</x:v>
      </x:c>
      <x:c r="B25" s="5" t="str">
        <x:f aca="0">CHOOSE(MOD(VALUE(MID(A25,2,2))-1,5)+1,"A","B","C","D","E")</x:f>
        <x:v>A</x:v>
      </x:c>
      <x:c r="C25" s="6" t="str">
        <x:f aca="0">INDEX(Formularios!$E$2:$E$6,MATCH(B25,Formularios!$A$2:$A$6,0))</x:f>
        <x:v>2–3</x:v>
      </x:c>
      <x:c r="D25" s="6" t="str">
        <x:f aca="0">IF(VALUE(MID(A25,2,2))&lt;=Resumen!$B$5,"Base","Reserva")</x:f>
        <x:v>Reserva</x:v>
      </x:c>
      <x:c r="E25" s="7"/>
      <x:c r="F25" s="8"/>
      <x:c r="G25" s="7"/>
      <x:c r="H25" s="7"/>
      <x:c r="I25" s="7" t="s">
        <x:v>17</x:v>
      </x:c>
      <x:c r="J25" s="9"/>
      <x:c r="K25" s="7"/>
      <x:c r="L25" s="6" t="n">
        <x:f aca="0">INDEX(Formularios!$B$2:$B$6,MATCH(B25,Formularios!$A$2:$A$6,0))</x:f>
        <x:v>12</x:v>
      </x:c>
      <x:c r="M25" s="10" t="str">
        <x:f aca="0">IF(K25="","",K25/L25)</x:f>
      </x:c>
      <x:c r="N25" s="8"/>
    </x:row>
    <x:row r="26" ht="15" hidden="0">
      <x:c r="A26" s="4" t="s">
        <x:v>38</x:v>
      </x:c>
      <x:c r="B26" s="5" t="str">
        <x:f aca="0">CHOOSE(MOD(VALUE(MID(A26,2,2))-1,5)+1,"A","B","C","D","E")</x:f>
        <x:v>B</x:v>
      </x:c>
      <x:c r="C26" s="6" t="str">
        <x:f aca="0">INDEX(Formularios!$E$2:$E$6,MATCH(B26,Formularios!$A$2:$A$6,0))</x:f>
        <x:v>4–5</x:v>
      </x:c>
      <x:c r="D26" s="6" t="str">
        <x:f aca="0">IF(VALUE(MID(A26,2,2))&lt;=Resumen!$B$5,"Base","Reserva")</x:f>
        <x:v>Reserva</x:v>
      </x:c>
      <x:c r="E26" s="7"/>
      <x:c r="F26" s="8"/>
      <x:c r="G26" s="7"/>
      <x:c r="H26" s="7"/>
      <x:c r="I26" s="7" t="s">
        <x:v>17</x:v>
      </x:c>
      <x:c r="J26" s="9"/>
      <x:c r="K26" s="7"/>
      <x:c r="L26" s="6" t="n">
        <x:f aca="0">INDEX(Formularios!$B$2:$B$6,MATCH(B26,Formularios!$A$2:$A$6,0))</x:f>
        <x:v>11</x:v>
      </x:c>
      <x:c r="M26" s="10" t="str">
        <x:f aca="0">IF(K26="","",K26/L26)</x:f>
      </x:c>
      <x:c r="N26" s="8"/>
    </x:row>
    <x:row r="27" ht="15" hidden="0">
      <x:c r="A27" s="4" t="s">
        <x:v>39</x:v>
      </x:c>
      <x:c r="B27" s="5" t="str">
        <x:f aca="0">CHOOSE(MOD(VALUE(MID(A27,2,2))-1,5)+1,"A","B","C","D","E")</x:f>
        <x:v>C</x:v>
      </x:c>
      <x:c r="C27" s="6" t="str">
        <x:f aca="0">INDEX(Formularios!$E$2:$E$6,MATCH(B27,Formularios!$A$2:$A$6,0))</x:f>
        <x:v>6–7</x:v>
      </x:c>
      <x:c r="D27" s="6" t="str">
        <x:f aca="0">IF(VALUE(MID(A27,2,2))&lt;=Resumen!$B$5,"Base","Reserva")</x:f>
        <x:v>Reserva</x:v>
      </x:c>
      <x:c r="E27" s="7"/>
      <x:c r="F27" s="8"/>
      <x:c r="G27" s="7"/>
      <x:c r="H27" s="7"/>
      <x:c r="I27" s="7" t="s">
        <x:v>17</x:v>
      </x:c>
      <x:c r="J27" s="9"/>
      <x:c r="K27" s="7"/>
      <x:c r="L27" s="6" t="n">
        <x:f aca="0">INDEX(Formularios!$B$2:$B$6,MATCH(B27,Formularios!$A$2:$A$6,0))</x:f>
        <x:v>11</x:v>
      </x:c>
      <x:c r="M27" s="10" t="str">
        <x:f aca="0">IF(K27="","",K27/L27)</x:f>
      </x:c>
      <x:c r="N27" s="8"/>
    </x:row>
    <x:row r="28" ht="15" hidden="0">
      <x:c r="A28" s="4" t="s">
        <x:v>40</x:v>
      </x:c>
      <x:c r="B28" s="5" t="str">
        <x:f aca="0">CHOOSE(MOD(VALUE(MID(A28,2,2))-1,5)+1,"A","B","C","D","E")</x:f>
        <x:v>D</x:v>
      </x:c>
      <x:c r="C28" s="6" t="str">
        <x:f aca="0">INDEX(Formularios!$E$2:$E$6,MATCH(B28,Formularios!$A$2:$A$6,0))</x:f>
        <x:v>8–9</x:v>
      </x:c>
      <x:c r="D28" s="6" t="str">
        <x:f aca="0">IF(VALUE(MID(A28,2,2))&lt;=Resumen!$B$5,"Base","Reserva")</x:f>
        <x:v>Reserva</x:v>
      </x:c>
      <x:c r="E28" s="7"/>
      <x:c r="F28" s="8"/>
      <x:c r="G28" s="7"/>
      <x:c r="H28" s="7"/>
      <x:c r="I28" s="7" t="s">
        <x:v>17</x:v>
      </x:c>
      <x:c r="J28" s="9"/>
      <x:c r="K28" s="7"/>
      <x:c r="L28" s="6" t="n">
        <x:f aca="0">INDEX(Formularios!$B$2:$B$6,MATCH(B28,Formularios!$A$2:$A$6,0))</x:f>
        <x:v>11</x:v>
      </x:c>
      <x:c r="M28" s="10" t="str">
        <x:f aca="0">IF(K28="","",K28/L28)</x:f>
      </x:c>
      <x:c r="N28" s="8"/>
    </x:row>
    <x:row r="29" ht="15" hidden="0">
      <x:c r="A29" s="4" t="s">
        <x:v>41</x:v>
      </x:c>
      <x:c r="B29" s="5" t="str">
        <x:f aca="0">CHOOSE(MOD(VALUE(MID(A29,2,2))-1,5)+1,"A","B","C","D","E")</x:f>
        <x:v>E</x:v>
      </x:c>
      <x:c r="C29" s="6" t="str">
        <x:f aca="0">INDEX(Formularios!$E$2:$E$6,MATCH(B29,Formularios!$A$2:$A$6,0))</x:f>
        <x:v>10–11</x:v>
      </x:c>
      <x:c r="D29" s="6" t="str">
        <x:f aca="0">IF(VALUE(MID(A29,2,2))&lt;=Resumen!$B$5,"Base","Reserva")</x:f>
        <x:v>Reserva</x:v>
      </x:c>
      <x:c r="E29" s="7"/>
      <x:c r="F29" s="8"/>
      <x:c r="G29" s="7"/>
      <x:c r="H29" s="7"/>
      <x:c r="I29" s="7" t="s">
        <x:v>17</x:v>
      </x:c>
      <x:c r="J29" s="9"/>
      <x:c r="K29" s="7"/>
      <x:c r="L29" s="6" t="n">
        <x:f aca="0">INDEX(Formularios!$B$2:$B$6,MATCH(B29,Formularios!$A$2:$A$6,0))</x:f>
        <x:v>11</x:v>
      </x:c>
      <x:c r="M29" s="10" t="str">
        <x:f aca="0">IF(K29="","",K29/L29)</x:f>
      </x:c>
      <x:c r="N29" s="8"/>
    </x:row>
    <x:row r="31" ht="15" hidden="0">
      <x:c r="A31" s="2" t="s">
        <x:v>42</x:v>
      </x:c>
    </x:row>
    <x:row r="32" ht="15" hidden="0">
      <x:c r="A32" s="11" t="s">
        <x:v>16</x:v>
      </x:c>
      <x:c r="B32" s="11" t="s">
        <x:v>43</x:v>
      </x:c>
      <x:c r="C32" s="11" t="s">
        <x:v>44</x:v>
      </x:c>
      <x:c r="D32" s="11" t="s">
        <x:v>45</x:v>
      </x:c>
      <x:c r="E32" s="11" t="s">
        <x:v>46</x:v>
      </x:c>
      <x:c r="F32" s="12" t="s">
        <x:v>47</x:v>
      </x:c>
      <x:c r="G32" s="11" t="s">
        <x:v>48</x:v>
      </x:c>
      <x:c r="H32" s="11" t="s">
        <x:v>48</x:v>
      </x:c>
      <x:c r="I32" s="11" t="s">
        <x:v>49</x:v>
      </x:c>
      <x:c r="J32" s="13" t="n">
        <x:v>46300</x:v>
      </x:c>
      <x:c r="K32" s="11" t="n">
        <x:v>12</x:v>
      </x:c>
      <x:c r="L32" s="11" t="n">
        <x:v>12</x:v>
      </x:c>
      <x:c r="M32" s="14" t="n">
        <x:v>1</x:v>
      </x:c>
      <x:c r="N32" s="12" t="s">
        <x:v>50</x:v>
      </x:c>
    </x:row>
  </x:sheetData>
  <x:conditionalFormatting sqref="I5:I29">
    <x:cfRule type="expression" dxfId="0" priority="2" aboveAverage="0" percent="0" bottom="0" rank="0" equalAverage="0">
      <x:formula>$I5="Transcrito"</x:formula>
    </x:cfRule>
    <x:cfRule type="expression" dxfId="1" priority="3" aboveAverage="0" percent="0" bottom="0" rank="0" equalAverage="0">
      <x:formula>OR($I5="Entregado",$I5="Respondido")</x:formula>
    </x:cfRule>
  </x:conditionalFormatting>
  <x:dataValidations count="5">
    <x:dataValidation type="list" errorStyle="stop" operator="between" allowBlank="1" showDropDown="0" showInputMessage="0" showErrorMessage="1" errorTitle="Rango de edad" error="Elige un rango de la lista." sqref="E5:E29">
      <x:formula1>Listas!$A$2:$A$5</x:formula1>
      <x:formula2>0</x:formula2>
    </x:dataValidation>
    <x:dataValidation type="list" errorStyle="stop" operator="between" allowBlank="1" showDropDown="0" showInputMessage="0" showErrorMessage="1" errorTitle="Sí / No" error="Elige Sí o No." sqref="G5:H29">
      <x:formula1>Listas!$B$2:$B$3</x:formula1>
      <x:formula2>0</x:formula2>
    </x:dataValidation>
    <x:dataValidation type="list" errorStyle="stop" operator="between" allowBlank="1" showDropDown="0" showInputMessage="0" showErrorMessage="1" errorTitle="Estado" error="Elige un estado de la lista." sqref="I5:I29">
      <x:formula1>Listas!$C$2:$C$5</x:formula1>
      <x:formula2>0</x:formula2>
    </x:dataValidation>
    <x:dataValidation type="date" errorStyle="stop" operator="greaterThan" allowBlank="1" showDropDown="0" showInputMessage="0" showErrorMessage="1" errorTitle="Fecha" error="Escribe una fecha válida (dd/mm/aaaa)." sqref="J5:J29">
      <x:formula1>36526</x:formula1>
      <x:formula2>0</x:formula2>
    </x:dataValidation>
    <x:dataValidation type="custom" errorStyle="stop" operator="between" allowBlank="1" showDropDown="0" showInputMessage="0" showErrorMessage="1" errorTitle="Situaciones respondidas" error="Escribe un número entre 0 y el total de situaciones del formulario (columna L)." sqref="K5:K29">
      <x:formula1>AND(ISNUMBER(K5),K5&gt;=0,K5&lt;=L5)</x:formula1>
      <x:formula2>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6" hidden="0" customWidth="1"/>
    <x:col min="2" max="2" width="13" hidden="0" customWidth="1"/>
    <x:col min="3" max="3" width="16" hidden="0" customWidth="1"/>
    <x:col min="4" max="5" width="13" hidden="0" customWidth="1"/>
    <x:col min="6" max="6" width="16" hidden="0" customWidth="1"/>
    <x:col min="7" max="7" width="22" hidden="0" customWidth="1"/>
  </x:cols>
  <x:sheetData>
    <x:row r="1" ht="17.350000381469727" hidden="0">
      <x:c r="A1" s="1" t="s">
        <x:v>51</x:v>
      </x:c>
    </x:row>
    <x:row r="2" ht="15" hidden="0">
      <x:c r="A2" s="2" t="s">
        <x:v>52</x:v>
      </x:c>
    </x:row>
    <x:row r="4" ht="15" hidden="0">
      <x:c r="A4" s="3" t="s">
        <x:v>53</x:v>
      </x:c>
      <x:c r="B4" s="3" t="s">
        <x:v>54</x:v>
      </x:c>
      <x:c r="C4" s="3" t="s">
        <x:v>55</x:v>
      </x:c>
    </x:row>
    <x:row r="5" ht="27" hidden="0" customHeight="1">
      <x:c r="A5" s="15" t="s">
        <x:v>56</x:v>
      </x:c>
      <x:c r="B5" s="7" t="n">
        <x:v>20</x:v>
      </x:c>
      <x:c r="C5" s="16" t="s">
        <x:v>57</x:v>
      </x:c>
    </x:row>
    <x:row r="6" ht="27" hidden="0" customHeight="1">
      <x:c r="A6" s="15" t="s">
        <x:v>58</x:v>
      </x:c>
      <x:c r="B6" s="7" t="n">
        <x:v>4</x:v>
      </x:c>
      <x:c r="C6" s="16" t="s">
        <x:v>59</x:v>
      </x:c>
    </x:row>
    <x:row r="7" ht="27" hidden="0" customHeight="1">
      <x:c r="A7" s="15" t="s">
        <x:v>60</x:v>
      </x:c>
      <x:c r="B7" s="7" t="n">
        <x:v>3</x:v>
      </x:c>
      <x:c r="C7" s="16" t="s">
        <x:v>61</x:v>
      </x:c>
    </x:row>
    <x:row r="8" ht="27" hidden="0" customHeight="1">
      <x:c r="A8" s="15" t="s">
        <x:v>62</x:v>
      </x:c>
      <x:c r="B8" s="7" t="n">
        <x:v>15</x:v>
      </x:c>
      <x:c r="C8" s="16" t="s">
        <x:v>63</x:v>
      </x:c>
    </x:row>
    <x:row r="9" ht="27" hidden="0" customHeight="1">
      <x:c r="A9" s="15" t="s">
        <x:v>64</x:v>
      </x:c>
      <x:c r="B9" s="7" t="n">
        <x:v>3</x:v>
      </x:c>
      <x:c r="C9" s="16" t="s">
        <x:v>65</x:v>
      </x:c>
    </x:row>
    <x:row r="11" ht="15" hidden="0">
      <x:c r="A11" s="17" t="s">
        <x:v>66</x:v>
      </x:c>
      <x:c r="B11" s="18"/>
      <x:c r="C11" s="18"/>
      <x:c r="D11" s="18"/>
      <x:c r="E11" s="18"/>
      <x:c r="F11" s="18"/>
      <x:c r="G11" s="18"/>
    </x:row>
    <x:row r="12" ht="31.5" hidden="0" customHeight="1">
      <x:c r="A12" s="3" t="s">
        <x:v>3</x:v>
      </x:c>
      <x:c r="B12" s="3" t="s">
        <x:v>67</x:v>
      </x:c>
      <x:c r="C12" s="3" t="s">
        <x:v>68</x:v>
      </x:c>
      <x:c r="D12" s="3" t="s">
        <x:v>69</x:v>
      </x:c>
      <x:c r="E12" s="3" t="s">
        <x:v>70</x:v>
      </x:c>
      <x:c r="F12" s="3" t="s">
        <x:v>71</x:v>
      </x:c>
      <x:c r="G12" s="3" t="s">
        <x:v>72</x:v>
      </x:c>
    </x:row>
    <x:row r="13" ht="15" hidden="0">
      <x:c r="A13" s="4" t="s">
        <x:v>43</x:v>
      </x:c>
      <x:c r="B13" s="6" t="n">
        <x:f aca="0">INDEX(Formularios!$B$2:$B$6,MATCH(A13,Formularios!$A$2:$A$6,0))</x:f>
        <x:v>12</x:v>
      </x:c>
      <x:c r="C13" s="6" t="n">
        <x:f aca="0">COUNTIF(Participantes!$B$5:$B$29,A13)</x:f>
        <x:v>5</x:v>
      </x:c>
      <x:c r="D13" s="6" t="n">
        <x:f aca="0">COUNTIFS(Participantes!$B$5:$B$29,A13,Participantes!$I$5:$I$29,"Transcrito")</x:f>
        <x:v>0</x:v>
      </x:c>
      <x:c r="E13" s="5" t="n">
        <x:f aca="0">$B$6</x:f>
        <x:v>4</x:v>
      </x:c>
      <x:c r="F13" s="5" t="n">
        <x:f aca="0">MAX(0,E13-D13)</x:f>
        <x:v>4</x:v>
      </x:c>
      <x:c r="G13" s="5" t="str">
        <x:f aca="0">IF(D13&gt;=$B$6,"Meta cumplida",IF(D13&gt;=$B$7,"Mínimo alcanzado","Insuficiente"))</x:f>
        <x:v>Insuficiente</x:v>
      </x:c>
    </x:row>
    <x:row r="14" ht="15" hidden="0">
      <x:c r="A14" s="4" t="s">
        <x:v>73</x:v>
      </x:c>
      <x:c r="B14" s="6" t="n">
        <x:f aca="0">INDEX(Formularios!$B$2:$B$6,MATCH(A14,Formularios!$A$2:$A$6,0))</x:f>
        <x:v>11</x:v>
      </x:c>
      <x:c r="C14" s="6" t="n">
        <x:f aca="0">COUNTIF(Participantes!$B$5:$B$29,A14)</x:f>
        <x:v>5</x:v>
      </x:c>
      <x:c r="D14" s="6" t="n">
        <x:f aca="0">COUNTIFS(Participantes!$B$5:$B$29,A14,Participantes!$I$5:$I$29,"Transcrito")</x:f>
        <x:v>0</x:v>
      </x:c>
      <x:c r="E14" s="5" t="n">
        <x:f aca="0">$B$6</x:f>
        <x:v>4</x:v>
      </x:c>
      <x:c r="F14" s="5" t="n">
        <x:f aca="0">MAX(0,E14-D14)</x:f>
        <x:v>4</x:v>
      </x:c>
      <x:c r="G14" s="5" t="str">
        <x:f aca="0">IF(D14&gt;=$B$6,"Meta cumplida",IF(D14&gt;=$B$7,"Mínimo alcanzado","Insuficiente"))</x:f>
        <x:v>Insuficiente</x:v>
      </x:c>
    </x:row>
    <x:row r="15" ht="15" hidden="0">
      <x:c r="A15" s="4" t="s">
        <x:v>74</x:v>
      </x:c>
      <x:c r="B15" s="6" t="n">
        <x:f aca="0">INDEX(Formularios!$B$2:$B$6,MATCH(A15,Formularios!$A$2:$A$6,0))</x:f>
        <x:v>11</x:v>
      </x:c>
      <x:c r="C15" s="6" t="n">
        <x:f aca="0">COUNTIF(Participantes!$B$5:$B$29,A15)</x:f>
        <x:v>5</x:v>
      </x:c>
      <x:c r="D15" s="6" t="n">
        <x:f aca="0">COUNTIFS(Participantes!$B$5:$B$29,A15,Participantes!$I$5:$I$29,"Transcrito")</x:f>
        <x:v>0</x:v>
      </x:c>
      <x:c r="E15" s="5" t="n">
        <x:f aca="0">$B$6</x:f>
        <x:v>4</x:v>
      </x:c>
      <x:c r="F15" s="5" t="n">
        <x:f aca="0">MAX(0,E15-D15)</x:f>
        <x:v>4</x:v>
      </x:c>
      <x:c r="G15" s="5" t="str">
        <x:f aca="0">IF(D15&gt;=$B$6,"Meta cumplida",IF(D15&gt;=$B$7,"Mínimo alcanzado","Insuficiente"))</x:f>
        <x:v>Insuficiente</x:v>
      </x:c>
    </x:row>
    <x:row r="16" ht="15" hidden="0">
      <x:c r="A16" s="4" t="s">
        <x:v>75</x:v>
      </x:c>
      <x:c r="B16" s="6" t="n">
        <x:f aca="0">INDEX(Formularios!$B$2:$B$6,MATCH(A16,Formularios!$A$2:$A$6,0))</x:f>
        <x:v>11</x:v>
      </x:c>
      <x:c r="C16" s="6" t="n">
        <x:f aca="0">COUNTIF(Participantes!$B$5:$B$29,A16)</x:f>
        <x:v>5</x:v>
      </x:c>
      <x:c r="D16" s="6" t="n">
        <x:f aca="0">COUNTIFS(Participantes!$B$5:$B$29,A16,Participantes!$I$5:$I$29,"Transcrito")</x:f>
        <x:v>0</x:v>
      </x:c>
      <x:c r="E16" s="5" t="n">
        <x:f aca="0">$B$6</x:f>
        <x:v>4</x:v>
      </x:c>
      <x:c r="F16" s="5" t="n">
        <x:f aca="0">MAX(0,E16-D16)</x:f>
        <x:v>4</x:v>
      </x:c>
      <x:c r="G16" s="5" t="str">
        <x:f aca="0">IF(D16&gt;=$B$6,"Meta cumplida",IF(D16&gt;=$B$7,"Mínimo alcanzado","Insuficiente"))</x:f>
        <x:v>Insuficiente</x:v>
      </x:c>
    </x:row>
    <x:row r="17" ht="15" hidden="0">
      <x:c r="A17" s="4" t="s">
        <x:v>76</x:v>
      </x:c>
      <x:c r="B17" s="6" t="n">
        <x:f aca="0">INDEX(Formularios!$B$2:$B$6,MATCH(A17,Formularios!$A$2:$A$6,0))</x:f>
        <x:v>11</x:v>
      </x:c>
      <x:c r="C17" s="6" t="n">
        <x:f aca="0">COUNTIF(Participantes!$B$5:$B$29,A17)</x:f>
        <x:v>5</x:v>
      </x:c>
      <x:c r="D17" s="6" t="n">
        <x:f aca="0">COUNTIFS(Participantes!$B$5:$B$29,A17,Participantes!$I$5:$I$29,"Transcrito")</x:f>
        <x:v>0</x:v>
      </x:c>
      <x:c r="E17" s="5" t="n">
        <x:f aca="0">$B$6</x:f>
        <x:v>4</x:v>
      </x:c>
      <x:c r="F17" s="5" t="n">
        <x:f aca="0">MAX(0,E17-D17)</x:f>
        <x:v>4</x:v>
      </x:c>
      <x:c r="G17" s="5" t="str">
        <x:f aca="0">IF(D17&gt;=$B$6,"Meta cumplida",IF(D17&gt;=$B$7,"Mínimo alcanzado","Insuficiente"))</x:f>
        <x:v>Insuficiente</x:v>
      </x:c>
    </x:row>
    <x:row r="18" ht="15" hidden="0">
      <x:c r="A18" s="4" t="s">
        <x:v>77</x:v>
      </x:c>
      <x:c r="B18" s="4" t="n">
        <x:f aca="0">SUM(B13:B17)</x:f>
        <x:v>56</x:v>
      </x:c>
      <x:c r="C18" s="4" t="n">
        <x:f aca="0">SUM(C13:C17)</x:f>
        <x:v>25</x:v>
      </x:c>
      <x:c r="D18" s="4" t="n">
        <x:f aca="0">SUM(D13:D17)</x:f>
        <x:v>0</x:v>
      </x:c>
      <x:c r="E18" s="4" t="n">
        <x:f aca="0">SUM(E13:E17)</x:f>
        <x:v>20</x:v>
      </x:c>
      <x:c r="F18" s="4" t="n">
        <x:f aca="0">SUM(F13:F17)</x:f>
        <x:v>20</x:v>
      </x:c>
      <x:c r="G18" s="4" t="str">
        <x:f aca="0">IF(AND(D18&gt;=$B$8,MIN(D13:D17)&gt;=$B$7),"Listo para la Parte B","Aún no")</x:f>
        <x:v>Aún no</x:v>
      </x:c>
    </x:row>
    <x:row r="20" ht="15" hidden="0">
      <x:c r="A20" s="17" t="s">
        <x:v>78</x:v>
      </x:c>
      <x:c r="B20" s="18"/>
      <x:c r="C20" s="18"/>
      <x:c r="D20" s="18"/>
      <x:c r="E20" s="18"/>
      <x:c r="F20" s="18"/>
      <x:c r="G20" s="18"/>
    </x:row>
    <x:row r="21" ht="30" hidden="0" customHeight="1">
      <x:c r="A21" s="3" t="s">
        <x:v>3</x:v>
      </x:c>
      <x:c r="B21" s="3" t="str">
        <x:f aca="0">Listas!$A$2</x:f>
        <x:v>18–29</x:v>
      </x:c>
      <x:c r="C21" s="3" t="str">
        <x:f aca="0">Listas!$A$3</x:f>
        <x:v>30–44</x:v>
      </x:c>
      <x:c r="D21" s="3" t="str">
        <x:f aca="0">Listas!$A$4</x:f>
        <x:v>45–59</x:v>
      </x:c>
      <x:c r="E21" s="3" t="str">
        <x:f aca="0">Listas!$A$5</x:f>
        <x:v>60 a más</x:v>
      </x:c>
      <x:c r="F21" s="3" t="s">
        <x:v>79</x:v>
      </x:c>
      <x:c r="G21" s="3" t="s">
        <x:v>80</x:v>
      </x:c>
    </x:row>
    <x:row r="22" ht="15" hidden="0">
      <x:c r="A22" s="4" t="s">
        <x:v>43</x:v>
      </x:c>
      <x:c r="B22" s="6" t="n">
        <x:f aca="0">COUNTIFS(Participantes!$B$5:$B$29,$A22,Participantes!$E$5:$E$29,B$21)</x:f>
        <x:v>0</x:v>
      </x:c>
      <x:c r="C22" s="6" t="n">
        <x:f aca="0">COUNTIFS(Participantes!$B$5:$B$29,$A22,Participantes!$E$5:$E$29,C$21)</x:f>
        <x:v>0</x:v>
      </x:c>
      <x:c r="D22" s="6" t="n">
        <x:f aca="0">COUNTIFS(Participantes!$B$5:$B$29,$A22,Participantes!$E$5:$E$29,D$21)</x:f>
        <x:v>0</x:v>
      </x:c>
      <x:c r="E22" s="6" t="n">
        <x:f aca="0">COUNTIFS(Participantes!$B$5:$B$29,$A22,Participantes!$E$5:$E$29,E$21)</x:f>
        <x:v>0</x:v>
      </x:c>
      <x:c r="F22" s="5" t="n">
        <x:f aca="0">SUMPRODUCT(--(B22:E22&gt;0))</x:f>
        <x:v>0</x:v>
      </x:c>
      <x:c r="G22" s="5" t="str">
        <x:f aca="0">IF(SUM(B22:E22)=0,"",IF(F22&gt;=$B$9,"Buena",IF(F22&gt;=$B$9-1,"Media","Baja")))</x:f>
      </x:c>
    </x:row>
    <x:row r="23" ht="15" hidden="0">
      <x:c r="A23" s="4" t="s">
        <x:v>73</x:v>
      </x:c>
      <x:c r="B23" s="6" t="n">
        <x:f aca="0">COUNTIFS(Participantes!$B$5:$B$29,$A23,Participantes!$E$5:$E$29,B$21)</x:f>
        <x:v>0</x:v>
      </x:c>
      <x:c r="C23" s="6" t="n">
        <x:f aca="0">COUNTIFS(Participantes!$B$5:$B$29,$A23,Participantes!$E$5:$E$29,C$21)</x:f>
        <x:v>0</x:v>
      </x:c>
      <x:c r="D23" s="6" t="n">
        <x:f aca="0">COUNTIFS(Participantes!$B$5:$B$29,$A23,Participantes!$E$5:$E$29,D$21)</x:f>
        <x:v>0</x:v>
      </x:c>
      <x:c r="E23" s="6" t="n">
        <x:f aca="0">COUNTIFS(Participantes!$B$5:$B$29,$A23,Participantes!$E$5:$E$29,E$21)</x:f>
        <x:v>0</x:v>
      </x:c>
      <x:c r="F23" s="5" t="n">
        <x:f aca="0">SUMPRODUCT(--(B23:E23&gt;0))</x:f>
        <x:v>0</x:v>
      </x:c>
      <x:c r="G23" s="5" t="str">
        <x:f aca="0">IF(SUM(B23:E23)=0,"",IF(F23&gt;=$B$9,"Buena",IF(F23&gt;=$B$9-1,"Media","Baja")))</x:f>
      </x:c>
    </x:row>
    <x:row r="24" ht="15" hidden="0">
      <x:c r="A24" s="4" t="s">
        <x:v>74</x:v>
      </x:c>
      <x:c r="B24" s="6" t="n">
        <x:f aca="0">COUNTIFS(Participantes!$B$5:$B$29,$A24,Participantes!$E$5:$E$29,B$21)</x:f>
        <x:v>0</x:v>
      </x:c>
      <x:c r="C24" s="6" t="n">
        <x:f aca="0">COUNTIFS(Participantes!$B$5:$B$29,$A24,Participantes!$E$5:$E$29,C$21)</x:f>
        <x:v>0</x:v>
      </x:c>
      <x:c r="D24" s="6" t="n">
        <x:f aca="0">COUNTIFS(Participantes!$B$5:$B$29,$A24,Participantes!$E$5:$E$29,D$21)</x:f>
        <x:v>0</x:v>
      </x:c>
      <x:c r="E24" s="6" t="n">
        <x:f aca="0">COUNTIFS(Participantes!$B$5:$B$29,$A24,Participantes!$E$5:$E$29,E$21)</x:f>
        <x:v>0</x:v>
      </x:c>
      <x:c r="F24" s="5" t="n">
        <x:f aca="0">SUMPRODUCT(--(B24:E24&gt;0))</x:f>
        <x:v>0</x:v>
      </x:c>
      <x:c r="G24" s="5" t="str">
        <x:f aca="0">IF(SUM(B24:E24)=0,"",IF(F24&gt;=$B$9,"Buena",IF(F24&gt;=$B$9-1,"Media","Baja")))</x:f>
      </x:c>
    </x:row>
    <x:row r="25" ht="15" hidden="0">
      <x:c r="A25" s="4" t="s">
        <x:v>75</x:v>
      </x:c>
      <x:c r="B25" s="6" t="n">
        <x:f aca="0">COUNTIFS(Participantes!$B$5:$B$29,$A25,Participantes!$E$5:$E$29,B$21)</x:f>
        <x:v>0</x:v>
      </x:c>
      <x:c r="C25" s="6" t="n">
        <x:f aca="0">COUNTIFS(Participantes!$B$5:$B$29,$A25,Participantes!$E$5:$E$29,C$21)</x:f>
        <x:v>0</x:v>
      </x:c>
      <x:c r="D25" s="6" t="n">
        <x:f aca="0">COUNTIFS(Participantes!$B$5:$B$29,$A25,Participantes!$E$5:$E$29,D$21)</x:f>
        <x:v>0</x:v>
      </x:c>
      <x:c r="E25" s="6" t="n">
        <x:f aca="0">COUNTIFS(Participantes!$B$5:$B$29,$A25,Participantes!$E$5:$E$29,E$21)</x:f>
        <x:v>0</x:v>
      </x:c>
      <x:c r="F25" s="5" t="n">
        <x:f aca="0">SUMPRODUCT(--(B25:E25&gt;0))</x:f>
        <x:v>0</x:v>
      </x:c>
      <x:c r="G25" s="5" t="str">
        <x:f aca="0">IF(SUM(B25:E25)=0,"",IF(F25&gt;=$B$9,"Buena",IF(F25&gt;=$B$9-1,"Media","Baja")))</x:f>
      </x:c>
    </x:row>
    <x:row r="26" ht="15" hidden="0">
      <x:c r="A26" s="4" t="s">
        <x:v>76</x:v>
      </x:c>
      <x:c r="B26" s="6" t="n">
        <x:f aca="0">COUNTIFS(Participantes!$B$5:$B$29,$A26,Participantes!$E$5:$E$29,B$21)</x:f>
        <x:v>0</x:v>
      </x:c>
      <x:c r="C26" s="6" t="n">
        <x:f aca="0">COUNTIFS(Participantes!$B$5:$B$29,$A26,Participantes!$E$5:$E$29,C$21)</x:f>
        <x:v>0</x:v>
      </x:c>
      <x:c r="D26" s="6" t="n">
        <x:f aca="0">COUNTIFS(Participantes!$B$5:$B$29,$A26,Participantes!$E$5:$E$29,D$21)</x:f>
        <x:v>0</x:v>
      </x:c>
      <x:c r="E26" s="6" t="n">
        <x:f aca="0">COUNTIFS(Participantes!$B$5:$B$29,$A26,Participantes!$E$5:$E$29,E$21)</x:f>
        <x:v>0</x:v>
      </x:c>
      <x:c r="F26" s="5" t="n">
        <x:f aca="0">SUMPRODUCT(--(B26:E26&gt;0))</x:f>
        <x:v>0</x:v>
      </x:c>
      <x:c r="G26" s="5" t="str">
        <x:f aca="0">IF(SUM(B26:E26)=0,"",IF(F26&gt;=$B$9,"Buena",IF(F26&gt;=$B$9-1,"Media","Baja")))</x:f>
      </x:c>
    </x:row>
    <x:row r="27" ht="15" hidden="0">
      <x:c r="A27" s="2" t="s">
        <x:v>81</x:v>
      </x:c>
    </x:row>
  </x:sheetData>
  <x:conditionalFormatting sqref="G13:G18">
    <x:cfRule type="cellIs" dxfId="0" priority="2" aboveAverage="0" percent="0" bottom="0" operator="equal" rank="0" equalAverage="0">
      <x:formula>"Meta cumplida"</x:formula>
    </x:cfRule>
    <x:cfRule type="cellIs" dxfId="0" priority="3" aboveAverage="0" percent="0" bottom="0" operator="equal" rank="0" equalAverage="0">
      <x:formula>"Listo para la Parte B"</x:formula>
    </x:cfRule>
    <x:cfRule type="cellIs" dxfId="1" priority="4" aboveAverage="0" percent="0" bottom="0" operator="equal" rank="0" equalAverage="0">
      <x:formula>"Mínimo alcanzado"</x:formula>
    </x:cfRule>
    <x:cfRule type="cellIs" dxfId="1" priority="5" aboveAverage="0" percent="0" bottom="0" operator="equal" rank="0" equalAverage="0">
      <x:formula>"Aún no"</x:formula>
    </x:cfRule>
    <x:cfRule type="cellIs" dxfId="2" priority="6" aboveAverage="0" percent="0" bottom="0" operator="equal" rank="0" equalAverage="0">
      <x:formula>"Insuficiente"</x:formula>
    </x:cfRule>
  </x:conditionalFormatting>
  <x:conditionalFormatting sqref="G22:G26">
    <x:cfRule type="cellIs" dxfId="0" priority="7" aboveAverage="0" percent="0" bottom="0" operator="equal" rank="0" equalAverage="0">
      <x:formula>"Buena"</x:formula>
    </x:cfRule>
    <x:cfRule type="cellIs" dxfId="1" priority="8" aboveAverage="0" percent="0" bottom="0" operator="equal" rank="0" equalAverage="0">
      <x:formula>"Media"</x:formula>
    </x:cfRule>
    <x:cfRule type="cellIs" dxfId="2" priority="9" aboveAverage="0" percent="0" bottom="0" operator="equal" rank="0" equalAverage="0">
      <x:formula>"Baja"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8" hidden="0" customWidth="1"/>
    <x:col min="2" max="4" width="13" hidden="0" customWidth="1"/>
    <x:col min="5" max="5" width="18" hidden="0" customWidth="1"/>
  </x:cols>
  <x:sheetData>
    <x:row r="1" ht="30" hidden="0" customHeight="1">
      <x:c r="A1" s="3" t="s">
        <x:v>3</x:v>
      </x:c>
      <x:c r="B1" s="3" t="s">
        <x:v>67</x:v>
      </x:c>
      <x:c r="C1" s="3" t="s">
        <x:v>82</x:v>
      </x:c>
      <x:c r="D1" s="3" t="s">
        <x:v>83</x:v>
      </x:c>
      <x:c r="E1" s="3" t="s">
        <x:v>4</x:v>
      </x:c>
    </x:row>
    <x:row r="2" ht="15" hidden="0">
      <x:c r="A2" s="4" t="s">
        <x:v>43</x:v>
      </x:c>
      <x:c r="B2" s="19" t="n">
        <x:v>12</x:v>
      </x:c>
      <x:c r="C2" s="19" t="n">
        <x:v>2</x:v>
      </x:c>
      <x:c r="D2" s="19" t="n">
        <x:v>3</x:v>
      </x:c>
      <x:c r="E2" s="5" t="str">
        <x:f aca="0">C2&amp;"–"&amp;D2</x:f>
        <x:v>2–3</x:v>
      </x:c>
    </x:row>
    <x:row r="3" ht="15" hidden="0">
      <x:c r="A3" s="4" t="s">
        <x:v>73</x:v>
      </x:c>
      <x:c r="B3" s="19" t="n">
        <x:v>11</x:v>
      </x:c>
      <x:c r="C3" s="19" t="n">
        <x:v>4</x:v>
      </x:c>
      <x:c r="D3" s="19" t="n">
        <x:v>5</x:v>
      </x:c>
      <x:c r="E3" s="5" t="str">
        <x:f aca="0">C3&amp;"–"&amp;D3</x:f>
        <x:v>4–5</x:v>
      </x:c>
    </x:row>
    <x:row r="4" ht="15" hidden="0">
      <x:c r="A4" s="4" t="s">
        <x:v>74</x:v>
      </x:c>
      <x:c r="B4" s="19" t="n">
        <x:v>11</x:v>
      </x:c>
      <x:c r="C4" s="19" t="n">
        <x:v>6</x:v>
      </x:c>
      <x:c r="D4" s="19" t="n">
        <x:v>7</x:v>
      </x:c>
      <x:c r="E4" s="5" t="str">
        <x:f aca="0">C4&amp;"–"&amp;D4</x:f>
        <x:v>6–7</x:v>
      </x:c>
    </x:row>
    <x:row r="5" ht="15" hidden="0">
      <x:c r="A5" s="4" t="s">
        <x:v>75</x:v>
      </x:c>
      <x:c r="B5" s="19" t="n">
        <x:v>11</x:v>
      </x:c>
      <x:c r="C5" s="19" t="n">
        <x:v>8</x:v>
      </x:c>
      <x:c r="D5" s="19" t="n">
        <x:v>9</x:v>
      </x:c>
      <x:c r="E5" s="5" t="str">
        <x:f aca="0">C5&amp;"–"&amp;D5</x:f>
        <x:v>8–9</x:v>
      </x:c>
    </x:row>
    <x:row r="6" ht="15" hidden="0">
      <x:c r="A6" s="4" t="s">
        <x:v>76</x:v>
      </x:c>
      <x:c r="B6" s="19" t="n">
        <x:v>11</x:v>
      </x:c>
      <x:c r="C6" s="19" t="n">
        <x:v>10</x:v>
      </x:c>
      <x:c r="D6" s="19" t="n">
        <x:v>11</x:v>
      </x:c>
      <x:c r="E6" s="5" t="str">
        <x:f aca="0">C6&amp;"–"&amp;D6</x:f>
        <x:v>10–11</x:v>
      </x:c>
    </x:row>
    <x:row r="7" ht="15" hidden="0">
      <x:c r="A7" s="4" t="s">
        <x:v>77</x:v>
      </x:c>
      <x:c r="B7" s="4" t="n">
        <x:f aca="0">SUM(B2:B6)</x:f>
        <x:v>56</x:v>
      </x:c>
    </x:row>
    <x:row r="9" ht="15" hidden="0">
      <x:c r="A9" s="15" t="s">
        <x:v>84</x:v>
      </x:c>
      <x:c r="B9" s="19" t="n">
        <x:v>56</x:v>
      </x:c>
    </x:row>
    <x:row r="10" ht="15" hidden="0">
      <x:c r="A10" s="15" t="s">
        <x:v>85</x:v>
      </x:c>
      <x:c r="B10" s="4" t="str">
        <x:f aca="0">IF(B7=B9,"OK","Revisar")</x:f>
        <x:v>OK</x:v>
      </x:c>
    </x:row>
    <x:row r="12" ht="15" hidden="0">
      <x:c r="A12" s="2" t="s">
        <x:v>86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3" width="18" hidden="0" customWidth="1"/>
    <x:col min="5" max="5" width="14" hidden="0" customWidth="1"/>
    <x:col min="6" max="6" width="56" hidden="0" customWidth="1"/>
  </x:cols>
  <x:sheetData>
    <x:row r="1" ht="15" hidden="0">
      <x:c r="A1" s="20" t="s">
        <x:v>6</x:v>
      </x:c>
      <x:c r="B1" s="20" t="s">
        <x:v>87</x:v>
      </x:c>
      <x:c r="C1" s="20" t="s">
        <x:v>10</x:v>
      </x:c>
      <x:c r="E1" s="21" t="s">
        <x:v>88</x:v>
      </x:c>
    </x:row>
    <x:row r="2" ht="15" hidden="0">
      <x:c r="A2" s="22" t="s">
        <x:v>89</x:v>
      </x:c>
      <x:c r="B2" s="22" t="s">
        <x:v>48</x:v>
      </x:c>
      <x:c r="C2" s="22" t="s">
        <x:v>17</x:v>
      </x:c>
      <x:c r="E2" s="21" t="s">
        <x:v>17</x:v>
      </x:c>
      <x:c r="F2" s="23" t="s">
        <x:v>90</x:v>
      </x:c>
    </x:row>
    <x:row r="3" ht="15" hidden="0">
      <x:c r="A3" s="22" t="s">
        <x:v>46</x:v>
      </x:c>
      <x:c r="B3" s="22" t="s">
        <x:v>91</x:v>
      </x:c>
      <x:c r="C3" s="22" t="s">
        <x:v>92</x:v>
      </x:c>
      <x:c r="E3" s="21" t="s">
        <x:v>92</x:v>
      </x:c>
      <x:c r="F3" s="23" t="s">
        <x:v>93</x:v>
      </x:c>
    </x:row>
    <x:row r="4" ht="15" hidden="0">
      <x:c r="A4" s="22" t="s">
        <x:v>94</x:v>
      </x:c>
      <x:c r="C4" s="22" t="s">
        <x:v>95</x:v>
      </x:c>
      <x:c r="E4" s="21" t="s">
        <x:v>95</x:v>
      </x:c>
      <x:c r="F4" s="23" t="s">
        <x:v>96</x:v>
      </x:c>
    </x:row>
    <x:row r="5" ht="15" hidden="0">
      <x:c r="A5" s="22" t="s">
        <x:v>97</x:v>
      </x:c>
      <x:c r="C5" s="22" t="s">
        <x:v>49</x:v>
      </x:c>
      <x:c r="E5" s="21" t="s">
        <x:v>49</x:v>
      </x:c>
      <x:c r="F5" s="23" t="s">
        <x:v>98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20" hidden="0" customWidth="1"/>
  </x:cols>
  <x:sheetData>
    <x:row r="1" ht="17.350000381469727" hidden="0">
      <x:c r="A1" s="24" t="s">
        <x:v>99</x:v>
      </x:c>
    </x:row>
    <x:row r="2" ht="15" hidden="0">
      <x:c r="A2" s="25"/>
    </x:row>
    <x:row r="3" ht="15" hidden="0">
      <x:c r="A3" s="26" t="s">
        <x:v>100</x:v>
      </x:c>
    </x:row>
    <x:row r="4" ht="23.850000381469727" hidden="0">
      <x:c r="A4" s="25" t="s">
        <x:v>101</x:v>
      </x:c>
    </x:row>
    <x:row r="5" ht="23.850000381469727" hidden="0">
      <x:c r="A5" s="25" t="s">
        <x:v>102</x:v>
      </x:c>
    </x:row>
    <x:row r="6" ht="15" hidden="0">
      <x:c r="A6" s="25" t="s">
        <x:v>103</x:v>
      </x:c>
    </x:row>
    <x:row r="7" ht="15" hidden="0">
      <x:c r="A7" s="25" t="s">
        <x:v>104</x:v>
      </x:c>
    </x:row>
    <x:row r="8" ht="15" hidden="0">
      <x:c r="A8" s="25"/>
    </x:row>
    <x:row r="9" ht="15" hidden="0">
      <x:c r="A9" s="26" t="s">
        <x:v>105</x:v>
      </x:c>
    </x:row>
    <x:row r="10" ht="23.850000381469727" hidden="0">
      <x:c r="A10" s="25" t="s">
        <x:v>106</x:v>
      </x:c>
    </x:row>
    <x:row r="11" ht="15" hidden="0">
      <x:c r="A11" s="25" t="s">
        <x:v>107</x:v>
      </x:c>
    </x:row>
    <x:row r="12" ht="15" hidden="0">
      <x:c r="A12" s="25" t="s">
        <x:v>108</x:v>
      </x:c>
    </x:row>
    <x:row r="13" ht="15" hidden="0">
      <x:c r="A13" s="25" t="s">
        <x:v>109</x:v>
      </x:c>
    </x:row>
    <x:row r="14" ht="15" hidden="0">
      <x:c r="A14" s="25"/>
    </x:row>
    <x:row r="15" ht="15" hidden="0">
      <x:c r="A15" s="26" t="s">
        <x:v>110</x:v>
      </x:c>
    </x:row>
    <x:row r="16" ht="15" hidden="0">
      <x:c r="A16" s="25" t="s">
        <x:v>111</x:v>
      </x:c>
    </x:row>
    <x:row r="17" ht="23.850000381469727" hidden="0">
      <x:c r="A17" s="25" t="s">
        <x:v>112</x:v>
      </x:c>
    </x:row>
    <x:row r="18" ht="15" hidden="0">
      <x:c r="A18" s="25" t="s">
        <x:v>113</x:v>
      </x:c>
    </x:row>
    <x:row r="19" ht="23.850000381469727" hidden="0">
      <x:c r="A19" s="25" t="s">
        <x:v>114</x:v>
      </x:c>
    </x:row>
    <x:row r="20" ht="23.850000381469727" hidden="0">
      <x:c r="A20" s="25" t="s">
        <x:v>115</x:v>
      </x:c>
    </x:row>
    <x:row r="21" ht="23.850000381469727" hidden="0">
      <x:c r="A21" s="25" t="s">
        <x:v>116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38" hidden="0" customWidth="1"/>
    <x:col min="4" max="4" width="38" hidden="0" customWidth="1"/>
    <x:col min="5" max="5" width="88" hidden="0" customWidth="1"/>
    <x:col min="6" max="6" width="34" hidden="0" customWidth="1"/>
    <x:col min="7" max="7" width="24" hidden="0" customWidth="1"/>
  </x:cols>
  <x:sheetData>
    <x:row r="1" ht="32" customHeight="1">
      <x:c r="A1" s="30" t="str">
        <x:v>Situaciones asignadas a participantes — Lote 1</x:v>
      </x:c>
      <x:c r="B1" s="30"/>
      <x:c r="C1" s="30"/>
      <x:c r="D1" s="30"/>
      <x:c r="E1" s="30"/>
      <x:c r="F1" s="30"/>
      <x:c r="G1" s="30"/>
    </x:row>
    <x:row r="2" ht="36" customHeight="1">
      <x:c r="A2" s="34" t="str">
        <x:v>Catálogo tomado del CSV. Los participantes base y de reserva se vinculan por formulario; reserva solo se incorpora si reemplaza a alguien. No registra respuestas efectivamente recogidas.</x:v>
      </x:c>
      <x:c r="B2" s="34"/>
      <x:c r="C2" s="34"/>
      <x:c r="D2" s="34"/>
      <x:c r="E2" s="34"/>
      <x:c r="F2" s="34"/>
      <x:c r="G2" s="34"/>
    </x:row>
    <x:row r="4" ht="44" customHeight="1">
      <x:c r="A4" s="40" t="str">
        <x:v>ID de situación</x:v>
      </x:c>
      <x:c r="B4" s="40" t="str">
        <x:v>Formulario</x:v>
      </x:c>
      <x:c r="C4" s="40" t="str">
        <x:v>Categoría</x:v>
      </x:c>
      <x:c r="D4" s="40" t="str">
        <x:v>Intención esperada</x:v>
      </x:c>
      <x:c r="E4" s="40" t="str">
        <x:v>Situación para presentar</x:v>
      </x:c>
      <x:c r="F4" s="40" t="str">
        <x:v>Participantes base asignados</x:v>
      </x:c>
      <x:c r="G4" s="40" t="str">
        <x:v>Reserva del formulario</x:v>
      </x:c>
    </x:row>
    <x:row r="5" ht="45" customHeight="1">
      <x:c r="A5" s="43" t="str">
        <x:v>S01</x:v>
      </x:c>
      <x:c r="B5" s="43" t="str">
        <x:v>A</x:v>
      </x:c>
      <x:c r="C5" s="43" t="str">
        <x:v>Licencias y autorizaciones</x:v>
      </x:c>
      <x:c r="D5" s="43" t="str">
        <x:v>licencia_funcionamiento_requisitos</x:v>
      </x:c>
      <x:c r="E5" s="43" t="str">
        <x:v>Vas a abrir una tiendita en tu barrio y no sabes qué papeles te van a pedir en la municipalidad para poder atender legalmente.</x:v>
      </x:c>
      <x:c r="F5" s="43" t="str">
        <x:v>P01, P06, P11, P16</x:v>
      </x:c>
      <x:c r="G5" s="43" t="str">
        <x:v>P21</x:v>
      </x:c>
    </x:row>
    <x:row r="6" ht="45" customHeight="1">
      <x:c r="A6" s="43" t="str">
        <x:v>S02</x:v>
      </x:c>
      <x:c r="B6" s="43" t="str">
        <x:v>B</x:v>
      </x:c>
      <x:c r="C6" s="43" t="str">
        <x:v>Licencias y autorizaciones</x:v>
      </x:c>
      <x:c r="D6" s="43" t="str">
        <x:v>licencia_funcionamiento_costo</x:v>
      </x:c>
      <x:c r="E6" s="43" t="str">
        <x:v>Ya sabes que necesitas un permiso de la municipalidad para tu negocio y quieres saber cuánto tendrías que pagar por él.</x:v>
      </x:c>
      <x:c r="F6" s="43" t="str">
        <x:v>P02, P07, P12, P17</x:v>
      </x:c>
      <x:c r="G6" s="43" t="str">
        <x:v>P22</x:v>
      </x:c>
    </x:row>
    <x:row r="7" ht="45" customHeight="1">
      <x:c r="A7" s="43" t="str">
        <x:v>S03</x:v>
      </x:c>
      <x:c r="B7" s="43" t="str">
        <x:v>C</x:v>
      </x:c>
      <x:c r="C7" s="43" t="str">
        <x:v>Licencias y autorizaciones</x:v>
      </x:c>
      <x:c r="D7" s="43" t="str">
        <x:v>licencia_funcionamiento_plazo</x:v>
      </x:c>
      <x:c r="E7" s="43" t="str">
        <x:v>Entregaste tus papeles para el permiso de tu negocio y quieres saber cuántos días demoran en dártelo.</x:v>
      </x:c>
      <x:c r="F7" s="43" t="str">
        <x:v>P03, P08, P13, P18</x:v>
      </x:c>
      <x:c r="G7" s="43" t="str">
        <x:v>P23</x:v>
      </x:c>
    </x:row>
    <x:row r="8" ht="45" customHeight="1">
      <x:c r="A8" s="43" t="str">
        <x:v>S04</x:v>
      </x:c>
      <x:c r="B8" s="43" t="str">
        <x:v>D</x:v>
      </x:c>
      <x:c r="C8" s="43" t="str">
        <x:v>Licencias y autorizaciones</x:v>
      </x:c>
      <x:c r="D8" s="43" t="str">
        <x:v>licencia_edificacion_requisitos</x:v>
      </x:c>
      <x:c r="E8" s="43" t="str">
        <x:v>Quieres construir un segundo piso en tu casa y quieres saber qué documentos tendrías que presentar antes de empezar la obra.</x:v>
      </x:c>
      <x:c r="F8" s="43" t="str">
        <x:v>P04, P09, P14, P19</x:v>
      </x:c>
      <x:c r="G8" s="43" t="str">
        <x:v>P24</x:v>
      </x:c>
    </x:row>
    <x:row r="9" ht="45" customHeight="1">
      <x:c r="A9" s="43" t="str">
        <x:v>S05</x:v>
      </x:c>
      <x:c r="B9" s="43" t="str">
        <x:v>E</x:v>
      </x:c>
      <x:c r="C9" s="43" t="str">
        <x:v>Licencias y autorizaciones</x:v>
      </x:c>
      <x:c r="D9" s="43" t="str">
        <x:v>licencia_edificacion_costo</x:v>
      </x:c>
      <x:c r="E9" s="43" t="str">
        <x:v>Vas a construir en tu terreno y quieres saber cuánto cobra la municipalidad por autorizar la obra.</x:v>
      </x:c>
      <x:c r="F9" s="43" t="str">
        <x:v>P05, P10, P15, P20</x:v>
      </x:c>
      <x:c r="G9" s="43" t="str">
        <x:v>P25</x:v>
      </x:c>
    </x:row>
    <x:row r="10" ht="45" customHeight="1">
      <x:c r="A10" s="43" t="str">
        <x:v>S06</x:v>
      </x:c>
      <x:c r="B10" s="43" t="str">
        <x:v>A</x:v>
      </x:c>
      <x:c r="C10" s="43" t="str">
        <x:v>Licencias y autorizaciones</x:v>
      </x:c>
      <x:c r="D10" s="43" t="str">
        <x:v>renovacion_licencia</x:v>
      </x:c>
      <x:c r="E10" s="43" t="str">
        <x:v>El permiso de funcionamiento de tu negocio ya se venció y quieres saber qué tienes que hacer para dejarlo vigente otra vez.</x:v>
      </x:c>
      <x:c r="F10" s="43" t="str">
        <x:v>P01, P06, P11, P16</x:v>
      </x:c>
      <x:c r="G10" s="43" t="str">
        <x:v>P21</x:v>
      </x:c>
    </x:row>
    <x:row r="11" ht="45" customHeight="1">
      <x:c r="A11" s="43" t="str">
        <x:v>S07</x:v>
      </x:c>
      <x:c r="B11" s="43" t="str">
        <x:v>B</x:v>
      </x:c>
      <x:c r="C11" s="43" t="str">
        <x:v>Tributos y pagos municipales</x:v>
      </x:c>
      <x:c r="D11" s="43" t="str">
        <x:v>consulta_deuda_predial</x:v>
      </x:c>
      <x:c r="E11" s="43" t="str">
        <x:v>Quieres saber si debes impuestos por tu casa o terreno, y cuánto sería.</x:v>
      </x:c>
      <x:c r="F11" s="43" t="str">
        <x:v>P02, P07, P12, P17</x:v>
      </x:c>
      <x:c r="G11" s="43" t="str">
        <x:v>P22</x:v>
      </x:c>
    </x:row>
    <x:row r="12" ht="45" customHeight="1">
      <x:c r="A12" s="43" t="str">
        <x:v>S08</x:v>
      </x:c>
      <x:c r="B12" s="43" t="str">
        <x:v>C</x:v>
      </x:c>
      <x:c r="C12" s="43" t="str">
        <x:v>Tributos y pagos municipales</x:v>
      </x:c>
      <x:c r="D12" s="43" t="str">
        <x:v>pago_predial_como</x:v>
      </x:c>
      <x:c r="E12" s="43" t="str">
        <x:v>Ya sabes que debes pagar el impuesto de tu casa y quieres saber dónde o de qué forma puedes hacerlo.</x:v>
      </x:c>
      <x:c r="F12" s="43" t="str">
        <x:v>P03, P08, P13, P18</x:v>
      </x:c>
      <x:c r="G12" s="43" t="str">
        <x:v>P23</x:v>
      </x:c>
    </x:row>
    <x:row r="13" ht="45" customHeight="1">
      <x:c r="A13" s="43" t="str">
        <x:v>S09</x:v>
      </x:c>
      <x:c r="B13" s="43" t="str">
        <x:v>D</x:v>
      </x:c>
      <x:c r="C13" s="43" t="str">
        <x:v>Tributos y pagos municipales</x:v>
      </x:c>
      <x:c r="D13" s="43" t="str">
        <x:v>pago_arbitrios</x:v>
      </x:c>
      <x:c r="E13" s="43" t="str">
        <x:v>Te llegó un cobro por el recojo de basura, la limpieza de calles y el serenazgo, y quieres saber cómo pagarlo.</x:v>
      </x:c>
      <x:c r="F13" s="43" t="str">
        <x:v>P04, P09, P14, P19</x:v>
      </x:c>
      <x:c r="G13" s="43" t="str">
        <x:v>P24</x:v>
      </x:c>
    </x:row>
    <x:row r="14" ht="45" customHeight="1">
      <x:c r="A14" s="43" t="str">
        <x:v>S10</x:v>
      </x:c>
      <x:c r="B14" s="43" t="str">
        <x:v>E</x:v>
      </x:c>
      <x:c r="C14" s="43" t="str">
        <x:v>Tributos y pagos municipales</x:v>
      </x:c>
      <x:c r="D14" s="43" t="str">
        <x:v>impuesto_alcabala</x:v>
      </x:c>
      <x:c r="E14" s="43" t="str">
        <x:v>Acabas de comprar un terreno y te dijeron que hay un impuesto por esa compra; quieres saber de qué trata y cómo se paga.</x:v>
      </x:c>
      <x:c r="F14" s="43" t="str">
        <x:v>P05, P10, P15, P20</x:v>
      </x:c>
      <x:c r="G14" s="43" t="str">
        <x:v>P25</x:v>
      </x:c>
    </x:row>
    <x:row r="15" ht="45" customHeight="1">
      <x:c r="A15" s="43" t="str">
        <x:v>S11</x:v>
      </x:c>
      <x:c r="B15" s="43" t="str">
        <x:v>A</x:v>
      </x:c>
      <x:c r="C15" s="43" t="str">
        <x:v>Tributos y pagos municipales</x:v>
      </x:c>
      <x:c r="D15" s="43" t="str">
        <x:v>fraccionamiento_deuda</x:v>
      </x:c>
      <x:c r="E15" s="43" t="str">
        <x:v>Debes varios años de impuestos municipales y no puedes pagar todo de golpe; quieres saber si puedes pagarlo poco a poco.</x:v>
      </x:c>
      <x:c r="F15" s="43" t="str">
        <x:v>P01, P06, P11, P16</x:v>
      </x:c>
      <x:c r="G15" s="43" t="str">
        <x:v>P21</x:v>
      </x:c>
    </x:row>
    <x:row r="16" ht="45" customHeight="1">
      <x:c r="A16" s="43" t="str">
        <x:v>S12</x:v>
      </x:c>
      <x:c r="B16" s="43" t="str">
        <x:v>B</x:v>
      </x:c>
      <x:c r="C16" s="43" t="str">
        <x:v>Tributos y pagos municipales</x:v>
      </x:c>
      <x:c r="D16" s="43" t="str">
        <x:v>constancia_no_adeudo</x:v>
      </x:c>
      <x:c r="E16" s="43" t="str">
        <x:v>Te piden un papel que demuestre que no tienes deudas con la municipalidad y quieres saber cómo conseguirlo.</x:v>
      </x:c>
      <x:c r="F16" s="43" t="str">
        <x:v>P02, P07, P12, P17</x:v>
      </x:c>
      <x:c r="G16" s="43" t="str">
        <x:v>P22</x:v>
      </x:c>
    </x:row>
    <x:row r="17" ht="45" customHeight="1">
      <x:c r="A17" s="43" t="str">
        <x:v>S13</x:v>
      </x:c>
      <x:c r="B17" s="43" t="str">
        <x:v>C</x:v>
      </x:c>
      <x:c r="C17" s="43" t="str">
        <x:v>Trámites documentarios</x:v>
      </x:c>
      <x:c r="D17" s="43" t="str">
        <x:v>requisitos_mesa_partes</x:v>
      </x:c>
      <x:c r="E17" s="43" t="str">
        <x:v>Quieres entregar una solicitud por escrito en la municipalidad y no sabes qué tienes que llevar.</x:v>
      </x:c>
      <x:c r="F17" s="43" t="str">
        <x:v>P03, P08, P13, P18</x:v>
      </x:c>
      <x:c r="G17" s="43" t="str">
        <x:v>P23</x:v>
      </x:c>
    </x:row>
    <x:row r="18" ht="45" customHeight="1">
      <x:c r="A18" s="43" t="str">
        <x:v>S14</x:v>
      </x:c>
      <x:c r="B18" s="43" t="str">
        <x:v>D</x:v>
      </x:c>
      <x:c r="C18" s="43" t="str">
        <x:v>Trámites documentarios</x:v>
      </x:c>
      <x:c r="D18" s="43" t="str">
        <x:v>estado_tramite</x:v>
      </x:c>
      <x:c r="E18" s="43" t="str">
        <x:v>Dejaste unos papeles en la municipalidad hace semanas y quieres saber cómo va tu trámite.</x:v>
      </x:c>
      <x:c r="F18" s="43" t="str">
        <x:v>P04, P09, P14, P19</x:v>
      </x:c>
      <x:c r="G18" s="43" t="str">
        <x:v>P24</x:v>
      </x:c>
    </x:row>
    <x:row r="19" ht="45" customHeight="1">
      <x:c r="A19" s="43" t="str">
        <x:v>S15</x:v>
      </x:c>
      <x:c r="B19" s="43" t="str">
        <x:v>E</x:v>
      </x:c>
      <x:c r="C19" s="43" t="str">
        <x:v>Trámites documentarios</x:v>
      </x:c>
      <x:c r="D19" s="43" t="str">
        <x:v>horario_mesa_partes</x:v>
      </x:c>
      <x:c r="E19" s="43" t="str">
        <x:v>Quieres ir a dejar un documento a la municipalidad y necesitas saber a qué hora y qué días puedes hacerlo.</x:v>
      </x:c>
      <x:c r="F19" s="43" t="str">
        <x:v>P05, P10, P15, P20</x:v>
      </x:c>
      <x:c r="G19" s="43" t="str">
        <x:v>P25</x:v>
      </x:c>
    </x:row>
    <x:row r="20" ht="45" customHeight="1">
      <x:c r="A20" s="43" t="str">
        <x:v>S16</x:v>
      </x:c>
      <x:c r="B20" s="43" t="str">
        <x:v>A</x:v>
      </x:c>
      <x:c r="C20" s="43" t="str">
        <x:v>Trámites documentarios</x:v>
      </x:c>
      <x:c r="D20" s="43" t="str">
        <x:v>copia_documento</x:v>
      </x:c>
      <x:c r="E20" s="43" t="str">
        <x:v>Necesitas una copia sellada de un documento que presentaste antes y ya no la tienes.</x:v>
      </x:c>
      <x:c r="F20" s="43" t="str">
        <x:v>P01, P06, P11, P16</x:v>
      </x:c>
      <x:c r="G20" s="43" t="str">
        <x:v>P21</x:v>
      </x:c>
    </x:row>
    <x:row r="21" ht="45" customHeight="1">
      <x:c r="A21" s="43" t="str">
        <x:v>S17</x:v>
      </x:c>
      <x:c r="B21" s="43" t="str">
        <x:v>B</x:v>
      </x:c>
      <x:c r="C21" s="43" t="str">
        <x:v>Trámites documentarios</x:v>
      </x:c>
      <x:c r="D21" s="43" t="str">
        <x:v>certificado_posesion</x:v>
      </x:c>
      <x:c r="E21" s="43" t="str">
        <x:v>Vives en un terreno que no tiene título y te piden un papel de la municipalidad que diga que tú lo ocupas; quieres saber cómo se consigue.</x:v>
      </x:c>
      <x:c r="F21" s="43" t="str">
        <x:v>P02, P07, P12, P17</x:v>
      </x:c>
      <x:c r="G21" s="43" t="str">
        <x:v>P22</x:v>
      </x:c>
    </x:row>
    <x:row r="22" ht="45" customHeight="1">
      <x:c r="A22" s="43" t="str">
        <x:v>S18</x:v>
      </x:c>
      <x:c r="B22" s="43" t="str">
        <x:v>C</x:v>
      </x:c>
      <x:c r="C22" s="43" t="str">
        <x:v>Trámites documentarios</x:v>
      </x:c>
      <x:c r="D22" s="43" t="str">
        <x:v>constancia_domiciliaria</x:v>
      </x:c>
      <x:c r="E22" s="43" t="str">
        <x:v>Te piden un documento que pruebe en qué dirección vives y quieres saber cómo sacarlo en la municipalidad.</x:v>
      </x:c>
      <x:c r="F22" s="43" t="str">
        <x:v>P03, P08, P13, P18</x:v>
      </x:c>
      <x:c r="G22" s="43" t="str">
        <x:v>P23</x:v>
      </x:c>
    </x:row>
    <x:row r="23" ht="45" customHeight="1">
      <x:c r="A23" s="43" t="str">
        <x:v>S19</x:v>
      </x:c>
      <x:c r="B23" s="43" t="str">
        <x:v>D</x:v>
      </x:c>
      <x:c r="C23" s="43" t="str">
        <x:v>Defensa civil y seguridad ciudadana</x:v>
      </x:c>
      <x:c r="D23" s="43" t="str">
        <x:v>certificado_defensa_civil</x:v>
      </x:c>
      <x:c r="E23" s="43" t="str">
        <x:v>Tu local necesita un certificado de seguridad para poder funcionar y quieres saber cómo se obtiene.</x:v>
      </x:c>
      <x:c r="F23" s="43" t="str">
        <x:v>P04, P09, P14, P19</x:v>
      </x:c>
      <x:c r="G23" s="43" t="str">
        <x:v>P24</x:v>
      </x:c>
    </x:row>
    <x:row r="24" ht="45" customHeight="1">
      <x:c r="A24" s="43" t="str">
        <x:v>S20</x:v>
      </x:c>
      <x:c r="B24" s="43" t="str">
        <x:v>E</x:v>
      </x:c>
      <x:c r="C24" s="43" t="str">
        <x:v>Defensa civil y seguridad ciudadana</x:v>
      </x:c>
      <x:c r="D24" s="43" t="str">
        <x:v>inspeccion_tecnica</x:v>
      </x:c>
      <x:c r="E24" s="43" t="str">
        <x:v>Quieres que un inspector vaya a revisar si tu local cumple las medidas de seguridad y quieres saber cómo se pide esa visita.</x:v>
      </x:c>
      <x:c r="F24" s="43" t="str">
        <x:v>P05, P10, P15, P20</x:v>
      </x:c>
      <x:c r="G24" s="43" t="str">
        <x:v>P25</x:v>
      </x:c>
    </x:row>
    <x:row r="25" ht="45" customHeight="1">
      <x:c r="A25" s="43" t="str">
        <x:v>S21</x:v>
      </x:c>
      <x:c r="B25" s="43" t="str">
        <x:v>A</x:v>
      </x:c>
      <x:c r="C25" s="43" t="str">
        <x:v>Defensa civil y seguridad ciudadana</x:v>
      </x:c>
      <x:c r="D25" s="43" t="str">
        <x:v>requisitos_defensa_civil</x:v>
      </x:c>
      <x:c r="E25" s="43" t="str">
        <x:v>Vas a pedir la revisión de seguridad de tu local y quieres saber qué cosas debes tener listas (equipos, planos, etc.).</x:v>
      </x:c>
      <x:c r="F25" s="43" t="str">
        <x:v>P01, P06, P11, P16</x:v>
      </x:c>
      <x:c r="G25" s="43" t="str">
        <x:v>P21</x:v>
      </x:c>
    </x:row>
    <x:row r="26" ht="45" customHeight="1">
      <x:c r="A26" s="43" t="str">
        <x:v>S22</x:v>
      </x:c>
      <x:c r="B26" s="43" t="str">
        <x:v>B</x:v>
      </x:c>
      <x:c r="C26" s="43" t="str">
        <x:v>Defensa civil y seguridad ciudadana</x:v>
      </x:c>
      <x:c r="D26" s="43" t="str">
        <x:v>denuncia_seguridad_ciudadana</x:v>
      </x:c>
      <x:c r="E26" s="43" t="str">
        <x:v>En tu cuadra hay gente sospechosa y quieres avisar a alguien de la municipalidad para que intervenga.</x:v>
      </x:c>
      <x:c r="F26" s="43" t="str">
        <x:v>P02, P07, P12, P17</x:v>
      </x:c>
      <x:c r="G26" s="43" t="str">
        <x:v>P22</x:v>
      </x:c>
    </x:row>
    <x:row r="27" ht="45" customHeight="1">
      <x:c r="A27" s="43" t="str">
        <x:v>S23</x:v>
      </x:c>
      <x:c r="B27" s="43" t="str">
        <x:v>C</x:v>
      </x:c>
      <x:c r="C27" s="43" t="str">
        <x:v>Defensa civil y seguridad ciudadana</x:v>
      </x:c>
      <x:c r="D27" s="43" t="str">
        <x:v>serenazgo_contacto</x:v>
      </x:c>
      <x:c r="E27" s="43" t="str">
        <x:v>Necesitas comunicarte con el personal que patrulla el distrito y quieres saber cómo contactarlos.</x:v>
      </x:c>
      <x:c r="F27" s="43" t="str">
        <x:v>P03, P08, P13, P18</x:v>
      </x:c>
      <x:c r="G27" s="43" t="str">
        <x:v>P23</x:v>
      </x:c>
    </x:row>
    <x:row r="28" ht="45" customHeight="1">
      <x:c r="A28" s="43" t="str">
        <x:v>S24</x:v>
      </x:c>
      <x:c r="B28" s="43" t="str">
        <x:v>D</x:v>
      </x:c>
      <x:c r="C28" s="43" t="str">
        <x:v>Registro civil</x:v>
      </x:c>
      <x:c r="D28" s="43" t="str">
        <x:v>partida_nacimiento</x:v>
      </x:c>
      <x:c r="E28" s="43" t="str">
        <x:v>Te piden el documento que prueba tu fecha y lugar de nacimiento y no sabes cómo conseguirlo.</x:v>
      </x:c>
      <x:c r="F28" s="43" t="str">
        <x:v>P04, P09, P14, P19</x:v>
      </x:c>
      <x:c r="G28" s="43" t="str">
        <x:v>P24</x:v>
      </x:c>
    </x:row>
    <x:row r="29" ht="45" customHeight="1">
      <x:c r="A29" s="43" t="str">
        <x:v>S25</x:v>
      </x:c>
      <x:c r="B29" s="43" t="str">
        <x:v>E</x:v>
      </x:c>
      <x:c r="C29" s="43" t="str">
        <x:v>Registro civil</x:v>
      </x:c>
      <x:c r="D29" s="43" t="str">
        <x:v>partida_matrimonio</x:v>
      </x:c>
      <x:c r="E29" s="43" t="str">
        <x:v>Te piden un documento que pruebe que estás casado(a) y no encuentras el original.</x:v>
      </x:c>
      <x:c r="F29" s="43" t="str">
        <x:v>P05, P10, P15, P20</x:v>
      </x:c>
      <x:c r="G29" s="43" t="str">
        <x:v>P25</x:v>
      </x:c>
    </x:row>
    <x:row r="30" ht="45" customHeight="1">
      <x:c r="A30" s="43" t="str">
        <x:v>S26</x:v>
      </x:c>
      <x:c r="B30" s="43" t="str">
        <x:v>A</x:v>
      </x:c>
      <x:c r="C30" s="43" t="str">
        <x:v>Registro civil</x:v>
      </x:c>
      <x:c r="D30" s="43" t="str">
        <x:v>partida_defuncion</x:v>
      </x:c>
      <x:c r="E30" s="43" t="str">
        <x:v>Falleció un familiar y necesitas el documento oficial que lo acredite para hacer trámites; quieres saber cómo se consigue.</x:v>
      </x:c>
      <x:c r="F30" s="43" t="str">
        <x:v>P01, P06, P11, P16</x:v>
      </x:c>
      <x:c r="G30" s="43" t="str">
        <x:v>P21</x:v>
      </x:c>
    </x:row>
    <x:row r="31" ht="45" customHeight="1">
      <x:c r="A31" s="43" t="str">
        <x:v>S27</x:v>
      </x:c>
      <x:c r="B31" s="43" t="str">
        <x:v>B</x:v>
      </x:c>
      <x:c r="C31" s="43" t="str">
        <x:v>Registro civil</x:v>
      </x:c>
      <x:c r="D31" s="43" t="str">
        <x:v>rectificacion_partida</x:v>
      </x:c>
      <x:c r="E31" s="43" t="str">
        <x:v>Tu documento de nacimiento tiene tu apellido mal escrito y quieres saber cómo se corrige.</x:v>
      </x:c>
      <x:c r="F31" s="43" t="str">
        <x:v>P02, P07, P12, P17</x:v>
      </x:c>
      <x:c r="G31" s="43" t="str">
        <x:v>P22</x:v>
      </x:c>
    </x:row>
    <x:row r="32" ht="45" customHeight="1">
      <x:c r="A32" s="43" t="str">
        <x:v>S28</x:v>
      </x:c>
      <x:c r="B32" s="43" t="str">
        <x:v>C</x:v>
      </x:c>
      <x:c r="C32" s="43" t="str">
        <x:v>Registro civil</x:v>
      </x:c>
      <x:c r="D32" s="43" t="str">
        <x:v>requisitos_matrimonio_civil</x:v>
      </x:c>
      <x:c r="E32" s="43" t="str">
        <x:v>Tu pareja y tú quieren casarse por lo civil en la municipalidad y quieren saber qué papeles necesitan.</x:v>
      </x:c>
      <x:c r="F32" s="43" t="str">
        <x:v>P03, P08, P13, P18</x:v>
      </x:c>
      <x:c r="G32" s="43" t="str">
        <x:v>P23</x:v>
      </x:c>
    </x:row>
    <x:row r="33" ht="45" customHeight="1">
      <x:c r="A33" s="43" t="str">
        <x:v>S29</x:v>
      </x:c>
      <x:c r="B33" s="43" t="str">
        <x:v>D</x:v>
      </x:c>
      <x:c r="C33" s="43" t="str">
        <x:v>Servicios públicos</x:v>
      </x:c>
      <x:c r="D33" s="43" t="str">
        <x:v>horario_recojo_basura</x:v>
      </x:c>
      <x:c r="E33" s="43" t="str">
        <x:v>El camión de la basura no pasó hoy por tu calle y quieres saber a qué hora suele pasar.</x:v>
      </x:c>
      <x:c r="F33" s="43" t="str">
        <x:v>P04, P09, P14, P19</x:v>
      </x:c>
      <x:c r="G33" s="43" t="str">
        <x:v>P24</x:v>
      </x:c>
    </x:row>
    <x:row r="34" ht="45" customHeight="1">
      <x:c r="A34" s="43" t="str">
        <x:v>S30</x:v>
      </x:c>
      <x:c r="B34" s="43" t="str">
        <x:v>E</x:v>
      </x:c>
      <x:c r="C34" s="43" t="str">
        <x:v>Servicios públicos</x:v>
      </x:c>
      <x:c r="D34" s="43" t="str">
        <x:v>reporte_alumbrado_publico</x:v>
      </x:c>
      <x:c r="E34" s="43" t="str">
        <x:v>En tu calle un poste no prende de noche y quieres avisar a la municipalidad.</x:v>
      </x:c>
      <x:c r="F34" s="43" t="str">
        <x:v>P05, P10, P15, P20</x:v>
      </x:c>
      <x:c r="G34" s="43" t="str">
        <x:v>P25</x:v>
      </x:c>
    </x:row>
    <x:row r="35" ht="45" customHeight="1">
      <x:c r="A35" s="43" t="str">
        <x:v>S31</x:v>
      </x:c>
      <x:c r="B35" s="43" t="str">
        <x:v>A</x:v>
      </x:c>
      <x:c r="C35" s="43" t="str">
        <x:v>Servicios públicos</x:v>
      </x:c>
      <x:c r="D35" s="43" t="str">
        <x:v>mantenimiento_parques</x:v>
      </x:c>
      <x:c r="E35" s="43" t="str">
        <x:v>El parque cerca de tu casa está descuidado y con los juegos malogrados; quieres pedir que lo arreglen.</x:v>
      </x:c>
      <x:c r="F35" s="43" t="str">
        <x:v>P01, P06, P11, P16</x:v>
      </x:c>
      <x:c r="G35" s="43" t="str">
        <x:v>P21</x:v>
      </x:c>
    </x:row>
    <x:row r="36" ht="45" customHeight="1">
      <x:c r="A36" s="43" t="str">
        <x:v>S32</x:v>
      </x:c>
      <x:c r="B36" s="43" t="str">
        <x:v>B</x:v>
      </x:c>
      <x:c r="C36" s="43" t="str">
        <x:v>Servicios públicos</x:v>
      </x:c>
      <x:c r="D36" s="43" t="str">
        <x:v>poda_arboles</x:v>
      </x:c>
      <x:c r="E36" s="43" t="str">
        <x:v>Un árbol de la vereda está tapando el paso y quieres que lo corten o lo recorten.</x:v>
      </x:c>
      <x:c r="F36" s="43" t="str">
        <x:v>P02, P07, P12, P17</x:v>
      </x:c>
      <x:c r="G36" s="43" t="str">
        <x:v>P22</x:v>
      </x:c>
    </x:row>
    <x:row r="37" ht="45" customHeight="1">
      <x:c r="A37" s="43" t="str">
        <x:v>S33</x:v>
      </x:c>
      <x:c r="B37" s="43" t="str">
        <x:v>C</x:v>
      </x:c>
      <x:c r="C37" s="43" t="str">
        <x:v>Servicios públicos</x:v>
      </x:c>
      <x:c r="D37" s="43" t="str">
        <x:v>limpieza_via_publica</x:v>
      </x:c>
      <x:c r="E37" s="43" t="str">
        <x:v>Tu cuadra tiene basura acumulada en la pista y quieres que la limpien.</x:v>
      </x:c>
      <x:c r="F37" s="43" t="str">
        <x:v>P03, P08, P13, P18</x:v>
      </x:c>
      <x:c r="G37" s="43" t="str">
        <x:v>P23</x:v>
      </x:c>
    </x:row>
    <x:row r="38" ht="45" customHeight="1">
      <x:c r="A38" s="43" t="str">
        <x:v>S34</x:v>
      </x:c>
      <x:c r="B38" s="43" t="str">
        <x:v>D</x:v>
      </x:c>
      <x:c r="C38" s="43" t="str">
        <x:v>Reclamos y quejas</x:v>
      </x:c>
      <x:c r="D38" s="43" t="str">
        <x:v>presentar_reclamo</x:v>
      </x:c>
      <x:c r="E38" s="43" t="str">
        <x:v>No estás conforme con cómo te resolvieron un trámite y quieres hacer un reclamo formal.</x:v>
      </x:c>
      <x:c r="F38" s="43" t="str">
        <x:v>P04, P09, P14, P19</x:v>
      </x:c>
      <x:c r="G38" s="43" t="str">
        <x:v>P24</x:v>
      </x:c>
    </x:row>
    <x:row r="39" ht="45" customHeight="1">
      <x:c r="A39" s="43" t="str">
        <x:v>S35</x:v>
      </x:c>
      <x:c r="B39" s="43" t="str">
        <x:v>E</x:v>
      </x:c>
      <x:c r="C39" s="43" t="str">
        <x:v>Reclamos y quejas</x:v>
      </x:c>
      <x:c r="D39" s="43" t="str">
        <x:v>estado_reclamo</x:v>
      </x:c>
      <x:c r="E39" s="43" t="str">
        <x:v>Hiciste un reclamo hace unos días y quieres saber si ya lo respondieron.</x:v>
      </x:c>
      <x:c r="F39" s="43" t="str">
        <x:v>P05, P10, P15, P20</x:v>
      </x:c>
      <x:c r="G39" s="43" t="str">
        <x:v>P25</x:v>
      </x:c>
    </x:row>
    <x:row r="40" ht="45" customHeight="1">
      <x:c r="A40" s="43" t="str">
        <x:v>S36</x:v>
      </x:c>
      <x:c r="B40" s="43" t="str">
        <x:v>A</x:v>
      </x:c>
      <x:c r="C40" s="43" t="str">
        <x:v>Reclamos y quejas</x:v>
      </x:c>
      <x:c r="D40" s="43" t="str">
        <x:v>libro_reclamaciones</x:v>
      </x:c>
      <x:c r="E40" s="43" t="str">
        <x:v>Quieres dejar tu queja en el libro oficial de reclamos y no sabes dónde está ni cómo se usa.</x:v>
      </x:c>
      <x:c r="F40" s="43" t="str">
        <x:v>P01, P06, P11, P16</x:v>
      </x:c>
      <x:c r="G40" s="43" t="str">
        <x:v>P21</x:v>
      </x:c>
    </x:row>
    <x:row r="41" ht="45" customHeight="1">
      <x:c r="A41" s="43" t="str">
        <x:v>S37</x:v>
      </x:c>
      <x:c r="B41" s="43" t="str">
        <x:v>B</x:v>
      </x:c>
      <x:c r="C41" s="43" t="str">
        <x:v>Reclamos y quejas</x:v>
      </x:c>
      <x:c r="D41" s="43" t="str">
        <x:v>queja_atencion</x:v>
      </x:c>
      <x:c r="E41" s="43" t="str">
        <x:v>Un trabajador te atendió de mala manera y quieres reportarlo.</x:v>
      </x:c>
      <x:c r="F41" s="43" t="str">
        <x:v>P02, P07, P12, P17</x:v>
      </x:c>
      <x:c r="G41" s="43" t="str">
        <x:v>P22</x:v>
      </x:c>
    </x:row>
    <x:row r="42" ht="45" customHeight="1">
      <x:c r="A42" s="43" t="str">
        <x:v>S38</x:v>
      </x:c>
      <x:c r="B42" s="43" t="str">
        <x:v>C</x:v>
      </x:c>
      <x:c r="C42" s="43" t="str">
        <x:v>Reclamos y quejas</x:v>
      </x:c>
      <x:c r="D42" s="43" t="str">
        <x:v>sugerencia</x:v>
      </x:c>
      <x:c r="E42" s="43" t="str">
        <x:v>Se te ocurrió una idea para mejorar la atención de la municipalidad y quieres comunicarla.</x:v>
      </x:c>
      <x:c r="F42" s="43" t="str">
        <x:v>P03, P08, P13, P18</x:v>
      </x:c>
      <x:c r="G42" s="43" t="str">
        <x:v>P23</x:v>
      </x:c>
    </x:row>
    <x:row r="43" ht="45" customHeight="1">
      <x:c r="A43" s="43" t="str">
        <x:v>S39</x:v>
      </x:c>
      <x:c r="B43" s="43" t="str">
        <x:v>D</x:v>
      </x:c>
      <x:c r="C43" s="43" t="str">
        <x:v>Información general</x:v>
      </x:c>
      <x:c r="D43" s="43" t="str">
        <x:v>horario_atencion_general</x:v>
      </x:c>
      <x:c r="E43" s="43" t="str">
        <x:v>Quieres ir a la municipalidad para cualquier gestión y quieres saber desde qué hora hasta qué hora está abierta y si abre los sábados.</x:v>
      </x:c>
      <x:c r="F43" s="43" t="str">
        <x:v>P04, P09, P14, P19</x:v>
      </x:c>
      <x:c r="G43" s="43" t="str">
        <x:v>P24</x:v>
      </x:c>
    </x:row>
    <x:row r="44" ht="45" customHeight="1">
      <x:c r="A44" s="43" t="str">
        <x:v>S40</x:v>
      </x:c>
      <x:c r="B44" s="43" t="str">
        <x:v>E</x:v>
      </x:c>
      <x:c r="C44" s="43" t="str">
        <x:v>Información general</x:v>
      </x:c>
      <x:c r="D44" s="43" t="str">
        <x:v>ubicacion_oficinas</x:v>
      </x:c>
      <x:c r="E44" s="43" t="str">
        <x:v>No conoces el local de la municipalidad y quieres saber dónde queda o cómo llegar.</x:v>
      </x:c>
      <x:c r="F44" s="43" t="str">
        <x:v>P05, P10, P15, P20</x:v>
      </x:c>
      <x:c r="G44" s="43" t="str">
        <x:v>P25</x:v>
      </x:c>
    </x:row>
    <x:row r="45" ht="45" customHeight="1">
      <x:c r="A45" s="43" t="str">
        <x:v>S41</x:v>
      </x:c>
      <x:c r="B45" s="43" t="str">
        <x:v>A</x:v>
      </x:c>
      <x:c r="C45" s="43" t="str">
        <x:v>Información general</x:v>
      </x:c>
      <x:c r="D45" s="43" t="str">
        <x:v>requisitos_generales</x:v>
      </x:c>
      <x:c r="E45" s="43" t="str">
        <x:v>Quieres hacer un trámite y quieres saber si basta con llevar tu DNI o necesitas algo más.</x:v>
      </x:c>
      <x:c r="F45" s="43" t="str">
        <x:v>P01, P06, P11, P16</x:v>
      </x:c>
      <x:c r="G45" s="43" t="str">
        <x:v>P21</x:v>
      </x:c>
    </x:row>
    <x:row r="46" ht="45" customHeight="1">
      <x:c r="A46" s="43" t="str">
        <x:v>S42</x:v>
      </x:c>
      <x:c r="B46" s="43" t="str">
        <x:v>B</x:v>
      </x:c>
      <x:c r="C46" s="43" t="str">
        <x:v>Información general</x:v>
      </x:c>
      <x:c r="D46" s="43" t="str">
        <x:v>costos_generales</x:v>
      </x:c>
      <x:c r="E46" s="43" t="str">
        <x:v>Quieres saber cuánto cuestan en general los trámites de la municipalidad y dónde puedes ver la lista de precios.</x:v>
      </x:c>
      <x:c r="F46" s="43" t="str">
        <x:v>P02, P07, P12, P17</x:v>
      </x:c>
      <x:c r="G46" s="43" t="str">
        <x:v>P22</x:v>
      </x:c>
    </x:row>
    <x:row r="47" ht="45" customHeight="1">
      <x:c r="A47" s="43" t="str">
        <x:v>S43</x:v>
      </x:c>
      <x:c r="B47" s="43" t="str">
        <x:v>C</x:v>
      </x:c>
      <x:c r="C47" s="43" t="str">
        <x:v>Información general</x:v>
      </x:c>
      <x:c r="D47" s="43" t="str">
        <x:v>contacto_telefonico</x:v>
      </x:c>
      <x:c r="E47" s="43" t="str">
        <x:v>Prefieres llamar en vez de ir y quieres saber a qué número o por qué medio comunicarte con la municipalidad.</x:v>
      </x:c>
      <x:c r="F47" s="43" t="str">
        <x:v>P03, P08, P13, P18</x:v>
      </x:c>
      <x:c r="G47" s="43" t="str">
        <x:v>P23</x:v>
      </x:c>
    </x:row>
    <x:row r="48" ht="45" customHeight="1">
      <x:c r="A48" s="43" t="str">
        <x:v>S44</x:v>
      </x:c>
      <x:c r="B48" s="43" t="str">
        <x:v>D</x:v>
      </x:c>
      <x:c r="C48" s="43" t="str">
        <x:v>Información general</x:v>
      </x:c>
      <x:c r="D48" s="43" t="str">
        <x:v>redes_sociales_mpsr</x:v>
      </x:c>
      <x:c r="E48" s="43" t="str">
        <x:v>Quieres enterarte de los avisos oficiales de la municipalidad y quieres saber dónde seguirla por internet.</x:v>
      </x:c>
      <x:c r="F48" s="43" t="str">
        <x:v>P04, P09, P14, P19</x:v>
      </x:c>
      <x:c r="G48" s="43" t="str">
        <x:v>P24</x:v>
      </x:c>
    </x:row>
    <x:row r="49" ht="45" customHeight="1">
      <x:c r="A49" s="43" t="str">
        <x:v>S45</x:v>
      </x:c>
      <x:c r="B49" s="43" t="str">
        <x:v>E</x:v>
      </x:c>
      <x:c r="C49" s="43" t="str">
        <x:v>Interacción conversacional</x:v>
      </x:c>
      <x:c r="D49" s="43" t="str">
        <x:v>saludo</x:v>
      </x:c>
      <x:c r="E49" s="43" t="str">
        <x:v>Acabas de abrir el chat del asistente de la municipalidad. ¿Cómo lo saludarías?</x:v>
      </x:c>
      <x:c r="F49" s="43" t="str">
        <x:v>P05, P10, P15, P20</x:v>
      </x:c>
      <x:c r="G49" s="43" t="str">
        <x:v>P25</x:v>
      </x:c>
    </x:row>
    <x:row r="50" ht="45" customHeight="1">
      <x:c r="A50" s="43" t="str">
        <x:v>S46</x:v>
      </x:c>
      <x:c r="B50" s="43" t="str">
        <x:v>A</x:v>
      </x:c>
      <x:c r="C50" s="43" t="str">
        <x:v>Interacción conversacional</x:v>
      </x:c>
      <x:c r="D50" s="43" t="str">
        <x:v>despedida</x:v>
      </x:c>
      <x:c r="E50" s="43" t="str">
        <x:v>Ya conseguiste la información que necesitabas y quieres terminar la conversación. ¿Cómo te despedirías?</x:v>
      </x:c>
      <x:c r="F50" s="43" t="str">
        <x:v>P01, P06, P11, P16</x:v>
      </x:c>
      <x:c r="G50" s="43" t="str">
        <x:v>P21</x:v>
      </x:c>
    </x:row>
    <x:row r="51" ht="45" customHeight="1">
      <x:c r="A51" s="43" t="str">
        <x:v>S47</x:v>
      </x:c>
      <x:c r="B51" s="43" t="str">
        <x:v>B</x:v>
      </x:c>
      <x:c r="C51" s="43" t="str">
        <x:v>Interacción conversacional</x:v>
      </x:c>
      <x:c r="D51" s="43" t="str">
        <x:v>agradecimiento</x:v>
      </x:c>
      <x:c r="E51" s="43" t="str">
        <x:v>El asistente te dio justo la información que necesitabas. ¿Cómo se lo agradecerías?</x:v>
      </x:c>
      <x:c r="F51" s="43" t="str">
        <x:v>P02, P07, P12, P17</x:v>
      </x:c>
      <x:c r="G51" s="43" t="str">
        <x:v>P22</x:v>
      </x:c>
    </x:row>
    <x:row r="52" ht="45" customHeight="1">
      <x:c r="A52" s="43" t="str">
        <x:v>S48</x:v>
      </x:c>
      <x:c r="B52" s="43" t="str">
        <x:v>C</x:v>
      </x:c>
      <x:c r="C52" s="43" t="str">
        <x:v>Interacción conversacional</x:v>
      </x:c>
      <x:c r="D52" s="43" t="str">
        <x:v>afirmar</x:v>
      </x:c>
      <x:c r="E52" s="43" t="str">
        <x:v>El asistente te pregunta si entendió bien tu consulta y la respuesta es sí. ¿Cómo responderías?</x:v>
      </x:c>
      <x:c r="F52" s="43" t="str">
        <x:v>P03, P08, P13, P18</x:v>
      </x:c>
      <x:c r="G52" s="43" t="str">
        <x:v>P23</x:v>
      </x:c>
    </x:row>
    <x:row r="53" ht="45" customHeight="1">
      <x:c r="A53" s="43" t="str">
        <x:v>S49</x:v>
      </x:c>
      <x:c r="B53" s="43" t="str">
        <x:v>D</x:v>
      </x:c>
      <x:c r="C53" s="43" t="str">
        <x:v>Interacción conversacional</x:v>
      </x:c>
      <x:c r="D53" s="43" t="str">
        <x:v>negar</x:v>
      </x:c>
      <x:c r="E53" s="43" t="str">
        <x:v>El asistente te ofrece algo que no es lo que estabas buscando. ¿Cómo le dirías que no?</x:v>
      </x:c>
      <x:c r="F53" s="43" t="str">
        <x:v>P04, P09, P14, P19</x:v>
      </x:c>
      <x:c r="G53" s="43" t="str">
        <x:v>P24</x:v>
      </x:c>
    </x:row>
    <x:row r="54" ht="45" customHeight="1">
      <x:c r="A54" s="43" t="str">
        <x:v>S50</x:v>
      </x:c>
      <x:c r="B54" s="43" t="str">
        <x:v>E</x:v>
      </x:c>
      <x:c r="C54" s="43" t="str">
        <x:v>Interacción conversacional</x:v>
      </x:c>
      <x:c r="D54" s="43" t="str">
        <x:v>fuera_de_alcance</x:v>
      </x:c>
      <x:c r="E54" s="43" t="str">
        <x:v>Quieres preguntarle al asistente algo que no tiene nada que ver con la municipalidad (por ejemplo, del clima, deportes, cultura general o una curiosidad).</x:v>
      </x:c>
      <x:c r="F54" s="43" t="str">
        <x:v>P05, P10, P15, P20</x:v>
      </x:c>
      <x:c r="G54" s="43" t="str">
        <x:v>P25</x:v>
      </x:c>
    </x:row>
    <x:row r="55" ht="45" customHeight="1">
      <x:c r="A55" s="43" t="str">
        <x:v>S51</x:v>
      </x:c>
      <x:c r="B55" s="43" t="str">
        <x:v>A</x:v>
      </x:c>
      <x:c r="C55" s="43" t="str">
        <x:v>Interacción conversacional</x:v>
      </x:c>
      <x:c r="D55" s="43" t="str">
        <x:v>fuera_de_alcance</x:v>
      </x:c>
      <x:c r="E55" s="43" t="str">
        <x:v>Quieres preguntarle algo sobre otra entidad o servicio (por ejemplo, la luz, el agua, la SUNAT, RENIEC o la policía) y no sobre la municipalidad.</x:v>
      </x:c>
      <x:c r="F55" s="43" t="str">
        <x:v>P01, P06, P11, P16</x:v>
      </x:c>
      <x:c r="G55" s="43" t="str">
        <x:v>P21</x:v>
      </x:c>
    </x:row>
    <x:row r="56" ht="45" customHeight="1">
      <x:c r="A56" s="43" t="str">
        <x:v>S52</x:v>
      </x:c>
      <x:c r="B56" s="43" t="str">
        <x:v>B</x:v>
      </x:c>
      <x:c r="C56" s="43" t="str">
        <x:v>Interacción conversacional</x:v>
      </x:c>
      <x:c r="D56" s="43" t="str">
        <x:v>fuera_de_alcance</x:v>
      </x:c>
      <x:c r="E56" s="43" t="str">
        <x:v>Quieres pedirle al asistente algo personal o fuera de lo normal (que cuente un chiste, que dé su opinión o que te haga la tarea).</x:v>
      </x:c>
      <x:c r="F56" s="43" t="str">
        <x:v>P02, P07, P12, P17</x:v>
      </x:c>
      <x:c r="G56" s="43" t="str">
        <x:v>P22</x:v>
      </x:c>
    </x:row>
    <x:row r="57" ht="45" customHeight="1">
      <x:c r="A57" s="43" t="str">
        <x:v>S53</x:v>
      </x:c>
      <x:c r="B57" s="43" t="str">
        <x:v>C</x:v>
      </x:c>
      <x:c r="C57" s="43" t="str">
        <x:v>Interacción conversacional</x:v>
      </x:c>
      <x:c r="D57" s="43" t="str">
        <x:v>hablar_con_persona</x:v>
      </x:c>
      <x:c r="E57" s="43" t="str">
        <x:v>Prefieres que te atienda una persona y no un programa. ¿Qué le dirías al asistente?</x:v>
      </x:c>
      <x:c r="F57" s="43" t="str">
        <x:v>P03, P08, P13, P18</x:v>
      </x:c>
      <x:c r="G57" s="43" t="str">
        <x:v>P23</x:v>
      </x:c>
    </x:row>
    <x:row r="58" ht="45" customHeight="1">
      <x:c r="A58" s="43" t="str">
        <x:v>S54</x:v>
      </x:c>
      <x:c r="B58" s="43" t="str">
        <x:v>D</x:v>
      </x:c>
      <x:c r="C58" s="43" t="str">
        <x:v>Interacción conversacional</x:v>
      </x:c>
      <x:c r="D58" s="43" t="str">
        <x:v>ayuda_chatbot</x:v>
      </x:c>
      <x:c r="E58" s="43" t="str">
        <x:v>No sabes para qué sirve este asistente ni qué cosas le puedes preguntar. ¿Qué le escribirías?</x:v>
      </x:c>
      <x:c r="F58" s="43" t="str">
        <x:v>P04, P09, P14, P19</x:v>
      </x:c>
      <x:c r="G58" s="43" t="str">
        <x:v>P24</x:v>
      </x:c>
    </x:row>
    <x:row r="59" ht="45" customHeight="1">
      <x:c r="A59" s="43" t="str">
        <x:v>S55</x:v>
      </x:c>
      <x:c r="B59" s="43" t="str">
        <x:v>E</x:v>
      </x:c>
      <x:c r="C59" s="43" t="str">
        <x:v>Interacción conversacional</x:v>
      </x:c>
      <x:c r="D59" s="43" t="str">
        <x:v>consulta_no_entendida</x:v>
      </x:c>
      <x:c r="E59" s="43" t="str">
        <x:v>El asistente te respondió algo que no entendiste. ¿Qué le dirías?</x:v>
      </x:c>
      <x:c r="F59" s="43" t="str">
        <x:v>P05, P10, P15, P20</x:v>
      </x:c>
      <x:c r="G59" s="43" t="str">
        <x:v>P25</x:v>
      </x:c>
    </x:row>
    <x:row r="60" ht="45" customHeight="1">
      <x:c r="A60" s="43" t="str">
        <x:v>S56</x:v>
      </x:c>
      <x:c r="B60" s="43" t="str">
        <x:v>A</x:v>
      </x:c>
      <x:c r="C60" s="43" t="str">
        <x:v>Interacción conversacional</x:v>
      </x:c>
      <x:c r="D60" s="43" t="str">
        <x:v>repetir_informacion</x:v>
      </x:c>
      <x:c r="E60" s="43" t="str">
        <x:v>El asistente te dio una información pero no alcanzaste a leerla ni a anotarla. ¿Cómo le pedirías que te la repita?</x:v>
      </x:c>
      <x:c r="F60" s="43" t="str">
        <x:v>P01, P06, P11, P16</x:v>
      </x:c>
      <x:c r="G60" s="43" t="str">
        <x:v>P21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eee72264a234fc4"/>
  </x:tableParts>
</x:worksheet>
</file>