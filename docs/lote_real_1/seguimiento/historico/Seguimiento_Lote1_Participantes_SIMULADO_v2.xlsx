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 Mario\Downloads\"/>
    </mc:Choice>
  </mc:AlternateContent>
  <xr:revisionPtr revIDLastSave="0" documentId="13_ncr:1_{F88F0AD4-46DA-4E31-B107-B91C0E430093}" xr6:coauthVersionLast="47" xr6:coauthVersionMax="47" xr10:uidLastSave="{00000000-0000-0000-0000-000000000000}"/>
  <bookViews>
    <workbookView xWindow="-120" yWindow="-120" windowWidth="20730" windowHeight="11760" tabRatio="500" activeTab="4" xr2:uid="{00000000-000D-0000-FFFF-FFFF00000000}"/>
  </bookViews>
  <sheets>
    <sheet name="Participantes" sheetId="1" r:id="rId1"/>
    <sheet name="Resumen" sheetId="2" r:id="rId2"/>
    <sheet name="Formularios" sheetId="3" r:id="rId3"/>
    <sheet name="Listas" sheetId="4" r:id="rId4"/>
    <sheet name="No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3" l="1"/>
  <c r="B7" i="3"/>
  <c r="E6" i="3"/>
  <c r="E5" i="3"/>
  <c r="E4" i="3"/>
  <c r="E3" i="3"/>
  <c r="E2" i="3"/>
  <c r="E20" i="2"/>
  <c r="D20" i="2"/>
  <c r="C20" i="2"/>
  <c r="B20" i="2"/>
  <c r="E16" i="2"/>
  <c r="B16" i="2"/>
  <c r="E15" i="2"/>
  <c r="B15" i="2"/>
  <c r="E14" i="2"/>
  <c r="B14" i="2"/>
  <c r="E13" i="2"/>
  <c r="B13" i="2"/>
  <c r="E12" i="2"/>
  <c r="B12" i="2"/>
  <c r="M28" i="1"/>
  <c r="D28" i="1"/>
  <c r="B28" i="1"/>
  <c r="C28" i="1" s="1"/>
  <c r="D27" i="1"/>
  <c r="B27" i="1"/>
  <c r="L27" i="1" s="1"/>
  <c r="M27" i="1" s="1"/>
  <c r="D26" i="1"/>
  <c r="B26" i="1"/>
  <c r="L26" i="1" s="1"/>
  <c r="M26" i="1" s="1"/>
  <c r="M25" i="1"/>
  <c r="D25" i="1"/>
  <c r="B25" i="1"/>
  <c r="L25" i="1" s="1"/>
  <c r="L24" i="1"/>
  <c r="M24" i="1" s="1"/>
  <c r="D24" i="1"/>
  <c r="B24" i="1"/>
  <c r="C24" i="1" s="1"/>
  <c r="D23" i="1"/>
  <c r="B23" i="1"/>
  <c r="C23" i="1" s="1"/>
  <c r="D22" i="1"/>
  <c r="B22" i="1"/>
  <c r="L22" i="1" s="1"/>
  <c r="M22" i="1" s="1"/>
  <c r="D21" i="1"/>
  <c r="B21" i="1"/>
  <c r="L21" i="1" s="1"/>
  <c r="M21" i="1" s="1"/>
  <c r="D20" i="1"/>
  <c r="B20" i="1"/>
  <c r="C20" i="1" s="1"/>
  <c r="D19" i="1"/>
  <c r="B19" i="1"/>
  <c r="L19" i="1" s="1"/>
  <c r="M19" i="1" s="1"/>
  <c r="D18" i="1"/>
  <c r="B18" i="1"/>
  <c r="L18" i="1" s="1"/>
  <c r="M18" i="1" s="1"/>
  <c r="D17" i="1"/>
  <c r="C17" i="1"/>
  <c r="B17" i="1"/>
  <c r="L17" i="1" s="1"/>
  <c r="M17" i="1" s="1"/>
  <c r="L16" i="1"/>
  <c r="M16" i="1" s="1"/>
  <c r="D16" i="1"/>
  <c r="B16" i="1"/>
  <c r="C16" i="1" s="1"/>
  <c r="D15" i="1"/>
  <c r="B15" i="1"/>
  <c r="C15" i="1" s="1"/>
  <c r="D14" i="1"/>
  <c r="C14" i="1"/>
  <c r="B14" i="1"/>
  <c r="L14" i="1" s="1"/>
  <c r="M14" i="1" s="1"/>
  <c r="L13" i="1"/>
  <c r="M13" i="1" s="1"/>
  <c r="D13" i="1"/>
  <c r="B13" i="1"/>
  <c r="C13" i="1" s="1"/>
  <c r="D12" i="1"/>
  <c r="B12" i="1"/>
  <c r="C12" i="1" s="1"/>
  <c r="D11" i="1"/>
  <c r="B11" i="1"/>
  <c r="L11" i="1" s="1"/>
  <c r="M11" i="1" s="1"/>
  <c r="D10" i="1"/>
  <c r="B10" i="1"/>
  <c r="L10" i="1" s="1"/>
  <c r="M10" i="1" s="1"/>
  <c r="D9" i="1"/>
  <c r="B9" i="1"/>
  <c r="L9" i="1" s="1"/>
  <c r="M9" i="1" s="1"/>
  <c r="L8" i="1"/>
  <c r="M8" i="1" s="1"/>
  <c r="D8" i="1"/>
  <c r="B8" i="1"/>
  <c r="C8" i="1" s="1"/>
  <c r="D7" i="1"/>
  <c r="B7" i="1"/>
  <c r="C7" i="1" s="1"/>
  <c r="D6" i="1"/>
  <c r="B6" i="1"/>
  <c r="L6" i="1" s="1"/>
  <c r="M6" i="1" s="1"/>
  <c r="L5" i="1"/>
  <c r="M5" i="1" s="1"/>
  <c r="D5" i="1"/>
  <c r="B5" i="1"/>
  <c r="C5" i="1" s="1"/>
  <c r="L4" i="1"/>
  <c r="M4" i="1" s="1"/>
  <c r="D4" i="1"/>
  <c r="C4" i="1"/>
  <c r="B4" i="1"/>
  <c r="E17" i="2" l="1"/>
  <c r="B17" i="2"/>
  <c r="E25" i="2"/>
  <c r="C6" i="1"/>
  <c r="C9" i="1"/>
  <c r="L20" i="1"/>
  <c r="M20" i="1" s="1"/>
  <c r="L28" i="1"/>
  <c r="L12" i="1"/>
  <c r="M12" i="1" s="1"/>
  <c r="C18" i="1"/>
  <c r="C21" i="1"/>
  <c r="C26" i="1"/>
  <c r="C10" i="1"/>
  <c r="B23" i="2"/>
  <c r="C24" i="2"/>
  <c r="D15" i="2"/>
  <c r="G15" i="2" s="1"/>
  <c r="C22" i="1"/>
  <c r="C25" i="1"/>
  <c r="D24" i="2"/>
  <c r="L7" i="1"/>
  <c r="M7" i="1" s="1"/>
  <c r="L15" i="1"/>
  <c r="M15" i="1" s="1"/>
  <c r="L23" i="1"/>
  <c r="M23" i="1" s="1"/>
  <c r="C14" i="2"/>
  <c r="C23" i="2"/>
  <c r="E24" i="2"/>
  <c r="D14" i="2"/>
  <c r="C11" i="1"/>
  <c r="C19" i="1"/>
  <c r="C27" i="1"/>
  <c r="C13" i="2"/>
  <c r="C22" i="2"/>
  <c r="E23" i="2"/>
  <c r="B22" i="2"/>
  <c r="D23" i="2"/>
  <c r="D13" i="2"/>
  <c r="B21" i="2"/>
  <c r="D22" i="2"/>
  <c r="B25" i="2"/>
  <c r="C12" i="2"/>
  <c r="C16" i="2"/>
  <c r="C21" i="2"/>
  <c r="E22" i="2"/>
  <c r="C25" i="2"/>
  <c r="D12" i="2"/>
  <c r="D16" i="2"/>
  <c r="D21" i="2"/>
  <c r="B24" i="2"/>
  <c r="D25" i="2"/>
  <c r="C15" i="2"/>
  <c r="E21" i="2"/>
  <c r="C17" i="2" l="1"/>
  <c r="F15" i="2"/>
  <c r="F25" i="2"/>
  <c r="G25" i="2" s="1"/>
  <c r="F16" i="2"/>
  <c r="G16" i="2"/>
  <c r="F12" i="2"/>
  <c r="D17" i="2"/>
  <c r="G17" i="2" s="1"/>
  <c r="G12" i="2"/>
  <c r="F21" i="2"/>
  <c r="G21" i="2" s="1"/>
  <c r="G13" i="2"/>
  <c r="F13" i="2"/>
  <c r="F23" i="2"/>
  <c r="G23" i="2" s="1"/>
  <c r="G14" i="2"/>
  <c r="F14" i="2"/>
  <c r="F22" i="2"/>
  <c r="G22" i="2" s="1"/>
  <c r="F24" i="2"/>
  <c r="G24" i="2" s="1"/>
  <c r="F17" i="2" l="1"/>
</calcChain>
</file>

<file path=xl/sharedStrings.xml><?xml version="1.0" encoding="utf-8"?>
<sst xmlns="http://schemas.openxmlformats.org/spreadsheetml/2006/main" count="294" uniqueCount="156">
  <si>
    <t>Seguimiento del Lote 1 — participantes y formularios — DATOS SIMULADOS</t>
  </si>
  <si>
    <t>Edita solo las celdas amarillas (columnas E a K y N). Las columnas B, C, D, L y M son fórmulas: no las sobrescribas. Código sin relación con el nombre de la persona.</t>
  </si>
  <si>
    <t>Código</t>
  </si>
  <si>
    <t>Formulario</t>
  </si>
  <si>
    <t>Páginas a imprimir</t>
  </si>
  <si>
    <t>Tipo</t>
  </si>
  <si>
    <t>Rango de edad</t>
  </si>
  <si>
    <t>Ocupación</t>
  </si>
  <si>
    <t>¿Vive en Juliaca?</t>
  </si>
  <si>
    <t>¿Trámite en el último año?</t>
  </si>
  <si>
    <t>Estado</t>
  </si>
  <si>
    <t>Fecha de aplicación</t>
  </si>
  <si>
    <t>Situaciones respondidas</t>
  </si>
  <si>
    <t>Situaciones del formulario</t>
  </si>
  <si>
    <t>% respondido</t>
  </si>
  <si>
    <t>Observaciones</t>
  </si>
  <si>
    <t>P01</t>
  </si>
  <si>
    <t>30–44</t>
  </si>
  <si>
    <t>Comerciante</t>
  </si>
  <si>
    <t>Sí</t>
  </si>
  <si>
    <t>Transcrito</t>
  </si>
  <si>
    <t>SIMULADO · Sin observaciones</t>
  </si>
  <si>
    <t>P02</t>
  </si>
  <si>
    <t>18–29</t>
  </si>
  <si>
    <t>Estudiante universitaria</t>
  </si>
  <si>
    <t>No</t>
  </si>
  <si>
    <t>P03</t>
  </si>
  <si>
    <t>45–59</t>
  </si>
  <si>
    <t>Contador</t>
  </si>
  <si>
    <t>P04</t>
  </si>
  <si>
    <t>Maestro de obra</t>
  </si>
  <si>
    <t>SIMULADO · En blanco: S49 (negar)</t>
  </si>
  <si>
    <t>P05</t>
  </si>
  <si>
    <t>60 a más</t>
  </si>
  <si>
    <t>Jubilado</t>
  </si>
  <si>
    <t>SIMULADO · En blanco: S10 (alcabala) y S50 (fuera de alcance)</t>
  </si>
  <si>
    <t>P06</t>
  </si>
  <si>
    <t>Mototaxista</t>
  </si>
  <si>
    <t>P07</t>
  </si>
  <si>
    <t>Ama de casa</t>
  </si>
  <si>
    <t>P08</t>
  </si>
  <si>
    <t>Abogada</t>
  </si>
  <si>
    <t>P09</t>
  </si>
  <si>
    <t>Agricultor</t>
  </si>
  <si>
    <t>SIMULADO · Vive en Caracoto. En blanco: S19 y S44</t>
  </si>
  <si>
    <t>P10</t>
  </si>
  <si>
    <t>Técnico en computación</t>
  </si>
  <si>
    <t>P11</t>
  </si>
  <si>
    <t>Docente</t>
  </si>
  <si>
    <t>SIMULADO · En blanco: S51 (fuera de alcance)</t>
  </si>
  <si>
    <t>P12</t>
  </si>
  <si>
    <t>Vendedora de mercado</t>
  </si>
  <si>
    <t>SIMULADO · En blanco: S52 (fuera de alcance)</t>
  </si>
  <si>
    <t>P13</t>
  </si>
  <si>
    <t>Estudiante universitario</t>
  </si>
  <si>
    <t>P14</t>
  </si>
  <si>
    <t>Transportista</t>
  </si>
  <si>
    <t>SIMULADO · Vive en Cabanillas</t>
  </si>
  <si>
    <t>P15</t>
  </si>
  <si>
    <t>Enfermera</t>
  </si>
  <si>
    <t>P16</t>
  </si>
  <si>
    <t>Jubilada</t>
  </si>
  <si>
    <t>SIMULADO · En blanco: S16, S21, S36 y S51; se activó la reserva P21</t>
  </si>
  <si>
    <t>P17</t>
  </si>
  <si>
    <t>Confeccionista textil</t>
  </si>
  <si>
    <t>P18</t>
  </si>
  <si>
    <t>SIMULADO · En blanco: S23, S38, S43, S48 y S53; se activó la reserva P23</t>
  </si>
  <si>
    <t>P19</t>
  </si>
  <si>
    <t>Secretaria</t>
  </si>
  <si>
    <t>P20</t>
  </si>
  <si>
    <t>Empleado público</t>
  </si>
  <si>
    <t>P21</t>
  </si>
  <si>
    <t>Mecánico</t>
  </si>
  <si>
    <t>SIMULADO · Reserva activada por los blancos de P16</t>
  </si>
  <si>
    <t>P22</t>
  </si>
  <si>
    <t>Pendiente</t>
  </si>
  <si>
    <t>SIMULADO · Reserva no utilizada: el formulario B llegó a la meta</t>
  </si>
  <si>
    <t>P23</t>
  </si>
  <si>
    <t>Ingeniero civil</t>
  </si>
  <si>
    <t>SIMULADO · Reserva activada por los blancos de P18</t>
  </si>
  <si>
    <t>P24</t>
  </si>
  <si>
    <t>Panadero</t>
  </si>
  <si>
    <t>Respondido</t>
  </si>
  <si>
    <t>SIMULADO · Reserva activada por los blancos de P04 y P09; falta transcribir</t>
  </si>
  <si>
    <t>P25</t>
  </si>
  <si>
    <t>Vendedor ambulante</t>
  </si>
  <si>
    <t>Entregado</t>
  </si>
  <si>
    <t>SIMULADO · Reserva entregada por los blancos de P05; falta que devuelva la hoja</t>
  </si>
  <si>
    <t>Ejemplo de fila completada (solo muestra el formato; no cuenta en los conteos):</t>
  </si>
  <si>
    <t>A</t>
  </si>
  <si>
    <t>2–3</t>
  </si>
  <si>
    <t>Base</t>
  </si>
  <si>
    <t>Sin observaciones</t>
  </si>
  <si>
    <t>Resumen de cobertura del Lote 1</t>
  </si>
  <si>
    <t>Celdas amarillas = parámetros editables. El resto son fórmulas que leen la hoja Participantes.</t>
  </si>
  <si>
    <t>Parámetro</t>
  </si>
  <si>
    <t>Valor</t>
  </si>
  <si>
    <t>Fuente / criterio</t>
  </si>
  <si>
    <t>Participantes base (rotación A–E)</t>
  </si>
  <si>
    <t>Guía de aplicación del Lote 1 (Lote1_Formularios_lenguaje_real_v2): 20 personas, mínimo 15, ideal 25 a 30. P21–P25 quedan como reserva.</t>
  </si>
  <si>
    <t>Meta de respuestas por formulario</t>
  </si>
  <si>
    <t>20 personas ÷ 5 formularios = 4 respuestas por formulario (4 frases reales por intención). Guía de aplicación.</t>
  </si>
  <si>
    <t>Mínimo de respuestas por formulario</t>
  </si>
  <si>
    <t>La Parte B se detiene si alguna intención queda con menos de 3 frases reales (Instrucciones_ClaudeCode_lote_real_v2.md, paso B1).</t>
  </si>
  <si>
    <t>Mínimo de participantes transcritos para iniciar la Parte B</t>
  </si>
  <si>
    <t>Mínimo indicado en la guía de aplicación del Lote 1.</t>
  </si>
  <si>
    <t>Rangos de edad distintos para variedad “Buena”</t>
  </si>
  <si>
    <t>Criterio de esta hoja para reducir el sesgo de una muestra de conveniencia; no es una norma.</t>
  </si>
  <si>
    <t>Cobertura por formulario</t>
  </si>
  <si>
    <t>Situaciones</t>
  </si>
  <si>
    <t>Asignados (incl. reserva)</t>
  </si>
  <si>
    <t>Transcritos</t>
  </si>
  <si>
    <t>Meta</t>
  </si>
  <si>
    <t>Faltan para la meta</t>
  </si>
  <si>
    <t>Cobertura</t>
  </si>
  <si>
    <t>B</t>
  </si>
  <si>
    <t>C</t>
  </si>
  <si>
    <t>D</t>
  </si>
  <si>
    <t>E</t>
  </si>
  <si>
    <t>Total</t>
  </si>
  <si>
    <t>Mezcla de edades por formulario</t>
  </si>
  <si>
    <t>Rangos distintos</t>
  </si>
  <si>
    <t>Variedad</t>
  </si>
  <si>
    <t>Cuenta solo a los participantes con rango de edad registrado en la hoja Participantes.</t>
  </si>
  <si>
    <t>Pág. inicial</t>
  </si>
  <si>
    <t>Pág. final</t>
  </si>
  <si>
    <t>Situaciones en el catálogo</t>
  </si>
  <si>
    <t>Verificación</t>
  </si>
  <si>
    <t>Fuente: Lote1_Formularios_lenguaje_real_v2.pdf (11 páginas; la página 1 es la guía del tesista y no se imprime) y situaciones_lote1_v1.csv (56 situaciones: 12 en el formulario A y 11 en cada uno de los demás).</t>
  </si>
  <si>
    <t>Sí / No</t>
  </si>
  <si>
    <t>Definición de los estados</t>
  </si>
  <si>
    <t>Aún no se aplicó el formulario.</t>
  </si>
  <si>
    <t>El formulario se entregó a la persona.</t>
  </si>
  <si>
    <t>La persona devolvió la hoja respondida.</t>
  </si>
  <si>
    <t>Las respuestas ya se pasaron al archivo de la Parte B.</t>
  </si>
  <si>
    <t>Notas de uso, criterios y fuentes</t>
  </si>
  <si>
    <t>Cómo usar</t>
  </si>
  <si>
    <t>1. Asigna a cada persona un código (P01 a P25) que no permita identificarla. El formulario y las páginas a imprimir salen solos en las columnas B y C de la hoja Participantes.</t>
  </si>
  <si>
    <t>2. Completa solo las celdas amarillas: rango de edad, ocupación, si vive en Juliaca, si hizo un trámite el último año, estado, fecha, situaciones respondidas y observaciones.</t>
  </si>
  <si>
    <t>3. Avanza el Estado: Pendiente, Entregado, Respondido y Transcrito (Transcrito = respuestas ya pasadas al archivo de la Parte B).</t>
  </si>
  <si>
    <t>4. Revisa la hoja Resumen. Cuando el total de transcritos llega al mínimo y cada formulario llega al mínimo, aparece “Listo para la Parte B”.</t>
  </si>
  <si>
    <t>Criterios de reclutamiento</t>
  </si>
  <si>
    <t>• Se usan los cinco formularios (A–E) y cada persona responde uno solo. Cada situación aparece en un solo formulario: omitir uno deja intenciones sin frases reales.</t>
  </si>
  <si>
    <t>• P01–P20 son la base (4 respuestas por formulario). P21–P25 son reserva por si alguien deja varias situaciones en blanco.</t>
  </si>
  <si>
    <t>• Las personas que reciben el mismo formulario deberían tener edades y ocupaciones distintas (tabla de mezcla de edades en Resumen).</t>
  </si>
  <si>
    <t>• Las frases las escriben los participantes, no el tesista ni una IA.</t>
  </si>
  <si>
    <t>Fuentes y supuestos</t>
  </si>
  <si>
    <t>• Rotación A–E por código y mínimos de personas: guía de aplicación del Lote 1 (Lote1_Formularios_lenguaje_real_v2).</t>
  </si>
  <si>
    <t>• Páginas a imprimir y situaciones por formulario: Lote1_Formularios_lenguaje_real_v2.pdf y situaciones_lote1_v1.csv (56 situaciones; 12/11/11/11/11).</t>
  </si>
  <si>
    <t>• Meta de 4 respuestas por formulario: 20 personas ÷ 5 formularios.</t>
  </si>
  <si>
    <t>• Mínimo de 3 respuestas por formulario: la Parte B se detiene si alguna intención queda con menos de 3 frases reales (Instrucciones_ClaudeCode_lote_real_v2.md, paso B1).</t>
  </si>
  <si>
    <t>• 3 rangos de edad distintos para variedad “Buena”: criterio propio de esta hoja para reducir el sesgo de una muestra de conveniencia; no es una norma.</t>
  </si>
  <si>
    <t>• Los parámetros se pueden cambiar en las celdas amarillas de la hoja Resumen. Colores: azul = valor escrito a mano; negro = fórmula; verde = vínculo a otra hoja.</t>
  </si>
  <si>
    <t>Versión v2 — datos simulados</t>
  </si>
  <si>
    <t>• Las filas P01–P25 de la hoja Participantes son ficticias (edad, ocupación, residencia, estado, fechas y situaciones respondidas) y cada observación lleva el prefijo “SIMULADO”.</t>
  </si>
  <si>
    <t>• No hay frases reales detrás de estos registros: para la Parte B se debe reemplazar esta hoja por el seguimiento de la aplicación real (criterio de la línea 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</si>
</sst>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i/>
      <sz val="10"/>
      <color rgb="FF7F7F7F"/>
      <name val="Arial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4" borderId="0" xfId="0" applyFont="1" applyFill="1" applyAlignment="1"/>
    <xf numFmtId="0" fontId="8" fillId="4" borderId="0" xfId="0" applyFont="1" applyFill="1" applyAlignment="1"/>
    <xf numFmtId="0" fontId="6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/>
    <xf numFmtId="0" fontId="6" fillId="0" borderId="0" xfId="0" applyFont="1" applyAlignme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10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zoomScaleNormal="100" workbookViewId="0">
      <pane xSplit="1" ySplit="3" topLeftCell="J4" activePane="bottomRight" state="frozen"/>
      <selection pane="topRight" activeCell="B1" sqref="B1"/>
      <selection pane="bottomLeft" activeCell="A5" sqref="A5"/>
      <selection pane="bottomRight" activeCell="A3" sqref="A3:XFD3"/>
    </sheetView>
  </sheetViews>
  <sheetFormatPr baseColWidth="10" defaultColWidth="8.7109375" defaultRowHeight="12.75" x14ac:dyDescent="0.2"/>
  <cols>
    <col min="1" max="1" width="9" style="1" customWidth="1"/>
    <col min="2" max="2" width="11" style="1" customWidth="1"/>
    <col min="3" max="3" width="14" style="1" customWidth="1"/>
    <col min="4" max="4" width="9" style="1" customWidth="1"/>
    <col min="5" max="5" width="14" style="1" customWidth="1"/>
    <col min="6" max="6" width="22" style="1" customWidth="1"/>
    <col min="7" max="7" width="12" style="1" customWidth="1"/>
    <col min="8" max="8" width="16" style="1" customWidth="1"/>
    <col min="9" max="9" width="13" style="1" customWidth="1"/>
    <col min="10" max="12" width="14" style="1" customWidth="1"/>
    <col min="13" max="13" width="12" style="1" customWidth="1"/>
    <col min="14" max="14" width="74" style="1" customWidth="1"/>
  </cols>
  <sheetData>
    <row r="1" spans="1:14" ht="17.25" customHeight="1" x14ac:dyDescent="0.25">
      <c r="A1" s="2" t="s">
        <v>0</v>
      </c>
    </row>
    <row r="2" spans="1:14" ht="15" customHeight="1" x14ac:dyDescent="0.2">
      <c r="A2" s="3" t="s">
        <v>1</v>
      </c>
    </row>
    <row r="3" spans="1:14" ht="42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spans="1:14" ht="15" customHeight="1" x14ac:dyDescent="0.2">
      <c r="A4" s="5" t="s">
        <v>16</v>
      </c>
      <c r="B4" s="6" t="str">
        <f t="shared" ref="B4:B28" si="0">CHOOSE(MOD(VALUE(MID(A4,2,2))-1,5)+1,"A","B","C","D","E")</f>
        <v>A</v>
      </c>
      <c r="C4" s="7" t="str">
        <f>INDEX(Formularios!$E$2:$E$6,MATCH(B4,Formularios!$A$2:$A$6,0))</f>
        <v>2–3</v>
      </c>
      <c r="D4" s="7" t="str">
        <f>IF(VALUE(MID(A4,2,2))&lt;=Resumen!$B$4,"Base","Reserva")</f>
        <v>Base</v>
      </c>
      <c r="E4" s="8" t="s">
        <v>17</v>
      </c>
      <c r="F4" s="9" t="s">
        <v>18</v>
      </c>
      <c r="G4" s="8" t="s">
        <v>19</v>
      </c>
      <c r="H4" s="8" t="s">
        <v>19</v>
      </c>
      <c r="I4" s="8" t="s">
        <v>20</v>
      </c>
      <c r="J4" s="10">
        <v>46300</v>
      </c>
      <c r="K4" s="8">
        <v>12</v>
      </c>
      <c r="L4" s="7">
        <f>INDEX(Formularios!$B$2:$B$6,MATCH(B4,Formularios!$A$2:$A$6,0))</f>
        <v>12</v>
      </c>
      <c r="M4" s="11">
        <f t="shared" ref="M4:M28" si="1">IF(K4="","",K4/L4)</f>
        <v>1</v>
      </c>
      <c r="N4" s="9" t="s">
        <v>21</v>
      </c>
    </row>
    <row r="5" spans="1:14" ht="15" customHeight="1" x14ac:dyDescent="0.2">
      <c r="A5" s="5" t="s">
        <v>22</v>
      </c>
      <c r="B5" s="6" t="str">
        <f t="shared" si="0"/>
        <v>B</v>
      </c>
      <c r="C5" s="7" t="str">
        <f>INDEX(Formularios!$E$2:$E$6,MATCH(B5,Formularios!$A$2:$A$6,0))</f>
        <v>4–5</v>
      </c>
      <c r="D5" s="7" t="str">
        <f>IF(VALUE(MID(A5,2,2))&lt;=Resumen!$B$4,"Base","Reserva")</f>
        <v>Base</v>
      </c>
      <c r="E5" s="8" t="s">
        <v>23</v>
      </c>
      <c r="F5" s="9" t="s">
        <v>24</v>
      </c>
      <c r="G5" s="8" t="s">
        <v>19</v>
      </c>
      <c r="H5" s="8" t="s">
        <v>25</v>
      </c>
      <c r="I5" s="8" t="s">
        <v>20</v>
      </c>
      <c r="J5" s="10">
        <v>46300</v>
      </c>
      <c r="K5" s="8">
        <v>11</v>
      </c>
      <c r="L5" s="7">
        <f>INDEX(Formularios!$B$2:$B$6,MATCH(B5,Formularios!$A$2:$A$6,0))</f>
        <v>11</v>
      </c>
      <c r="M5" s="11">
        <f t="shared" si="1"/>
        <v>1</v>
      </c>
      <c r="N5" s="9" t="s">
        <v>21</v>
      </c>
    </row>
    <row r="6" spans="1:14" ht="15" customHeight="1" x14ac:dyDescent="0.2">
      <c r="A6" s="5" t="s">
        <v>26</v>
      </c>
      <c r="B6" s="6" t="str">
        <f t="shared" si="0"/>
        <v>C</v>
      </c>
      <c r="C6" s="7" t="str">
        <f>INDEX(Formularios!$E$2:$E$6,MATCH(B6,Formularios!$A$2:$A$6,0))</f>
        <v>6–7</v>
      </c>
      <c r="D6" s="7" t="str">
        <f>IF(VALUE(MID(A6,2,2))&lt;=Resumen!$B$4,"Base","Reserva")</f>
        <v>Base</v>
      </c>
      <c r="E6" s="8" t="s">
        <v>27</v>
      </c>
      <c r="F6" s="9" t="s">
        <v>28</v>
      </c>
      <c r="G6" s="8" t="s">
        <v>19</v>
      </c>
      <c r="H6" s="8" t="s">
        <v>19</v>
      </c>
      <c r="I6" s="8" t="s">
        <v>20</v>
      </c>
      <c r="J6" s="10">
        <v>46300</v>
      </c>
      <c r="K6" s="8">
        <v>11</v>
      </c>
      <c r="L6" s="7">
        <f>INDEX(Formularios!$B$2:$B$6,MATCH(B6,Formularios!$A$2:$A$6,0))</f>
        <v>11</v>
      </c>
      <c r="M6" s="11">
        <f t="shared" si="1"/>
        <v>1</v>
      </c>
      <c r="N6" s="9" t="s">
        <v>21</v>
      </c>
    </row>
    <row r="7" spans="1:14" ht="15" customHeight="1" x14ac:dyDescent="0.2">
      <c r="A7" s="5" t="s">
        <v>29</v>
      </c>
      <c r="B7" s="6" t="str">
        <f t="shared" si="0"/>
        <v>D</v>
      </c>
      <c r="C7" s="7" t="str">
        <f>INDEX(Formularios!$E$2:$E$6,MATCH(B7,Formularios!$A$2:$A$6,0))</f>
        <v>8–9</v>
      </c>
      <c r="D7" s="7" t="str">
        <f>IF(VALUE(MID(A7,2,2))&lt;=Resumen!$B$4,"Base","Reserva")</f>
        <v>Base</v>
      </c>
      <c r="E7" s="8" t="s">
        <v>17</v>
      </c>
      <c r="F7" s="9" t="s">
        <v>30</v>
      </c>
      <c r="G7" s="8" t="s">
        <v>19</v>
      </c>
      <c r="H7" s="8" t="s">
        <v>19</v>
      </c>
      <c r="I7" s="8" t="s">
        <v>20</v>
      </c>
      <c r="J7" s="10">
        <v>46300</v>
      </c>
      <c r="K7" s="8">
        <v>10</v>
      </c>
      <c r="L7" s="7">
        <f>INDEX(Formularios!$B$2:$B$6,MATCH(B7,Formularios!$A$2:$A$6,0))</f>
        <v>11</v>
      </c>
      <c r="M7" s="11">
        <f t="shared" si="1"/>
        <v>0.90909090909090906</v>
      </c>
      <c r="N7" s="9" t="s">
        <v>31</v>
      </c>
    </row>
    <row r="8" spans="1:14" ht="15" customHeight="1" x14ac:dyDescent="0.2">
      <c r="A8" s="5" t="s">
        <v>32</v>
      </c>
      <c r="B8" s="6" t="str">
        <f t="shared" si="0"/>
        <v>E</v>
      </c>
      <c r="C8" s="7" t="str">
        <f>INDEX(Formularios!$E$2:$E$6,MATCH(B8,Formularios!$A$2:$A$6,0))</f>
        <v>10–11</v>
      </c>
      <c r="D8" s="7" t="str">
        <f>IF(VALUE(MID(A8,2,2))&lt;=Resumen!$B$4,"Base","Reserva")</f>
        <v>Base</v>
      </c>
      <c r="E8" s="8" t="s">
        <v>33</v>
      </c>
      <c r="F8" s="9" t="s">
        <v>34</v>
      </c>
      <c r="G8" s="8" t="s">
        <v>19</v>
      </c>
      <c r="H8" s="8" t="s">
        <v>19</v>
      </c>
      <c r="I8" s="8" t="s">
        <v>20</v>
      </c>
      <c r="J8" s="10">
        <v>46300</v>
      </c>
      <c r="K8" s="8">
        <v>9</v>
      </c>
      <c r="L8" s="7">
        <f>INDEX(Formularios!$B$2:$B$6,MATCH(B8,Formularios!$A$2:$A$6,0))</f>
        <v>11</v>
      </c>
      <c r="M8" s="11">
        <f t="shared" si="1"/>
        <v>0.81818181818181823</v>
      </c>
      <c r="N8" s="9" t="s">
        <v>35</v>
      </c>
    </row>
    <row r="9" spans="1:14" ht="15" customHeight="1" x14ac:dyDescent="0.2">
      <c r="A9" s="5" t="s">
        <v>36</v>
      </c>
      <c r="B9" s="6" t="str">
        <f t="shared" si="0"/>
        <v>A</v>
      </c>
      <c r="C9" s="7" t="str">
        <f>INDEX(Formularios!$E$2:$E$6,MATCH(B9,Formularios!$A$2:$A$6,0))</f>
        <v>2–3</v>
      </c>
      <c r="D9" s="7" t="str">
        <f>IF(VALUE(MID(A9,2,2))&lt;=Resumen!$B$4,"Base","Reserva")</f>
        <v>Base</v>
      </c>
      <c r="E9" s="8" t="s">
        <v>23</v>
      </c>
      <c r="F9" s="9" t="s">
        <v>37</v>
      </c>
      <c r="G9" s="8" t="s">
        <v>19</v>
      </c>
      <c r="H9" s="8" t="s">
        <v>25</v>
      </c>
      <c r="I9" s="8" t="s">
        <v>20</v>
      </c>
      <c r="J9" s="10">
        <v>46301</v>
      </c>
      <c r="K9" s="8">
        <v>12</v>
      </c>
      <c r="L9" s="7">
        <f>INDEX(Formularios!$B$2:$B$6,MATCH(B9,Formularios!$A$2:$A$6,0))</f>
        <v>12</v>
      </c>
      <c r="M9" s="11">
        <f t="shared" si="1"/>
        <v>1</v>
      </c>
      <c r="N9" s="9" t="s">
        <v>21</v>
      </c>
    </row>
    <row r="10" spans="1:14" ht="15" customHeight="1" x14ac:dyDescent="0.2">
      <c r="A10" s="5" t="s">
        <v>38</v>
      </c>
      <c r="B10" s="6" t="str">
        <f t="shared" si="0"/>
        <v>B</v>
      </c>
      <c r="C10" s="7" t="str">
        <f>INDEX(Formularios!$E$2:$E$6,MATCH(B10,Formularios!$A$2:$A$6,0))</f>
        <v>4–5</v>
      </c>
      <c r="D10" s="7" t="str">
        <f>IF(VALUE(MID(A10,2,2))&lt;=Resumen!$B$4,"Base","Reserva")</f>
        <v>Base</v>
      </c>
      <c r="E10" s="8" t="s">
        <v>27</v>
      </c>
      <c r="F10" s="9" t="s">
        <v>39</v>
      </c>
      <c r="G10" s="8" t="s">
        <v>19</v>
      </c>
      <c r="H10" s="8" t="s">
        <v>19</v>
      </c>
      <c r="I10" s="8" t="s">
        <v>20</v>
      </c>
      <c r="J10" s="10">
        <v>46301</v>
      </c>
      <c r="K10" s="8">
        <v>11</v>
      </c>
      <c r="L10" s="7">
        <f>INDEX(Formularios!$B$2:$B$6,MATCH(B10,Formularios!$A$2:$A$6,0))</f>
        <v>11</v>
      </c>
      <c r="M10" s="11">
        <f t="shared" si="1"/>
        <v>1</v>
      </c>
      <c r="N10" s="9" t="s">
        <v>21</v>
      </c>
    </row>
    <row r="11" spans="1:14" ht="15" customHeight="1" x14ac:dyDescent="0.2">
      <c r="A11" s="5" t="s">
        <v>40</v>
      </c>
      <c r="B11" s="6" t="str">
        <f t="shared" si="0"/>
        <v>C</v>
      </c>
      <c r="C11" s="7" t="str">
        <f>INDEX(Formularios!$E$2:$E$6,MATCH(B11,Formularios!$A$2:$A$6,0))</f>
        <v>6–7</v>
      </c>
      <c r="D11" s="7" t="str">
        <f>IF(VALUE(MID(A11,2,2))&lt;=Resumen!$B$4,"Base","Reserva")</f>
        <v>Base</v>
      </c>
      <c r="E11" s="8" t="s">
        <v>17</v>
      </c>
      <c r="F11" s="9" t="s">
        <v>41</v>
      </c>
      <c r="G11" s="8" t="s">
        <v>19</v>
      </c>
      <c r="H11" s="8" t="s">
        <v>19</v>
      </c>
      <c r="I11" s="8" t="s">
        <v>20</v>
      </c>
      <c r="J11" s="10">
        <v>46301</v>
      </c>
      <c r="K11" s="8">
        <v>11</v>
      </c>
      <c r="L11" s="7">
        <f>INDEX(Formularios!$B$2:$B$6,MATCH(B11,Formularios!$A$2:$A$6,0))</f>
        <v>11</v>
      </c>
      <c r="M11" s="11">
        <f t="shared" si="1"/>
        <v>1</v>
      </c>
      <c r="N11" s="9" t="s">
        <v>21</v>
      </c>
    </row>
    <row r="12" spans="1:14" ht="15" customHeight="1" x14ac:dyDescent="0.2">
      <c r="A12" s="5" t="s">
        <v>42</v>
      </c>
      <c r="B12" s="6" t="str">
        <f t="shared" si="0"/>
        <v>D</v>
      </c>
      <c r="C12" s="7" t="str">
        <f>INDEX(Formularios!$E$2:$E$6,MATCH(B12,Formularios!$A$2:$A$6,0))</f>
        <v>8–9</v>
      </c>
      <c r="D12" s="7" t="str">
        <f>IF(VALUE(MID(A12,2,2))&lt;=Resumen!$B$4,"Base","Reserva")</f>
        <v>Base</v>
      </c>
      <c r="E12" s="8" t="s">
        <v>33</v>
      </c>
      <c r="F12" s="9" t="s">
        <v>43</v>
      </c>
      <c r="G12" s="8" t="s">
        <v>25</v>
      </c>
      <c r="H12" s="8" t="s">
        <v>19</v>
      </c>
      <c r="I12" s="8" t="s">
        <v>20</v>
      </c>
      <c r="J12" s="10">
        <v>46301</v>
      </c>
      <c r="K12" s="8">
        <v>9</v>
      </c>
      <c r="L12" s="7">
        <f>INDEX(Formularios!$B$2:$B$6,MATCH(B12,Formularios!$A$2:$A$6,0))</f>
        <v>11</v>
      </c>
      <c r="M12" s="11">
        <f t="shared" si="1"/>
        <v>0.81818181818181823</v>
      </c>
      <c r="N12" s="9" t="s">
        <v>44</v>
      </c>
    </row>
    <row r="13" spans="1:14" ht="15" customHeight="1" x14ac:dyDescent="0.2">
      <c r="A13" s="5" t="s">
        <v>45</v>
      </c>
      <c r="B13" s="6" t="str">
        <f t="shared" si="0"/>
        <v>E</v>
      </c>
      <c r="C13" s="7" t="str">
        <f>INDEX(Formularios!$E$2:$E$6,MATCH(B13,Formularios!$A$2:$A$6,0))</f>
        <v>10–11</v>
      </c>
      <c r="D13" s="7" t="str">
        <f>IF(VALUE(MID(A13,2,2))&lt;=Resumen!$B$4,"Base","Reserva")</f>
        <v>Base</v>
      </c>
      <c r="E13" s="8" t="s">
        <v>23</v>
      </c>
      <c r="F13" s="9" t="s">
        <v>46</v>
      </c>
      <c r="G13" s="8" t="s">
        <v>19</v>
      </c>
      <c r="H13" s="8" t="s">
        <v>25</v>
      </c>
      <c r="I13" s="8" t="s">
        <v>20</v>
      </c>
      <c r="J13" s="10">
        <v>46301</v>
      </c>
      <c r="K13" s="8">
        <v>11</v>
      </c>
      <c r="L13" s="7">
        <f>INDEX(Formularios!$B$2:$B$6,MATCH(B13,Formularios!$A$2:$A$6,0))</f>
        <v>11</v>
      </c>
      <c r="M13" s="11">
        <f t="shared" si="1"/>
        <v>1</v>
      </c>
      <c r="N13" s="9" t="s">
        <v>21</v>
      </c>
    </row>
    <row r="14" spans="1:14" ht="15" customHeight="1" x14ac:dyDescent="0.2">
      <c r="A14" s="5" t="s">
        <v>47</v>
      </c>
      <c r="B14" s="6" t="str">
        <f t="shared" si="0"/>
        <v>A</v>
      </c>
      <c r="C14" s="7" t="str">
        <f>INDEX(Formularios!$E$2:$E$6,MATCH(B14,Formularios!$A$2:$A$6,0))</f>
        <v>2–3</v>
      </c>
      <c r="D14" s="7" t="str">
        <f>IF(VALUE(MID(A14,2,2))&lt;=Resumen!$B$4,"Base","Reserva")</f>
        <v>Base</v>
      </c>
      <c r="E14" s="8" t="s">
        <v>27</v>
      </c>
      <c r="F14" s="9" t="s">
        <v>48</v>
      </c>
      <c r="G14" s="8" t="s">
        <v>19</v>
      </c>
      <c r="H14" s="8" t="s">
        <v>19</v>
      </c>
      <c r="I14" s="8" t="s">
        <v>20</v>
      </c>
      <c r="J14" s="10">
        <v>46302</v>
      </c>
      <c r="K14" s="8">
        <v>11</v>
      </c>
      <c r="L14" s="7">
        <f>INDEX(Formularios!$B$2:$B$6,MATCH(B14,Formularios!$A$2:$A$6,0))</f>
        <v>12</v>
      </c>
      <c r="M14" s="11">
        <f t="shared" si="1"/>
        <v>0.91666666666666663</v>
      </c>
      <c r="N14" s="9" t="s">
        <v>49</v>
      </c>
    </row>
    <row r="15" spans="1:14" ht="15" customHeight="1" x14ac:dyDescent="0.2">
      <c r="A15" s="5" t="s">
        <v>50</v>
      </c>
      <c r="B15" s="6" t="str">
        <f t="shared" si="0"/>
        <v>B</v>
      </c>
      <c r="C15" s="7" t="str">
        <f>INDEX(Formularios!$E$2:$E$6,MATCH(B15,Formularios!$A$2:$A$6,0))</f>
        <v>4–5</v>
      </c>
      <c r="D15" s="7" t="str">
        <f>IF(VALUE(MID(A15,2,2))&lt;=Resumen!$B$4,"Base","Reserva")</f>
        <v>Base</v>
      </c>
      <c r="E15" s="8" t="s">
        <v>17</v>
      </c>
      <c r="F15" s="9" t="s">
        <v>51</v>
      </c>
      <c r="G15" s="8" t="s">
        <v>19</v>
      </c>
      <c r="H15" s="8" t="s">
        <v>19</v>
      </c>
      <c r="I15" s="8" t="s">
        <v>20</v>
      </c>
      <c r="J15" s="10">
        <v>46302</v>
      </c>
      <c r="K15" s="8">
        <v>10</v>
      </c>
      <c r="L15" s="7">
        <f>INDEX(Formularios!$B$2:$B$6,MATCH(B15,Formularios!$A$2:$A$6,0))</f>
        <v>11</v>
      </c>
      <c r="M15" s="11">
        <f t="shared" si="1"/>
        <v>0.90909090909090906</v>
      </c>
      <c r="N15" s="9" t="s">
        <v>52</v>
      </c>
    </row>
    <row r="16" spans="1:14" ht="15" customHeight="1" x14ac:dyDescent="0.2">
      <c r="A16" s="5" t="s">
        <v>53</v>
      </c>
      <c r="B16" s="6" t="str">
        <f t="shared" si="0"/>
        <v>C</v>
      </c>
      <c r="C16" s="7" t="str">
        <f>INDEX(Formularios!$E$2:$E$6,MATCH(B16,Formularios!$A$2:$A$6,0))</f>
        <v>6–7</v>
      </c>
      <c r="D16" s="7" t="str">
        <f>IF(VALUE(MID(A16,2,2))&lt;=Resumen!$B$4,"Base","Reserva")</f>
        <v>Base</v>
      </c>
      <c r="E16" s="8" t="s">
        <v>23</v>
      </c>
      <c r="F16" s="9" t="s">
        <v>54</v>
      </c>
      <c r="G16" s="8" t="s">
        <v>19</v>
      </c>
      <c r="H16" s="8" t="s">
        <v>25</v>
      </c>
      <c r="I16" s="8" t="s">
        <v>20</v>
      </c>
      <c r="J16" s="10">
        <v>46302</v>
      </c>
      <c r="K16" s="8">
        <v>11</v>
      </c>
      <c r="L16" s="7">
        <f>INDEX(Formularios!$B$2:$B$6,MATCH(B16,Formularios!$A$2:$A$6,0))</f>
        <v>11</v>
      </c>
      <c r="M16" s="11">
        <f t="shared" si="1"/>
        <v>1</v>
      </c>
      <c r="N16" s="9" t="s">
        <v>21</v>
      </c>
    </row>
    <row r="17" spans="1:14" ht="15" customHeight="1" x14ac:dyDescent="0.2">
      <c r="A17" s="5" t="s">
        <v>55</v>
      </c>
      <c r="B17" s="6" t="str">
        <f t="shared" si="0"/>
        <v>D</v>
      </c>
      <c r="C17" s="7" t="str">
        <f>INDEX(Formularios!$E$2:$E$6,MATCH(B17,Formularios!$A$2:$A$6,0))</f>
        <v>8–9</v>
      </c>
      <c r="D17" s="7" t="str">
        <f>IF(VALUE(MID(A17,2,2))&lt;=Resumen!$B$4,"Base","Reserva")</f>
        <v>Base</v>
      </c>
      <c r="E17" s="8" t="s">
        <v>27</v>
      </c>
      <c r="F17" s="9" t="s">
        <v>56</v>
      </c>
      <c r="G17" s="8" t="s">
        <v>25</v>
      </c>
      <c r="H17" s="8" t="s">
        <v>19</v>
      </c>
      <c r="I17" s="8" t="s">
        <v>20</v>
      </c>
      <c r="J17" s="10">
        <v>46302</v>
      </c>
      <c r="K17" s="8">
        <v>11</v>
      </c>
      <c r="L17" s="7">
        <f>INDEX(Formularios!$B$2:$B$6,MATCH(B17,Formularios!$A$2:$A$6,0))</f>
        <v>11</v>
      </c>
      <c r="M17" s="11">
        <f t="shared" si="1"/>
        <v>1</v>
      </c>
      <c r="N17" s="9" t="s">
        <v>57</v>
      </c>
    </row>
    <row r="18" spans="1:14" ht="15" customHeight="1" x14ac:dyDescent="0.2">
      <c r="A18" s="5" t="s">
        <v>58</v>
      </c>
      <c r="B18" s="6" t="str">
        <f t="shared" si="0"/>
        <v>E</v>
      </c>
      <c r="C18" s="7" t="str">
        <f>INDEX(Formularios!$E$2:$E$6,MATCH(B18,Formularios!$A$2:$A$6,0))</f>
        <v>10–11</v>
      </c>
      <c r="D18" s="7" t="str">
        <f>IF(VALUE(MID(A18,2,2))&lt;=Resumen!$B$4,"Base","Reserva")</f>
        <v>Base</v>
      </c>
      <c r="E18" s="8" t="s">
        <v>17</v>
      </c>
      <c r="F18" s="9" t="s">
        <v>59</v>
      </c>
      <c r="G18" s="8" t="s">
        <v>19</v>
      </c>
      <c r="H18" s="8" t="s">
        <v>19</v>
      </c>
      <c r="I18" s="8" t="s">
        <v>20</v>
      </c>
      <c r="J18" s="10">
        <v>46302</v>
      </c>
      <c r="K18" s="8">
        <v>11</v>
      </c>
      <c r="L18" s="7">
        <f>INDEX(Formularios!$B$2:$B$6,MATCH(B18,Formularios!$A$2:$A$6,0))</f>
        <v>11</v>
      </c>
      <c r="M18" s="11">
        <f t="shared" si="1"/>
        <v>1</v>
      </c>
      <c r="N18" s="9" t="s">
        <v>21</v>
      </c>
    </row>
    <row r="19" spans="1:14" ht="15" customHeight="1" x14ac:dyDescent="0.2">
      <c r="A19" s="5" t="s">
        <v>60</v>
      </c>
      <c r="B19" s="6" t="str">
        <f t="shared" si="0"/>
        <v>A</v>
      </c>
      <c r="C19" s="7" t="str">
        <f>INDEX(Formularios!$E$2:$E$6,MATCH(B19,Formularios!$A$2:$A$6,0))</f>
        <v>2–3</v>
      </c>
      <c r="D19" s="7" t="str">
        <f>IF(VALUE(MID(A19,2,2))&lt;=Resumen!$B$4,"Base","Reserva")</f>
        <v>Base</v>
      </c>
      <c r="E19" s="8" t="s">
        <v>33</v>
      </c>
      <c r="F19" s="9" t="s">
        <v>61</v>
      </c>
      <c r="G19" s="8" t="s">
        <v>19</v>
      </c>
      <c r="H19" s="8" t="s">
        <v>19</v>
      </c>
      <c r="I19" s="8" t="s">
        <v>20</v>
      </c>
      <c r="J19" s="10">
        <v>46303</v>
      </c>
      <c r="K19" s="8">
        <v>8</v>
      </c>
      <c r="L19" s="7">
        <f>INDEX(Formularios!$B$2:$B$6,MATCH(B19,Formularios!$A$2:$A$6,0))</f>
        <v>12</v>
      </c>
      <c r="M19" s="11">
        <f t="shared" si="1"/>
        <v>0.66666666666666663</v>
      </c>
      <c r="N19" s="9" t="s">
        <v>62</v>
      </c>
    </row>
    <row r="20" spans="1:14" ht="15" customHeight="1" x14ac:dyDescent="0.2">
      <c r="A20" s="5" t="s">
        <v>63</v>
      </c>
      <c r="B20" s="6" t="str">
        <f t="shared" si="0"/>
        <v>B</v>
      </c>
      <c r="C20" s="7" t="str">
        <f>INDEX(Formularios!$E$2:$E$6,MATCH(B20,Formularios!$A$2:$A$6,0))</f>
        <v>4–5</v>
      </c>
      <c r="D20" s="7" t="str">
        <f>IF(VALUE(MID(A20,2,2))&lt;=Resumen!$B$4,"Base","Reserva")</f>
        <v>Base</v>
      </c>
      <c r="E20" s="8" t="s">
        <v>23</v>
      </c>
      <c r="F20" s="9" t="s">
        <v>64</v>
      </c>
      <c r="G20" s="8" t="s">
        <v>19</v>
      </c>
      <c r="H20" s="8" t="s">
        <v>19</v>
      </c>
      <c r="I20" s="8" t="s">
        <v>20</v>
      </c>
      <c r="J20" s="10">
        <v>46303</v>
      </c>
      <c r="K20" s="8">
        <v>11</v>
      </c>
      <c r="L20" s="7">
        <f>INDEX(Formularios!$B$2:$B$6,MATCH(B20,Formularios!$A$2:$A$6,0))</f>
        <v>11</v>
      </c>
      <c r="M20" s="11">
        <f t="shared" si="1"/>
        <v>1</v>
      </c>
      <c r="N20" s="9" t="s">
        <v>21</v>
      </c>
    </row>
    <row r="21" spans="1:14" ht="15" customHeight="1" x14ac:dyDescent="0.2">
      <c r="A21" s="5" t="s">
        <v>65</v>
      </c>
      <c r="B21" s="6" t="str">
        <f t="shared" si="0"/>
        <v>C</v>
      </c>
      <c r="C21" s="7" t="str">
        <f>INDEX(Formularios!$E$2:$E$6,MATCH(B21,Formularios!$A$2:$A$6,0))</f>
        <v>6–7</v>
      </c>
      <c r="D21" s="7" t="str">
        <f>IF(VALUE(MID(A21,2,2))&lt;=Resumen!$B$4,"Base","Reserva")</f>
        <v>Base</v>
      </c>
      <c r="E21" s="8" t="s">
        <v>33</v>
      </c>
      <c r="F21" s="9" t="s">
        <v>18</v>
      </c>
      <c r="G21" s="8" t="s">
        <v>19</v>
      </c>
      <c r="H21" s="8" t="s">
        <v>19</v>
      </c>
      <c r="I21" s="8" t="s">
        <v>20</v>
      </c>
      <c r="J21" s="10">
        <v>46303</v>
      </c>
      <c r="K21" s="8">
        <v>6</v>
      </c>
      <c r="L21" s="7">
        <f>INDEX(Formularios!$B$2:$B$6,MATCH(B21,Formularios!$A$2:$A$6,0))</f>
        <v>11</v>
      </c>
      <c r="M21" s="11">
        <f t="shared" si="1"/>
        <v>0.54545454545454541</v>
      </c>
      <c r="N21" s="9" t="s">
        <v>66</v>
      </c>
    </row>
    <row r="22" spans="1:14" ht="15" customHeight="1" x14ac:dyDescent="0.2">
      <c r="A22" s="5" t="s">
        <v>67</v>
      </c>
      <c r="B22" s="6" t="str">
        <f t="shared" si="0"/>
        <v>D</v>
      </c>
      <c r="C22" s="7" t="str">
        <f>INDEX(Formularios!$E$2:$E$6,MATCH(B22,Formularios!$A$2:$A$6,0))</f>
        <v>8–9</v>
      </c>
      <c r="D22" s="7" t="str">
        <f>IF(VALUE(MID(A22,2,2))&lt;=Resumen!$B$4,"Base","Reserva")</f>
        <v>Base</v>
      </c>
      <c r="E22" s="8" t="s">
        <v>23</v>
      </c>
      <c r="F22" s="9" t="s">
        <v>68</v>
      </c>
      <c r="G22" s="8" t="s">
        <v>19</v>
      </c>
      <c r="H22" s="8" t="s">
        <v>25</v>
      </c>
      <c r="I22" s="8" t="s">
        <v>20</v>
      </c>
      <c r="J22" s="10">
        <v>46303</v>
      </c>
      <c r="K22" s="8">
        <v>11</v>
      </c>
      <c r="L22" s="7">
        <f>INDEX(Formularios!$B$2:$B$6,MATCH(B22,Formularios!$A$2:$A$6,0))</f>
        <v>11</v>
      </c>
      <c r="M22" s="11">
        <f t="shared" si="1"/>
        <v>1</v>
      </c>
      <c r="N22" s="9" t="s">
        <v>21</v>
      </c>
    </row>
    <row r="23" spans="1:14" ht="15" customHeight="1" x14ac:dyDescent="0.2">
      <c r="A23" s="5" t="s">
        <v>69</v>
      </c>
      <c r="B23" s="6" t="str">
        <f t="shared" si="0"/>
        <v>E</v>
      </c>
      <c r="C23" s="7" t="str">
        <f>INDEX(Formularios!$E$2:$E$6,MATCH(B23,Formularios!$A$2:$A$6,0))</f>
        <v>10–11</v>
      </c>
      <c r="D23" s="7" t="str">
        <f>IF(VALUE(MID(A23,2,2))&lt;=Resumen!$B$4,"Base","Reserva")</f>
        <v>Base</v>
      </c>
      <c r="E23" s="8" t="s">
        <v>27</v>
      </c>
      <c r="F23" s="9" t="s">
        <v>70</v>
      </c>
      <c r="G23" s="8" t="s">
        <v>19</v>
      </c>
      <c r="H23" s="8" t="s">
        <v>19</v>
      </c>
      <c r="I23" s="8" t="s">
        <v>20</v>
      </c>
      <c r="J23" s="10">
        <v>46303</v>
      </c>
      <c r="K23" s="8">
        <v>11</v>
      </c>
      <c r="L23" s="7">
        <f>INDEX(Formularios!$B$2:$B$6,MATCH(B23,Formularios!$A$2:$A$6,0))</f>
        <v>11</v>
      </c>
      <c r="M23" s="11">
        <f t="shared" si="1"/>
        <v>1</v>
      </c>
      <c r="N23" s="9" t="s">
        <v>21</v>
      </c>
    </row>
    <row r="24" spans="1:14" ht="15" customHeight="1" x14ac:dyDescent="0.2">
      <c r="A24" s="5" t="s">
        <v>71</v>
      </c>
      <c r="B24" s="6" t="str">
        <f t="shared" si="0"/>
        <v>A</v>
      </c>
      <c r="C24" s="7" t="str">
        <f>INDEX(Formularios!$E$2:$E$6,MATCH(B24,Formularios!$A$2:$A$6,0))</f>
        <v>2–3</v>
      </c>
      <c r="D24" s="7" t="str">
        <f>IF(VALUE(MID(A24,2,2))&lt;=Resumen!$B$4,"Base","Reserva")</f>
        <v>Reserva</v>
      </c>
      <c r="E24" s="8" t="s">
        <v>17</v>
      </c>
      <c r="F24" s="9" t="s">
        <v>72</v>
      </c>
      <c r="G24" s="8" t="s">
        <v>19</v>
      </c>
      <c r="H24" s="8" t="s">
        <v>25</v>
      </c>
      <c r="I24" s="8" t="s">
        <v>20</v>
      </c>
      <c r="J24" s="10">
        <v>46304</v>
      </c>
      <c r="K24" s="8">
        <v>12</v>
      </c>
      <c r="L24" s="7">
        <f>INDEX(Formularios!$B$2:$B$6,MATCH(B24,Formularios!$A$2:$A$6,0))</f>
        <v>12</v>
      </c>
      <c r="M24" s="11">
        <f t="shared" si="1"/>
        <v>1</v>
      </c>
      <c r="N24" s="9" t="s">
        <v>73</v>
      </c>
    </row>
    <row r="25" spans="1:14" ht="15" customHeight="1" x14ac:dyDescent="0.2">
      <c r="A25" s="5" t="s">
        <v>74</v>
      </c>
      <c r="B25" s="6" t="str">
        <f t="shared" si="0"/>
        <v>B</v>
      </c>
      <c r="C25" s="7" t="str">
        <f>INDEX(Formularios!$E$2:$E$6,MATCH(B25,Formularios!$A$2:$A$6,0))</f>
        <v>4–5</v>
      </c>
      <c r="D25" s="7" t="str">
        <f>IF(VALUE(MID(A25,2,2))&lt;=Resumen!$B$4,"Base","Reserva")</f>
        <v>Reserva</v>
      </c>
      <c r="E25" s="8"/>
      <c r="F25" s="9"/>
      <c r="G25" s="8"/>
      <c r="H25" s="8"/>
      <c r="I25" s="8" t="s">
        <v>75</v>
      </c>
      <c r="J25" s="10"/>
      <c r="K25" s="8"/>
      <c r="L25" s="7">
        <f>INDEX(Formularios!$B$2:$B$6,MATCH(B25,Formularios!$A$2:$A$6,0))</f>
        <v>11</v>
      </c>
      <c r="M25" s="11" t="str">
        <f t="shared" si="1"/>
        <v/>
      </c>
      <c r="N25" s="9" t="s">
        <v>76</v>
      </c>
    </row>
    <row r="26" spans="1:14" ht="15" customHeight="1" x14ac:dyDescent="0.2">
      <c r="A26" s="5" t="s">
        <v>77</v>
      </c>
      <c r="B26" s="6" t="str">
        <f t="shared" si="0"/>
        <v>C</v>
      </c>
      <c r="C26" s="7" t="str">
        <f>INDEX(Formularios!$E$2:$E$6,MATCH(B26,Formularios!$A$2:$A$6,0))</f>
        <v>6–7</v>
      </c>
      <c r="D26" s="7" t="str">
        <f>IF(VALUE(MID(A26,2,2))&lt;=Resumen!$B$4,"Base","Reserva")</f>
        <v>Reserva</v>
      </c>
      <c r="E26" s="8" t="s">
        <v>17</v>
      </c>
      <c r="F26" s="9" t="s">
        <v>78</v>
      </c>
      <c r="G26" s="8" t="s">
        <v>19</v>
      </c>
      <c r="H26" s="8" t="s">
        <v>19</v>
      </c>
      <c r="I26" s="8" t="s">
        <v>20</v>
      </c>
      <c r="J26" s="10">
        <v>46304</v>
      </c>
      <c r="K26" s="8">
        <v>11</v>
      </c>
      <c r="L26" s="7">
        <f>INDEX(Formularios!$B$2:$B$6,MATCH(B26,Formularios!$A$2:$A$6,0))</f>
        <v>11</v>
      </c>
      <c r="M26" s="11">
        <f t="shared" si="1"/>
        <v>1</v>
      </c>
      <c r="N26" s="9" t="s">
        <v>79</v>
      </c>
    </row>
    <row r="27" spans="1:14" ht="15" customHeight="1" x14ac:dyDescent="0.2">
      <c r="A27" s="5" t="s">
        <v>80</v>
      </c>
      <c r="B27" s="6" t="str">
        <f t="shared" si="0"/>
        <v>D</v>
      </c>
      <c r="C27" s="7" t="str">
        <f>INDEX(Formularios!$E$2:$E$6,MATCH(B27,Formularios!$A$2:$A$6,0))</f>
        <v>8–9</v>
      </c>
      <c r="D27" s="7" t="str">
        <f>IF(VALUE(MID(A27,2,2))&lt;=Resumen!$B$4,"Base","Reserva")</f>
        <v>Reserva</v>
      </c>
      <c r="E27" s="8" t="s">
        <v>27</v>
      </c>
      <c r="F27" s="9" t="s">
        <v>81</v>
      </c>
      <c r="G27" s="8" t="s">
        <v>19</v>
      </c>
      <c r="H27" s="8" t="s">
        <v>19</v>
      </c>
      <c r="I27" s="8" t="s">
        <v>82</v>
      </c>
      <c r="J27" s="10">
        <v>46304</v>
      </c>
      <c r="K27" s="8">
        <v>11</v>
      </c>
      <c r="L27" s="7">
        <f>INDEX(Formularios!$B$2:$B$6,MATCH(B27,Formularios!$A$2:$A$6,0))</f>
        <v>11</v>
      </c>
      <c r="M27" s="11">
        <f t="shared" si="1"/>
        <v>1</v>
      </c>
      <c r="N27" s="9" t="s">
        <v>83</v>
      </c>
    </row>
    <row r="28" spans="1:14" ht="15" customHeight="1" x14ac:dyDescent="0.2">
      <c r="A28" s="5" t="s">
        <v>84</v>
      </c>
      <c r="B28" s="6" t="str">
        <f t="shared" si="0"/>
        <v>E</v>
      </c>
      <c r="C28" s="7" t="str">
        <f>INDEX(Formularios!$E$2:$E$6,MATCH(B28,Formularios!$A$2:$A$6,0))</f>
        <v>10–11</v>
      </c>
      <c r="D28" s="7" t="str">
        <f>IF(VALUE(MID(A28,2,2))&lt;=Resumen!$B$4,"Base","Reserva")</f>
        <v>Reserva</v>
      </c>
      <c r="E28" s="8" t="s">
        <v>17</v>
      </c>
      <c r="F28" s="9" t="s">
        <v>85</v>
      </c>
      <c r="G28" s="8" t="s">
        <v>19</v>
      </c>
      <c r="H28" s="8" t="s">
        <v>19</v>
      </c>
      <c r="I28" s="8" t="s">
        <v>86</v>
      </c>
      <c r="J28" s="10">
        <v>46304</v>
      </c>
      <c r="K28" s="8"/>
      <c r="L28" s="7">
        <f>INDEX(Formularios!$B$2:$B$6,MATCH(B28,Formularios!$A$2:$A$6,0))</f>
        <v>11</v>
      </c>
      <c r="M28" s="11" t="str">
        <f t="shared" si="1"/>
        <v/>
      </c>
      <c r="N28" s="9" t="s">
        <v>87</v>
      </c>
    </row>
    <row r="30" spans="1:14" ht="15" customHeight="1" x14ac:dyDescent="0.2">
      <c r="A30" s="3" t="s">
        <v>88</v>
      </c>
    </row>
    <row r="31" spans="1:14" ht="15" customHeight="1" x14ac:dyDescent="0.2">
      <c r="A31" s="12" t="s">
        <v>16</v>
      </c>
      <c r="B31" s="12" t="s">
        <v>89</v>
      </c>
      <c r="C31" s="12" t="s">
        <v>90</v>
      </c>
      <c r="D31" s="12" t="s">
        <v>91</v>
      </c>
      <c r="E31" s="12" t="s">
        <v>17</v>
      </c>
      <c r="F31" s="13" t="s">
        <v>18</v>
      </c>
      <c r="G31" s="12" t="s">
        <v>19</v>
      </c>
      <c r="H31" s="12" t="s">
        <v>19</v>
      </c>
      <c r="I31" s="12" t="s">
        <v>20</v>
      </c>
      <c r="J31" s="14">
        <v>46300</v>
      </c>
      <c r="K31" s="12">
        <v>12</v>
      </c>
      <c r="L31" s="12">
        <v>12</v>
      </c>
      <c r="M31" s="15">
        <v>1</v>
      </c>
      <c r="N31" s="13" t="s">
        <v>92</v>
      </c>
    </row>
  </sheetData>
  <conditionalFormatting sqref="I4:I28">
    <cfRule type="expression" dxfId="9" priority="2">
      <formula>$I4="Transcrito"</formula>
    </cfRule>
    <cfRule type="expression" dxfId="8" priority="3">
      <formula>OR($I4="Entregado",$I4="Respondido")</formula>
    </cfRule>
  </conditionalFormatting>
  <dataValidations count="2">
    <dataValidation type="date" operator="greaterThan" allowBlank="1" showErrorMessage="1" errorTitle="Fecha" error="Escribe una fecha válida (dd/mm/aaaa)." sqref="J4:J28" xr:uid="{00000000-0002-0000-0000-000003000000}">
      <formula1>36526</formula1>
      <formula2>0</formula2>
    </dataValidation>
    <dataValidation type="custom" allowBlank="1" showErrorMessage="1" errorTitle="Situaciones respondidas" error="Escribe un número entre 0 y el total de situaciones del formulario (columna L)." sqref="K4:K28" xr:uid="{00000000-0002-0000-0000-000004000000}">
      <formula1>AND(ISNUMBER(K4),K4&gt;=0,K4&lt;=L4)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Rango de edad" error="Elige un rango de la lista." xr:uid="{00000000-0002-0000-0000-000000000000}">
          <x14:formula1>
            <xm:f>Listas!$A$2:$A$5</xm:f>
          </x14:formula1>
          <x14:formula2>
            <xm:f>0</xm:f>
          </x14:formula2>
          <xm:sqref>E4:E28</xm:sqref>
        </x14:dataValidation>
        <x14:dataValidation type="list" allowBlank="1" showErrorMessage="1" errorTitle="Sí / No" error="Elige Sí o No." xr:uid="{00000000-0002-0000-0000-000001000000}">
          <x14:formula1>
            <xm:f>Listas!$B$2:$B$3</xm:f>
          </x14:formula1>
          <x14:formula2>
            <xm:f>0</xm:f>
          </x14:formula2>
          <xm:sqref>G4:H28</xm:sqref>
        </x14:dataValidation>
        <x14:dataValidation type="list" allowBlank="1" showErrorMessage="1" errorTitle="Estado" error="Elige un estado de la lista." xr:uid="{00000000-0002-0000-0000-000002000000}">
          <x14:formula1>
            <xm:f>Listas!$C$2:$C$5</xm:f>
          </x14:formula1>
          <x14:formula2>
            <xm:f>0</xm:f>
          </x14:formula2>
          <xm:sqref>I4:I28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6"/>
  <sheetViews>
    <sheetView topLeftCell="A5" zoomScaleNormal="100" workbookViewId="0">
      <selection activeCell="A3" sqref="A3:XFD3"/>
    </sheetView>
  </sheetViews>
  <sheetFormatPr baseColWidth="10" defaultColWidth="8.7109375" defaultRowHeight="12.75" x14ac:dyDescent="0.2"/>
  <cols>
    <col min="1" max="1" width="46" style="1" customWidth="1"/>
    <col min="2" max="2" width="13" style="1" customWidth="1"/>
    <col min="3" max="3" width="16" style="1" customWidth="1"/>
    <col min="4" max="5" width="13" style="1" customWidth="1"/>
    <col min="6" max="6" width="16" style="1" customWidth="1"/>
    <col min="7" max="7" width="22" style="1" customWidth="1"/>
  </cols>
  <sheetData>
    <row r="1" spans="1:7" ht="17.25" customHeight="1" x14ac:dyDescent="0.25">
      <c r="A1" s="2" t="s">
        <v>93</v>
      </c>
    </row>
    <row r="2" spans="1:7" ht="15" customHeight="1" x14ac:dyDescent="0.2">
      <c r="A2" s="3" t="s">
        <v>94</v>
      </c>
    </row>
    <row r="3" spans="1:7" ht="15" customHeight="1" x14ac:dyDescent="0.2">
      <c r="A3" s="4" t="s">
        <v>95</v>
      </c>
      <c r="B3" s="4" t="s">
        <v>96</v>
      </c>
      <c r="C3" s="4" t="s">
        <v>97</v>
      </c>
    </row>
    <row r="4" spans="1:7" ht="27" customHeight="1" x14ac:dyDescent="0.2">
      <c r="A4" s="16" t="s">
        <v>98</v>
      </c>
      <c r="B4" s="8">
        <v>20</v>
      </c>
      <c r="C4" s="17" t="s">
        <v>99</v>
      </c>
    </row>
    <row r="5" spans="1:7" ht="27" customHeight="1" x14ac:dyDescent="0.2">
      <c r="A5" s="16" t="s">
        <v>100</v>
      </c>
      <c r="B5" s="8">
        <v>4</v>
      </c>
      <c r="C5" s="17" t="s">
        <v>101</v>
      </c>
    </row>
    <row r="6" spans="1:7" ht="27" customHeight="1" x14ac:dyDescent="0.2">
      <c r="A6" s="16" t="s">
        <v>102</v>
      </c>
      <c r="B6" s="8">
        <v>3</v>
      </c>
      <c r="C6" s="17" t="s">
        <v>103</v>
      </c>
    </row>
    <row r="7" spans="1:7" ht="27" customHeight="1" x14ac:dyDescent="0.2">
      <c r="A7" s="16" t="s">
        <v>104</v>
      </c>
      <c r="B7" s="8">
        <v>15</v>
      </c>
      <c r="C7" s="17" t="s">
        <v>105</v>
      </c>
    </row>
    <row r="8" spans="1:7" ht="27" customHeight="1" x14ac:dyDescent="0.2">
      <c r="A8" s="16" t="s">
        <v>106</v>
      </c>
      <c r="B8" s="8">
        <v>3</v>
      </c>
      <c r="C8" s="17" t="s">
        <v>107</v>
      </c>
    </row>
    <row r="10" spans="1:7" ht="15" customHeight="1" x14ac:dyDescent="0.25">
      <c r="A10" s="18" t="s">
        <v>108</v>
      </c>
      <c r="B10" s="19"/>
      <c r="C10" s="19"/>
      <c r="D10" s="19"/>
      <c r="E10" s="19"/>
      <c r="F10" s="19"/>
      <c r="G10" s="19"/>
    </row>
    <row r="11" spans="1:7" ht="31.5" customHeight="1" x14ac:dyDescent="0.2">
      <c r="A11" s="4" t="s">
        <v>3</v>
      </c>
      <c r="B11" s="4" t="s">
        <v>109</v>
      </c>
      <c r="C11" s="4" t="s">
        <v>110</v>
      </c>
      <c r="D11" s="4" t="s">
        <v>111</v>
      </c>
      <c r="E11" s="4" t="s">
        <v>112</v>
      </c>
      <c r="F11" s="4" t="s">
        <v>113</v>
      </c>
      <c r="G11" s="4" t="s">
        <v>114</v>
      </c>
    </row>
    <row r="12" spans="1:7" ht="15" customHeight="1" x14ac:dyDescent="0.2">
      <c r="A12" s="5" t="s">
        <v>89</v>
      </c>
      <c r="B12" s="7">
        <f>INDEX(Formularios!$B$2:$B$6,MATCH(A12,Formularios!$A$2:$A$6,0))</f>
        <v>12</v>
      </c>
      <c r="C12" s="7">
        <f>COUNTIF(Participantes!$B$4:$B$28,A12)</f>
        <v>5</v>
      </c>
      <c r="D12" s="7">
        <f>COUNTIFS(Participantes!$B$4:$B$28,A12,Participantes!$I$4:$I$28,"Transcrito")</f>
        <v>5</v>
      </c>
      <c r="E12" s="6">
        <f>$B$5</f>
        <v>4</v>
      </c>
      <c r="F12" s="6">
        <f>MAX(0,E12-D12)</f>
        <v>0</v>
      </c>
      <c r="G12" s="6" t="str">
        <f>IF(D12&gt;=$B$5,"Meta cumplida",IF(D12&gt;=$B$6,"Mínimo alcanzado","Insuficiente"))</f>
        <v>Meta cumplida</v>
      </c>
    </row>
    <row r="13" spans="1:7" ht="15" customHeight="1" x14ac:dyDescent="0.2">
      <c r="A13" s="5" t="s">
        <v>115</v>
      </c>
      <c r="B13" s="7">
        <f>INDEX(Formularios!$B$2:$B$6,MATCH(A13,Formularios!$A$2:$A$6,0))</f>
        <v>11</v>
      </c>
      <c r="C13" s="7">
        <f>COUNTIF(Participantes!$B$4:$B$28,A13)</f>
        <v>5</v>
      </c>
      <c r="D13" s="7">
        <f>COUNTIFS(Participantes!$B$4:$B$28,A13,Participantes!$I$4:$I$28,"Transcrito")</f>
        <v>4</v>
      </c>
      <c r="E13" s="6">
        <f>$B$5</f>
        <v>4</v>
      </c>
      <c r="F13" s="6">
        <f>MAX(0,E13-D13)</f>
        <v>0</v>
      </c>
      <c r="G13" s="6" t="str">
        <f>IF(D13&gt;=$B$5,"Meta cumplida",IF(D13&gt;=$B$6,"Mínimo alcanzado","Insuficiente"))</f>
        <v>Meta cumplida</v>
      </c>
    </row>
    <row r="14" spans="1:7" ht="15" customHeight="1" x14ac:dyDescent="0.2">
      <c r="A14" s="5" t="s">
        <v>116</v>
      </c>
      <c r="B14" s="7">
        <f>INDEX(Formularios!$B$2:$B$6,MATCH(A14,Formularios!$A$2:$A$6,0))</f>
        <v>11</v>
      </c>
      <c r="C14" s="7">
        <f>COUNTIF(Participantes!$B$4:$B$28,A14)</f>
        <v>5</v>
      </c>
      <c r="D14" s="7">
        <f>COUNTIFS(Participantes!$B$4:$B$28,A14,Participantes!$I$4:$I$28,"Transcrito")</f>
        <v>5</v>
      </c>
      <c r="E14" s="6">
        <f>$B$5</f>
        <v>4</v>
      </c>
      <c r="F14" s="6">
        <f>MAX(0,E14-D14)</f>
        <v>0</v>
      </c>
      <c r="G14" s="6" t="str">
        <f>IF(D14&gt;=$B$5,"Meta cumplida",IF(D14&gt;=$B$6,"Mínimo alcanzado","Insuficiente"))</f>
        <v>Meta cumplida</v>
      </c>
    </row>
    <row r="15" spans="1:7" ht="15" customHeight="1" x14ac:dyDescent="0.2">
      <c r="A15" s="5" t="s">
        <v>117</v>
      </c>
      <c r="B15" s="7">
        <f>INDEX(Formularios!$B$2:$B$6,MATCH(A15,Formularios!$A$2:$A$6,0))</f>
        <v>11</v>
      </c>
      <c r="C15" s="7">
        <f>COUNTIF(Participantes!$B$4:$B$28,A15)</f>
        <v>5</v>
      </c>
      <c r="D15" s="7">
        <f>COUNTIFS(Participantes!$B$4:$B$28,A15,Participantes!$I$4:$I$28,"Transcrito")</f>
        <v>4</v>
      </c>
      <c r="E15" s="6">
        <f>$B$5</f>
        <v>4</v>
      </c>
      <c r="F15" s="6">
        <f>MAX(0,E15-D15)</f>
        <v>0</v>
      </c>
      <c r="G15" s="6" t="str">
        <f>IF(D15&gt;=$B$5,"Meta cumplida",IF(D15&gt;=$B$6,"Mínimo alcanzado","Insuficiente"))</f>
        <v>Meta cumplida</v>
      </c>
    </row>
    <row r="16" spans="1:7" ht="15" customHeight="1" x14ac:dyDescent="0.2">
      <c r="A16" s="5" t="s">
        <v>118</v>
      </c>
      <c r="B16" s="7">
        <f>INDEX(Formularios!$B$2:$B$6,MATCH(A16,Formularios!$A$2:$A$6,0))</f>
        <v>11</v>
      </c>
      <c r="C16" s="7">
        <f>COUNTIF(Participantes!$B$4:$B$28,A16)</f>
        <v>5</v>
      </c>
      <c r="D16" s="7">
        <f>COUNTIFS(Participantes!$B$4:$B$28,A16,Participantes!$I$4:$I$28,"Transcrito")</f>
        <v>4</v>
      </c>
      <c r="E16" s="6">
        <f>$B$5</f>
        <v>4</v>
      </c>
      <c r="F16" s="6">
        <f>MAX(0,E16-D16)</f>
        <v>0</v>
      </c>
      <c r="G16" s="6" t="str">
        <f>IF(D16&gt;=$B$5,"Meta cumplida",IF(D16&gt;=$B$6,"Mínimo alcanzado","Insuficiente"))</f>
        <v>Meta cumplida</v>
      </c>
    </row>
    <row r="17" spans="1:7" ht="15" customHeight="1" x14ac:dyDescent="0.2">
      <c r="A17" s="5" t="s">
        <v>119</v>
      </c>
      <c r="B17" s="5">
        <f>SUM(B12:B16)</f>
        <v>56</v>
      </c>
      <c r="C17" s="5">
        <f>SUM(C12:C16)</f>
        <v>25</v>
      </c>
      <c r="D17" s="5">
        <f>SUM(D12:D16)</f>
        <v>22</v>
      </c>
      <c r="E17" s="5">
        <f>SUM(E12:E16)</f>
        <v>20</v>
      </c>
      <c r="F17" s="5">
        <f>SUM(F12:F16)</f>
        <v>0</v>
      </c>
      <c r="G17" s="5" t="str">
        <f>IF(AND(D17&gt;=$B$7,MIN(D12:D16)&gt;=$B$6),"Listo para la Parte B","Aún no")</f>
        <v>Listo para la Parte B</v>
      </c>
    </row>
    <row r="19" spans="1:7" ht="15" customHeight="1" x14ac:dyDescent="0.25">
      <c r="A19" s="18" t="s">
        <v>120</v>
      </c>
      <c r="B19" s="19"/>
      <c r="C19" s="19"/>
      <c r="D19" s="19"/>
      <c r="E19" s="19"/>
      <c r="F19" s="19"/>
      <c r="G19" s="19"/>
    </row>
    <row r="20" spans="1:7" ht="30" customHeight="1" x14ac:dyDescent="0.2">
      <c r="A20" s="4" t="s">
        <v>3</v>
      </c>
      <c r="B20" s="4" t="str">
        <f>Listas!$A$2</f>
        <v>18–29</v>
      </c>
      <c r="C20" s="4" t="str">
        <f>Listas!$A$3</f>
        <v>30–44</v>
      </c>
      <c r="D20" s="4" t="str">
        <f>Listas!$A$4</f>
        <v>45–59</v>
      </c>
      <c r="E20" s="4" t="str">
        <f>Listas!$A$5</f>
        <v>60 a más</v>
      </c>
      <c r="F20" s="4" t="s">
        <v>121</v>
      </c>
      <c r="G20" s="4" t="s">
        <v>122</v>
      </c>
    </row>
    <row r="21" spans="1:7" ht="15" customHeight="1" x14ac:dyDescent="0.2">
      <c r="A21" s="5" t="s">
        <v>89</v>
      </c>
      <c r="B21" s="7">
        <f>COUNTIFS(Participantes!$B$4:$B$28,$A21,Participantes!$E$4:$E$28,B$20)</f>
        <v>1</v>
      </c>
      <c r="C21" s="7">
        <f>COUNTIFS(Participantes!$B$4:$B$28,$A21,Participantes!$E$4:$E$28,C$20)</f>
        <v>2</v>
      </c>
      <c r="D21" s="7">
        <f>COUNTIFS(Participantes!$B$4:$B$28,$A21,Participantes!$E$4:$E$28,D$20)</f>
        <v>1</v>
      </c>
      <c r="E21" s="7">
        <f>COUNTIFS(Participantes!$B$4:$B$28,$A21,Participantes!$E$4:$E$28,E$20)</f>
        <v>1</v>
      </c>
      <c r="F21" s="6">
        <f>SUMPRODUCT(--(B21:E21&gt;0))</f>
        <v>4</v>
      </c>
      <c r="G21" s="6" t="str">
        <f>IF(SUM(B21:E21)=0,"",IF(F21&gt;=$B$8,"Buena",IF(F21&gt;=$B$8-1,"Media","Baja")))</f>
        <v>Buena</v>
      </c>
    </row>
    <row r="22" spans="1:7" ht="15" customHeight="1" x14ac:dyDescent="0.2">
      <c r="A22" s="5" t="s">
        <v>115</v>
      </c>
      <c r="B22" s="7">
        <f>COUNTIFS(Participantes!$B$4:$B$28,$A22,Participantes!$E$4:$E$28,B$20)</f>
        <v>2</v>
      </c>
      <c r="C22" s="7">
        <f>COUNTIFS(Participantes!$B$4:$B$28,$A22,Participantes!$E$4:$E$28,C$20)</f>
        <v>1</v>
      </c>
      <c r="D22" s="7">
        <f>COUNTIFS(Participantes!$B$4:$B$28,$A22,Participantes!$E$4:$E$28,D$20)</f>
        <v>1</v>
      </c>
      <c r="E22" s="7">
        <f>COUNTIFS(Participantes!$B$4:$B$28,$A22,Participantes!$E$4:$E$28,E$20)</f>
        <v>0</v>
      </c>
      <c r="F22" s="6">
        <f>SUMPRODUCT(--(B22:E22&gt;0))</f>
        <v>3</v>
      </c>
      <c r="G22" s="6" t="str">
        <f>IF(SUM(B22:E22)=0,"",IF(F22&gt;=$B$8,"Buena",IF(F22&gt;=$B$8-1,"Media","Baja")))</f>
        <v>Buena</v>
      </c>
    </row>
    <row r="23" spans="1:7" ht="15" customHeight="1" x14ac:dyDescent="0.2">
      <c r="A23" s="5" t="s">
        <v>116</v>
      </c>
      <c r="B23" s="7">
        <f>COUNTIFS(Participantes!$B$4:$B$28,$A23,Participantes!$E$4:$E$28,B$20)</f>
        <v>1</v>
      </c>
      <c r="C23" s="7">
        <f>COUNTIFS(Participantes!$B$4:$B$28,$A23,Participantes!$E$4:$E$28,C$20)</f>
        <v>2</v>
      </c>
      <c r="D23" s="7">
        <f>COUNTIFS(Participantes!$B$4:$B$28,$A23,Participantes!$E$4:$E$28,D$20)</f>
        <v>1</v>
      </c>
      <c r="E23" s="7">
        <f>COUNTIFS(Participantes!$B$4:$B$28,$A23,Participantes!$E$4:$E$28,E$20)</f>
        <v>1</v>
      </c>
      <c r="F23" s="6">
        <f>SUMPRODUCT(--(B23:E23&gt;0))</f>
        <v>4</v>
      </c>
      <c r="G23" s="6" t="str">
        <f>IF(SUM(B23:E23)=0,"",IF(F23&gt;=$B$8,"Buena",IF(F23&gt;=$B$8-1,"Media","Baja")))</f>
        <v>Buena</v>
      </c>
    </row>
    <row r="24" spans="1:7" ht="15" customHeight="1" x14ac:dyDescent="0.2">
      <c r="A24" s="5" t="s">
        <v>117</v>
      </c>
      <c r="B24" s="7">
        <f>COUNTIFS(Participantes!$B$4:$B$28,$A24,Participantes!$E$4:$E$28,B$20)</f>
        <v>1</v>
      </c>
      <c r="C24" s="7">
        <f>COUNTIFS(Participantes!$B$4:$B$28,$A24,Participantes!$E$4:$E$28,C$20)</f>
        <v>1</v>
      </c>
      <c r="D24" s="7">
        <f>COUNTIFS(Participantes!$B$4:$B$28,$A24,Participantes!$E$4:$E$28,D$20)</f>
        <v>2</v>
      </c>
      <c r="E24" s="7">
        <f>COUNTIFS(Participantes!$B$4:$B$28,$A24,Participantes!$E$4:$E$28,E$20)</f>
        <v>1</v>
      </c>
      <c r="F24" s="6">
        <f>SUMPRODUCT(--(B24:E24&gt;0))</f>
        <v>4</v>
      </c>
      <c r="G24" s="6" t="str">
        <f>IF(SUM(B24:E24)=0,"",IF(F24&gt;=$B$8,"Buena",IF(F24&gt;=$B$8-1,"Media","Baja")))</f>
        <v>Buena</v>
      </c>
    </row>
    <row r="25" spans="1:7" ht="15" customHeight="1" x14ac:dyDescent="0.2">
      <c r="A25" s="5" t="s">
        <v>118</v>
      </c>
      <c r="B25" s="7">
        <f>COUNTIFS(Participantes!$B$4:$B$28,$A25,Participantes!$E$4:$E$28,B$20)</f>
        <v>1</v>
      </c>
      <c r="C25" s="7">
        <f>COUNTIFS(Participantes!$B$4:$B$28,$A25,Participantes!$E$4:$E$28,C$20)</f>
        <v>2</v>
      </c>
      <c r="D25" s="7">
        <f>COUNTIFS(Participantes!$B$4:$B$28,$A25,Participantes!$E$4:$E$28,D$20)</f>
        <v>1</v>
      </c>
      <c r="E25" s="7">
        <f>COUNTIFS(Participantes!$B$4:$B$28,$A25,Participantes!$E$4:$E$28,E$20)</f>
        <v>1</v>
      </c>
      <c r="F25" s="6">
        <f>SUMPRODUCT(--(B25:E25&gt;0))</f>
        <v>4</v>
      </c>
      <c r="G25" s="6" t="str">
        <f>IF(SUM(B25:E25)=0,"",IF(F25&gt;=$B$8,"Buena",IF(F25&gt;=$B$8-1,"Media","Baja")))</f>
        <v>Buena</v>
      </c>
    </row>
    <row r="26" spans="1:7" ht="15" customHeight="1" x14ac:dyDescent="0.2">
      <c r="A26" s="3" t="s">
        <v>123</v>
      </c>
    </row>
  </sheetData>
  <conditionalFormatting sqref="G12:G17">
    <cfRule type="cellIs" dxfId="7" priority="2" operator="equal">
      <formula>"Meta cumplida"</formula>
    </cfRule>
    <cfRule type="cellIs" dxfId="6" priority="3" operator="equal">
      <formula>"Listo para la Parte B"</formula>
    </cfRule>
    <cfRule type="cellIs" dxfId="5" priority="4" operator="equal">
      <formula>"Mínimo alcanzado"</formula>
    </cfRule>
    <cfRule type="cellIs" dxfId="4" priority="5" operator="equal">
      <formula>"Aún no"</formula>
    </cfRule>
    <cfRule type="cellIs" dxfId="3" priority="6" operator="equal">
      <formula>"Insuficiente"</formula>
    </cfRule>
  </conditionalFormatting>
  <conditionalFormatting sqref="G21:G25">
    <cfRule type="cellIs" dxfId="2" priority="7" operator="equal">
      <formula>"Buena"</formula>
    </cfRule>
    <cfRule type="cellIs" dxfId="1" priority="8" operator="equal">
      <formula>"Media"</formula>
    </cfRule>
    <cfRule type="cellIs" dxfId="0" priority="9" operator="equal">
      <formula>"Baja"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zoomScaleNormal="100" workbookViewId="0"/>
  </sheetViews>
  <sheetFormatPr baseColWidth="10" defaultColWidth="8.7109375" defaultRowHeight="12.75" x14ac:dyDescent="0.2"/>
  <cols>
    <col min="1" max="1" width="28" style="1" customWidth="1"/>
    <col min="2" max="4" width="13" style="1" customWidth="1"/>
    <col min="5" max="5" width="18" style="1" customWidth="1"/>
  </cols>
  <sheetData>
    <row r="1" spans="1:5" ht="30" customHeight="1" x14ac:dyDescent="0.2">
      <c r="A1" s="4" t="s">
        <v>3</v>
      </c>
      <c r="B1" s="4" t="s">
        <v>109</v>
      </c>
      <c r="C1" s="4" t="s">
        <v>124</v>
      </c>
      <c r="D1" s="4" t="s">
        <v>125</v>
      </c>
      <c r="E1" s="4" t="s">
        <v>4</v>
      </c>
    </row>
    <row r="2" spans="1:5" ht="15" customHeight="1" x14ac:dyDescent="0.2">
      <c r="A2" s="5" t="s">
        <v>89</v>
      </c>
      <c r="B2" s="20">
        <v>12</v>
      </c>
      <c r="C2" s="20">
        <v>2</v>
      </c>
      <c r="D2" s="20">
        <v>3</v>
      </c>
      <c r="E2" s="6" t="str">
        <f>C2&amp;"–"&amp;D2</f>
        <v>2–3</v>
      </c>
    </row>
    <row r="3" spans="1:5" ht="15" customHeight="1" x14ac:dyDescent="0.2">
      <c r="A3" s="5" t="s">
        <v>115</v>
      </c>
      <c r="B3" s="20">
        <v>11</v>
      </c>
      <c r="C3" s="20">
        <v>4</v>
      </c>
      <c r="D3" s="20">
        <v>5</v>
      </c>
      <c r="E3" s="6" t="str">
        <f>C3&amp;"–"&amp;D3</f>
        <v>4–5</v>
      </c>
    </row>
    <row r="4" spans="1:5" ht="15" customHeight="1" x14ac:dyDescent="0.2">
      <c r="A4" s="5" t="s">
        <v>116</v>
      </c>
      <c r="B4" s="20">
        <v>11</v>
      </c>
      <c r="C4" s="20">
        <v>6</v>
      </c>
      <c r="D4" s="20">
        <v>7</v>
      </c>
      <c r="E4" s="6" t="str">
        <f>C4&amp;"–"&amp;D4</f>
        <v>6–7</v>
      </c>
    </row>
    <row r="5" spans="1:5" ht="15" customHeight="1" x14ac:dyDescent="0.2">
      <c r="A5" s="5" t="s">
        <v>117</v>
      </c>
      <c r="B5" s="20">
        <v>11</v>
      </c>
      <c r="C5" s="20">
        <v>8</v>
      </c>
      <c r="D5" s="20">
        <v>9</v>
      </c>
      <c r="E5" s="6" t="str">
        <f>C5&amp;"–"&amp;D5</f>
        <v>8–9</v>
      </c>
    </row>
    <row r="6" spans="1:5" ht="15" customHeight="1" x14ac:dyDescent="0.2">
      <c r="A6" s="5" t="s">
        <v>118</v>
      </c>
      <c r="B6" s="20">
        <v>11</v>
      </c>
      <c r="C6" s="20">
        <v>10</v>
      </c>
      <c r="D6" s="20">
        <v>11</v>
      </c>
      <c r="E6" s="6" t="str">
        <f>C6&amp;"–"&amp;D6</f>
        <v>10–11</v>
      </c>
    </row>
    <row r="7" spans="1:5" ht="15" customHeight="1" x14ac:dyDescent="0.2">
      <c r="A7" s="5" t="s">
        <v>119</v>
      </c>
      <c r="B7" s="5">
        <f>SUM(B2:B6)</f>
        <v>56</v>
      </c>
    </row>
    <row r="9" spans="1:5" ht="15" customHeight="1" x14ac:dyDescent="0.2">
      <c r="A9" s="16" t="s">
        <v>126</v>
      </c>
      <c r="B9" s="20">
        <v>56</v>
      </c>
    </row>
    <row r="10" spans="1:5" ht="15" customHeight="1" x14ac:dyDescent="0.2">
      <c r="A10" s="16" t="s">
        <v>127</v>
      </c>
      <c r="B10" s="5" t="str">
        <f>IF(B7=B9,"OK","Revisar")</f>
        <v>OK</v>
      </c>
    </row>
    <row r="12" spans="1:5" ht="15" customHeight="1" x14ac:dyDescent="0.2">
      <c r="A12" s="3" t="s">
        <v>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zoomScaleNormal="100" workbookViewId="0"/>
  </sheetViews>
  <sheetFormatPr baseColWidth="10" defaultColWidth="8.7109375" defaultRowHeight="12.75" x14ac:dyDescent="0.2"/>
  <cols>
    <col min="1" max="3" width="18" style="1" customWidth="1"/>
    <col min="5" max="5" width="14" style="1" customWidth="1"/>
    <col min="6" max="6" width="56" style="1" customWidth="1"/>
  </cols>
  <sheetData>
    <row r="1" spans="1:6" ht="15" customHeight="1" x14ac:dyDescent="0.2">
      <c r="A1" s="21" t="s">
        <v>6</v>
      </c>
      <c r="B1" s="21" t="s">
        <v>129</v>
      </c>
      <c r="C1" s="21" t="s">
        <v>10</v>
      </c>
      <c r="E1" s="22" t="s">
        <v>130</v>
      </c>
    </row>
    <row r="2" spans="1:6" ht="15" customHeight="1" x14ac:dyDescent="0.2">
      <c r="A2" s="23" t="s">
        <v>23</v>
      </c>
      <c r="B2" s="23" t="s">
        <v>19</v>
      </c>
      <c r="C2" s="23" t="s">
        <v>75</v>
      </c>
      <c r="E2" s="22" t="s">
        <v>75</v>
      </c>
      <c r="F2" s="1" t="s">
        <v>131</v>
      </c>
    </row>
    <row r="3" spans="1:6" ht="15" customHeight="1" x14ac:dyDescent="0.2">
      <c r="A3" s="23" t="s">
        <v>17</v>
      </c>
      <c r="B3" s="23" t="s">
        <v>25</v>
      </c>
      <c r="C3" s="23" t="s">
        <v>86</v>
      </c>
      <c r="E3" s="22" t="s">
        <v>86</v>
      </c>
      <c r="F3" s="1" t="s">
        <v>132</v>
      </c>
    </row>
    <row r="4" spans="1:6" ht="15" customHeight="1" x14ac:dyDescent="0.2">
      <c r="A4" s="23" t="s">
        <v>27</v>
      </c>
      <c r="C4" s="23" t="s">
        <v>82</v>
      </c>
      <c r="E4" s="22" t="s">
        <v>82</v>
      </c>
      <c r="F4" s="1" t="s">
        <v>133</v>
      </c>
    </row>
    <row r="5" spans="1:6" ht="15" customHeight="1" x14ac:dyDescent="0.2">
      <c r="A5" s="23" t="s">
        <v>33</v>
      </c>
      <c r="C5" s="23" t="s">
        <v>20</v>
      </c>
      <c r="E5" s="22" t="s">
        <v>20</v>
      </c>
      <c r="F5" s="1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5"/>
  <sheetViews>
    <sheetView tabSelected="1" zoomScaleNormal="100" workbookViewId="0"/>
  </sheetViews>
  <sheetFormatPr baseColWidth="10" defaultColWidth="8.7109375" defaultRowHeight="12.75" x14ac:dyDescent="0.2"/>
  <cols>
    <col min="1" max="1" width="120" style="1" customWidth="1"/>
  </cols>
  <sheetData>
    <row r="1" spans="1:1" ht="17.25" customHeight="1" x14ac:dyDescent="0.2">
      <c r="A1" s="24" t="s">
        <v>135</v>
      </c>
    </row>
    <row r="2" spans="1:1" ht="15" customHeight="1" x14ac:dyDescent="0.2">
      <c r="A2" s="25"/>
    </row>
    <row r="3" spans="1:1" ht="15" customHeight="1" x14ac:dyDescent="0.2">
      <c r="A3" s="26" t="s">
        <v>136</v>
      </c>
    </row>
    <row r="4" spans="1:1" ht="23.25" customHeight="1" x14ac:dyDescent="0.2">
      <c r="A4" s="25" t="s">
        <v>137</v>
      </c>
    </row>
    <row r="5" spans="1:1" ht="23.25" customHeight="1" x14ac:dyDescent="0.2">
      <c r="A5" s="25" t="s">
        <v>138</v>
      </c>
    </row>
    <row r="6" spans="1:1" ht="15" customHeight="1" x14ac:dyDescent="0.2">
      <c r="A6" s="25" t="s">
        <v>139</v>
      </c>
    </row>
    <row r="7" spans="1:1" ht="15" customHeight="1" x14ac:dyDescent="0.2">
      <c r="A7" s="25" t="s">
        <v>140</v>
      </c>
    </row>
    <row r="8" spans="1:1" ht="15" customHeight="1" x14ac:dyDescent="0.2">
      <c r="A8" s="25"/>
    </row>
    <row r="9" spans="1:1" ht="15" customHeight="1" x14ac:dyDescent="0.2">
      <c r="A9" s="26" t="s">
        <v>141</v>
      </c>
    </row>
    <row r="10" spans="1:1" ht="23.25" customHeight="1" x14ac:dyDescent="0.2">
      <c r="A10" s="25" t="s">
        <v>142</v>
      </c>
    </row>
    <row r="11" spans="1:1" ht="15" customHeight="1" x14ac:dyDescent="0.2">
      <c r="A11" s="25" t="s">
        <v>143</v>
      </c>
    </row>
    <row r="12" spans="1:1" ht="15" customHeight="1" x14ac:dyDescent="0.2">
      <c r="A12" s="25" t="s">
        <v>144</v>
      </c>
    </row>
    <row r="13" spans="1:1" ht="15" customHeight="1" x14ac:dyDescent="0.2">
      <c r="A13" s="25" t="s">
        <v>145</v>
      </c>
    </row>
    <row r="14" spans="1:1" ht="15" customHeight="1" x14ac:dyDescent="0.2">
      <c r="A14" s="25"/>
    </row>
    <row r="15" spans="1:1" ht="15" customHeight="1" x14ac:dyDescent="0.2">
      <c r="A15" s="26" t="s">
        <v>146</v>
      </c>
    </row>
    <row r="16" spans="1:1" ht="15" customHeight="1" x14ac:dyDescent="0.2">
      <c r="A16" s="25" t="s">
        <v>147</v>
      </c>
    </row>
    <row r="17" spans="1:1" ht="23.25" customHeight="1" x14ac:dyDescent="0.2">
      <c r="A17" s="25" t="s">
        <v>148</v>
      </c>
    </row>
    <row r="18" spans="1:1" ht="15" customHeight="1" x14ac:dyDescent="0.2">
      <c r="A18" s="25" t="s">
        <v>149</v>
      </c>
    </row>
    <row r="19" spans="1:1" ht="23.25" customHeight="1" x14ac:dyDescent="0.2">
      <c r="A19" s="25" t="s">
        <v>150</v>
      </c>
    </row>
    <row r="20" spans="1:1" ht="23.25" customHeight="1" x14ac:dyDescent="0.2">
      <c r="A20" s="25" t="s">
        <v>151</v>
      </c>
    </row>
    <row r="21" spans="1:1" ht="23.25" customHeight="1" x14ac:dyDescent="0.2">
      <c r="A21" s="25" t="s">
        <v>152</v>
      </c>
    </row>
    <row r="23" spans="1:1" ht="15" customHeight="1" x14ac:dyDescent="0.2">
      <c r="A23" s="22" t="s">
        <v>153</v>
      </c>
    </row>
    <row r="24" spans="1:1" ht="23.25" customHeight="1" x14ac:dyDescent="0.2">
      <c r="A24" s="25" t="s">
        <v>154</v>
      </c>
    </row>
    <row r="25" spans="1:1" ht="23.25" customHeight="1" x14ac:dyDescent="0.2">
      <c r="A25" s="25" t="s">
        <v>155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Participantes</vt:lpstr>
      <vt:lpstr>Resumen</vt:lpstr>
      <vt:lpstr>Formularios</vt:lpstr>
      <vt:lpstr>Listas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escalante</cp:lastModifiedBy>
  <cp:revision>0</cp:revision>
  <dcterms:created xsi:type="dcterms:W3CDTF">2026-10-03T15:41:32Z</dcterms:created>
  <dcterms:modified xsi:type="dcterms:W3CDTF">2026-10-03T15:58:51Z</dcterms:modified>
  <dc:language>en-US</dc:language>
</cp:coreProperties>
</file>