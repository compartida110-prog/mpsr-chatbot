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icipantes" sheetId="1" state="visible" r:id="rId3"/>
    <sheet name="Blancos" sheetId="2" state="visible" r:id="rId4"/>
    <sheet name="Resumen" sheetId="3" state="visible" r:id="rId5"/>
    <sheet name="Cobertura" sheetId="4" state="visible" r:id="rId6"/>
    <sheet name="Situaciones" sheetId="5" state="visible" r:id="rId7"/>
    <sheet name="Formularios" sheetId="6" state="visible" r:id="rId8"/>
    <sheet name="Listas" sheetId="7" state="visible" r:id="rId9"/>
    <sheet name="Notas" sheetId="8" state="visible" r:id="rId10"/>
  </sheets>
  <definedNames>
    <definedName function="false" hidden="false" localSheetId="1" name="_xlnm.Print_Area" vbProcedure="false">Blancos!$A$1:$G$83</definedName>
    <definedName function="false" hidden="false" localSheetId="3" name="_xlnm.Print_Area" vbProcedure="false">Cobertura!$A$1:$G$58</definedName>
    <definedName function="false" hidden="false" localSheetId="0" name="_xlnm.Print_Area" vbProcedure="false">Participantes!$A$1:$N$31</definedName>
    <definedName function="false" hidden="false" localSheetId="2" name="_xlnm.Print_Area" vbProcedure="false">Resumen!$A$1:$G$34</definedName>
    <definedName function="false" hidden="false" localSheetId="4" name="_xlnm.Print_Area" vbProcedure="false">Situaciones!$A$1:$G$59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<sst xmlns="http://schemas.openxmlformats.org/spreadsheetml/2006/main" count="544" uniqueCount="325">
  <si>
    <t xml:space="preserve">Seguimiento del Lote 1 — participantes y formularios</t>
  </si>
  <si>
    <t xml:space="preserve">Edita solo las celdas amarillas (columnas E a J y N). Las columnas B, C, D, K, L y M son fórmulas. Las situaciones que alguien deja en blanco se registran en la hoja Blancos. Código sin relación con el nombre de la persona.</t>
  </si>
  <si>
    <t xml:space="preserve">Código</t>
  </si>
  <si>
    <t xml:space="preserve">Formulario</t>
  </si>
  <si>
    <t xml:space="preserve">Páginas a imprimir</t>
  </si>
  <si>
    <t xml:space="preserve">Tipo</t>
  </si>
  <si>
    <t xml:space="preserve">Rango de edad</t>
  </si>
  <si>
    <t xml:space="preserve">Ocupación</t>
  </si>
  <si>
    <t xml:space="preserve">¿Vive en Juliaca?</t>
  </si>
  <si>
    <t xml:space="preserve">¿Trámite en el último año?</t>
  </si>
  <si>
    <t xml:space="preserve">Estado</t>
  </si>
  <si>
    <t xml:space="preserve">Fecha de aplicación</t>
  </si>
  <si>
    <t xml:space="preserve">Situaciones respondidas</t>
  </si>
  <si>
    <t xml:space="preserve">Situaciones del formulario</t>
  </si>
  <si>
    <t xml:space="preserve">% respondido</t>
  </si>
  <si>
    <t xml:space="preserve">Observaciones</t>
  </si>
  <si>
    <t xml:space="preserve">P01</t>
  </si>
  <si>
    <t xml:space="preserve">Pendiente</t>
  </si>
  <si>
    <t xml:space="preserve">P02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</si>
  <si>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</si>
  <si>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</si>
  <si>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</si>
  <si>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</si>
  <si>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</si>
  <si>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</si>
  <si>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</si>
  <si>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</si>
  <si>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</si>
  <si>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</si>
  <si>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</si>
  <si>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</si>
  <si>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</si>
  <si>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</si>
  <si>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</si>
  <si>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</si>
  <si>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</si>
  <si>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</si>
  <si>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P21</t>
  </si>
  <si>
    <t xml:space="preserve">P22</t>
  </si>
  <si>
    <t xml:space="preserve">P23</t>
  </si>
  <si>
    <t xml:space="preserve">P24</t>
  </si>
  <si>
    <t xml:space="preserve">P25</t>
  </si>
  <si>
    <t xml:space="preserve">Ejemplo de fila completada (solo muestra el formato; no cuenta en los conteos):</t>
  </si>
  <si>
    <t xml:space="preserve">A</t>
  </si>
  <si>
    <t xml:space="preserve">2–3</t>
  </si>
  <si>
    <t xml:space="preserve">Base</t>
  </si>
  <si>
    <t xml:space="preserve">30–44</t>
  </si>
  <si>
    <t xml:space="preserve">Comerciante</t>
  </si>
  <si>
    <t xml:space="preserve">Sí</t>
  </si>
  <si>
    <t xml:space="preserve">Transcrito</t>
  </si>
  <si>
    <t xml:space="preserve">Dejó sin responder la situación S16 (se registra en Blancos)</t>
  </si>
  <si>
    <t xml:space="preserve">Situaciones dejadas en blanco</t>
  </si>
  <si>
    <t xml:space="preserve">Una fila por cada situación que una persona dejó sin responder (código en A, situación en B; ej.: P16 y S16). Solo cuentan las filas con Verificación = OK de personas con estado Transcrito (una situación repetida o de otro formulario se marca para corregir). Celdas amarillas = editar; C a F son fórmulas.</t>
  </si>
  <si>
    <t xml:space="preserve">Situación</t>
  </si>
  <si>
    <t xml:space="preserve">Formulario del participante</t>
  </si>
  <si>
    <t xml:space="preserve">Formulario de la situación</t>
  </si>
  <si>
    <t xml:space="preserve">Estado del participante</t>
  </si>
  <si>
    <t xml:space="preserve">Verificación</t>
  </si>
  <si>
    <t xml:space="preserve">Nota</t>
  </si>
  <si>
    <t xml:space="preserve">Resumen de cobertura del Lote 1</t>
  </si>
  <si>
    <t xml:space="preserve">Celdas amarillas = parámetros editables. El resto son fórmulas que leen las hojas Participantes, Blancos y Cobertura.</t>
  </si>
  <si>
    <t xml:space="preserve">Parámetro</t>
  </si>
  <si>
    <t xml:space="preserve">Valor</t>
  </si>
  <si>
    <t xml:space="preserve">Fuente / criterio</t>
  </si>
  <si>
    <t xml:space="preserve">Participantes base (rotación A–E)</t>
  </si>
  <si>
    <t xml:space="preserve">Guía de aplicación del Lote 1 (Lote1_Formularios_lenguaje_real_v2): 20 personas, mínimo 15, ideal 25 a 30. P21–P25 quedan como reserva.</t>
  </si>
  <si>
    <t xml:space="preserve">Meta de frases reales por intención</t>
  </si>
  <si>
    <t xml:space="preserve">20 personas ÷ 5 formularios = 4 respuestas por situación (4 frases reales por intención). Guía de aplicación.</t>
  </si>
  <si>
    <t xml:space="preserve">Mínimo de frases reales por intención</t>
  </si>
  <si>
    <t xml:space="preserve">La Parte B se detiene si alguna intención queda con menos de 3 frases reales (Instrucciones_ClaudeCode_lote_real_v2.md, paso B1). Se usa también como mínimo de personas por formulario.</t>
  </si>
  <si>
    <t xml:space="preserve">Mínimo de participantes transcritos para iniciar la Parte B</t>
  </si>
  <si>
    <t xml:space="preserve">Mínimo indicado en la guía de aplicación del Lote 1.</t>
  </si>
  <si>
    <t xml:space="preserve">Rangos de edad distintos para variedad “Buena”</t>
  </si>
  <si>
    <t xml:space="preserve">Criterio de esta hoja para reducir el sesgo de una muestra de conveniencia; no es una norma.</t>
  </si>
  <si>
    <t xml:space="preserve">Cobertura por formulario (personas)</t>
  </si>
  <si>
    <t xml:space="preserve">Situaciones</t>
  </si>
  <si>
    <t xml:space="preserve">Asignados (incl. reserva)</t>
  </si>
  <si>
    <t xml:space="preserve">Transcritos</t>
  </si>
  <si>
    <t xml:space="preserve">Meta de personas</t>
  </si>
  <si>
    <t xml:space="preserve">Faltan para la meta</t>
  </si>
  <si>
    <t xml:space="preserve">Personas (estado)</t>
  </si>
  <si>
    <t xml:space="preserve">B</t>
  </si>
  <si>
    <t xml:space="preserve">C</t>
  </si>
  <si>
    <t xml:space="preserve">D</t>
  </si>
  <si>
    <t xml:space="preserve">E</t>
  </si>
  <si>
    <t xml:space="preserve">Total</t>
  </si>
  <si>
    <t xml:space="preserve">Cobertura por intención (frases reales)</t>
  </si>
  <si>
    <t xml:space="preserve">Indicador</t>
  </si>
  <si>
    <t xml:space="preserve">Detalle</t>
  </si>
  <si>
    <t xml:space="preserve">Intenciones con la meta cumplida</t>
  </si>
  <si>
    <t xml:space="preserve">Intenciones en el mínimo (por debajo de la meta)</t>
  </si>
  <si>
    <t xml:space="preserve">Revisar la hoja Cobertura (columna Estado) y, si hay reserva, activarla.</t>
  </si>
  <si>
    <t xml:space="preserve">Intenciones por debajo del mínimo</t>
  </si>
  <si>
    <t xml:space="preserve">La Parte B se detiene si este valor es mayor que 0.</t>
  </si>
  <si>
    <t xml:space="preserve">Frases reales en la intención con menos respuestas</t>
  </si>
  <si>
    <t xml:space="preserve">Respuestas = transcritos del formulario − blancos registrados (suma de todas las situaciones de la intención).</t>
  </si>
  <si>
    <t xml:space="preserve">Estado general</t>
  </si>
  <si>
    <t xml:space="preserve">Requiere: participantes transcritos ≥ mínimo y cada intención con al menos el mínimo de frases reales.</t>
  </si>
  <si>
    <t xml:space="preserve">Mezcla de edades por formulario</t>
  </si>
  <si>
    <t xml:space="preserve">Rangos distintos</t>
  </si>
  <si>
    <t xml:space="preserve">Variedad</t>
  </si>
  <si>
    <t xml:space="preserve">Cuenta solo a los participantes con rango de edad registrado en la hoja Participantes.</t>
  </si>
  <si>
    <t xml:space="preserve">Cobertura por intención</t>
  </si>
  <si>
    <t xml:space="preserve">Frases reales por intención = suma, sobre sus situaciones, de (personas transcritas del formulario − blancos registrados). Todo son fórmulas; los parámetros están en Resumen.</t>
  </si>
  <si>
    <t xml:space="preserve">Intención</t>
  </si>
  <si>
    <t xml:space="preserve">Categoría</t>
  </si>
  <si>
    <t xml:space="preserve">Respuestas</t>
  </si>
  <si>
    <t xml:space="preserve">Meta</t>
  </si>
  <si>
    <t xml:space="preserve">licencia_funcionamiento_requisitos</t>
  </si>
  <si>
    <t xml:space="preserve">Licencias y autorizaciones</t>
  </si>
  <si>
    <t xml:space="preserve">licencia_funcionamiento_costo</t>
  </si>
  <si>
    <t xml:space="preserve">licencia_funcionamiento_plazo</t>
  </si>
  <si>
    <t xml:space="preserve">licencia_edificacion_requisitos</t>
  </si>
  <si>
    <t xml:space="preserve">licencia_edificacion_costo</t>
  </si>
  <si>
    <t xml:space="preserve">renovacion_licencia</t>
  </si>
  <si>
    <t xml:space="preserve">consulta_deuda_predial</t>
  </si>
  <si>
    <t xml:space="preserve">Tributos y pagos municipales</t>
  </si>
  <si>
    <t xml:space="preserve">pago_predial_como</t>
  </si>
  <si>
    <t xml:space="preserve">pago_arbitrios</t>
  </si>
  <si>
    <t xml:space="preserve">impuesto_alcabala</t>
  </si>
  <si>
    <t xml:space="preserve">fraccionamiento_deuda</t>
  </si>
  <si>
    <t xml:space="preserve">constancia_no_adeudo</t>
  </si>
  <si>
    <t xml:space="preserve">requisitos_mesa_partes</t>
  </si>
  <si>
    <t xml:space="preserve">Trámites documentarios</t>
  </si>
  <si>
    <t xml:space="preserve">estado_tramite</t>
  </si>
  <si>
    <t xml:space="preserve">horario_mesa_partes</t>
  </si>
  <si>
    <t xml:space="preserve">copia_documento</t>
  </si>
  <si>
    <t xml:space="preserve">certificado_posesion</t>
  </si>
  <si>
    <t xml:space="preserve">constancia_domiciliaria</t>
  </si>
  <si>
    <t xml:space="preserve">certificado_defensa_civil</t>
  </si>
  <si>
    <t xml:space="preserve">Defensa civil y seguridad ciudadana</t>
  </si>
  <si>
    <t xml:space="preserve">inspeccion_tecnica</t>
  </si>
  <si>
    <t xml:space="preserve">requisitos_defensa_civil</t>
  </si>
  <si>
    <t xml:space="preserve">denuncia_seguridad_ciudadana</t>
  </si>
  <si>
    <t xml:space="preserve">serenazgo_contacto</t>
  </si>
  <si>
    <t xml:space="preserve">partida_nacimiento</t>
  </si>
  <si>
    <t xml:space="preserve">Registro civil</t>
  </si>
  <si>
    <t xml:space="preserve">partida_matrimonio</t>
  </si>
  <si>
    <t xml:space="preserve">partida_defuncion</t>
  </si>
  <si>
    <t xml:space="preserve">rectificacion_partida</t>
  </si>
  <si>
    <t xml:space="preserve">requisitos_matrimonio_civil</t>
  </si>
  <si>
    <t xml:space="preserve">horario_recojo_basura</t>
  </si>
  <si>
    <t xml:space="preserve">Servicios públicos</t>
  </si>
  <si>
    <t xml:space="preserve">reporte_alumbrado_publico</t>
  </si>
  <si>
    <t xml:space="preserve">mantenimiento_parques</t>
  </si>
  <si>
    <t xml:space="preserve">poda_arboles</t>
  </si>
  <si>
    <t xml:space="preserve">limpieza_via_publica</t>
  </si>
  <si>
    <t xml:space="preserve">presentar_reclamo</t>
  </si>
  <si>
    <t xml:space="preserve">Reclamos y quejas</t>
  </si>
  <si>
    <t xml:space="preserve">estado_reclamo</t>
  </si>
  <si>
    <t xml:space="preserve">libro_reclamaciones</t>
  </si>
  <si>
    <t xml:space="preserve">queja_atencion</t>
  </si>
  <si>
    <t xml:space="preserve">sugerencia</t>
  </si>
  <si>
    <t xml:space="preserve">horario_atencion_general</t>
  </si>
  <si>
    <t xml:space="preserve">Información general</t>
  </si>
  <si>
    <t xml:space="preserve">ubicacion_oficinas</t>
  </si>
  <si>
    <t xml:space="preserve">requisitos_generales</t>
  </si>
  <si>
    <t xml:space="preserve">costos_generales</t>
  </si>
  <si>
    <t xml:space="preserve">contacto_telefonico</t>
  </si>
  <si>
    <t xml:space="preserve">redes_sociales_mpsr</t>
  </si>
  <si>
    <t xml:space="preserve">saludo</t>
  </si>
  <si>
    <t xml:space="preserve">Interacción conversacional</t>
  </si>
  <si>
    <t xml:space="preserve">despedida</t>
  </si>
  <si>
    <t xml:space="preserve">agradecimiento</t>
  </si>
  <si>
    <t xml:space="preserve">afirmar</t>
  </si>
  <si>
    <t xml:space="preserve">negar</t>
  </si>
  <si>
    <t xml:space="preserve">fuera_de_alcance</t>
  </si>
  <si>
    <t xml:space="preserve">hablar_con_persona</t>
  </si>
  <si>
    <t xml:space="preserve">ayuda_chatbot</t>
  </si>
  <si>
    <t xml:space="preserve">consulta_no_entendida</t>
  </si>
  <si>
    <t xml:space="preserve">repetir_informacion</t>
  </si>
  <si>
    <t xml:space="preserve">Las intenciones y categorías provienen del catálogo situaciones_lote1_v1.csv (valores fijos, en azul). fuera_de_alcance tiene 3 situaciones, por eso puede sumar más de 4 frases.</t>
  </si>
  <si>
    <t xml:space="preserve">Respuestas por situación</t>
  </si>
  <si>
    <t xml:space="preserve">Catálogo de las 56 situaciones (fijo) y su cálculo. Respuestas = personas transcritas del formulario − blancos válidos (Verificación = OK) registrados en la hoja Blancos.</t>
  </si>
  <si>
    <t xml:space="preserve">Intención esperada</t>
  </si>
  <si>
    <t xml:space="preserve">Transcritos del formulario</t>
  </si>
  <si>
    <t xml:space="preserve">Blancos de transcritos</t>
  </si>
  <si>
    <t xml:space="preserve">Texto de la situación</t>
  </si>
  <si>
    <t xml:space="preserve">S01</t>
  </si>
  <si>
    <t xml:space="preserve">Vas a abrir una tiendita en tu barrio y no sabes qué papeles te van a pedir en la municipalidad para poder atender legalmente.</t>
  </si>
  <si>
    <t xml:space="preserve">S02</t>
  </si>
  <si>
    <t xml:space="preserve">Ya sabes que necesitas un permiso de la municipalidad para tu negocio y quieres saber cuánto tendrías que pagar por él.</t>
  </si>
  <si>
    <t xml:space="preserve">S03</t>
  </si>
  <si>
    <t xml:space="preserve">Entregaste tus papeles para el permiso de tu negocio y quieres saber cuántos días demoran en dártelo.</t>
  </si>
  <si>
    <t xml:space="preserve">S04</t>
  </si>
  <si>
    <t xml:space="preserve">Quieres construir un segundo piso en tu casa y quieres saber qué documentos tendrías que presentar antes de empezar la obra.</t>
  </si>
  <si>
    <t xml:space="preserve">S05</t>
  </si>
  <si>
    <t xml:space="preserve">Vas a construir en tu terreno y quieres saber cuánto cobra la municipalidad por autorizar la obra.</t>
  </si>
  <si>
    <t xml:space="preserve">S06</t>
  </si>
  <si>
    <t xml:space="preserve">El permiso de funcionamiento de tu negocio ya se venció y quieres saber qué tienes que hacer para dejarlo vigente otra vez.</t>
  </si>
  <si>
    <t xml:space="preserve">S07</t>
  </si>
  <si>
    <t xml:space="preserve">Quieres saber si debes impuestos por tu casa o terreno, y cuánto sería.</t>
  </si>
  <si>
    <t xml:space="preserve">S08</t>
  </si>
  <si>
    <t xml:space="preserve">Ya sabes que debes pagar el impuesto de tu casa y quieres saber dónde o de qué forma puedes hacerlo.</t>
  </si>
  <si>
    <t xml:space="preserve">S09</t>
  </si>
  <si>
    <t xml:space="preserve">Te llegó un cobro por el recojo de basura, la limpieza de calles y el serenazgo, y quieres saber cómo pagarlo.</t>
  </si>
  <si>
    <t xml:space="preserve">S10</t>
  </si>
  <si>
    <t xml:space="preserve">Acabas de comprar un terreno y te dijeron que hay un impuesto por esa compra; quieres saber de qué trata y cómo se paga.</t>
  </si>
  <si>
    <t xml:space="preserve">S11</t>
  </si>
  <si>
    <t xml:space="preserve">Debes varios años de impuestos municipales y no puedes pagar todo de golpe; quieres saber si puedes pagarlo poco a poco.</t>
  </si>
  <si>
    <t xml:space="preserve">S12</t>
  </si>
  <si>
    <t xml:space="preserve">Te piden un papel que demuestre que no tienes deudas con la municipalidad y quieres saber cómo conseguirlo.</t>
  </si>
  <si>
    <t xml:space="preserve">S13</t>
  </si>
  <si>
    <t xml:space="preserve">Quieres entregar una solicitud por escrito en la municipalidad y no sabes qué tienes que llevar.</t>
  </si>
  <si>
    <t xml:space="preserve">S14</t>
  </si>
  <si>
    <t xml:space="preserve">Dejaste unos papeles en la municipalidad hace semanas y quieres saber cómo va tu trámite.</t>
  </si>
  <si>
    <t xml:space="preserve">S15</t>
  </si>
  <si>
    <t xml:space="preserve">Quieres ir a dejar un documento a la municipalidad y necesitas saber a qué hora y qué días puedes hacerlo.</t>
  </si>
  <si>
    <t xml:space="preserve">S16</t>
  </si>
  <si>
    <t xml:space="preserve">Necesitas una copia sellada de un documento que presentaste antes y ya no la tienes.</t>
  </si>
  <si>
    <t xml:space="preserve">S17</t>
  </si>
  <si>
    <t xml:space="preserve">Vives en un terreno que no tiene título y te piden un papel de la municipalidad que diga que tú lo ocupas; quieres saber cómo se consigue.</t>
  </si>
  <si>
    <t xml:space="preserve">S18</t>
  </si>
  <si>
    <t xml:space="preserve">Te piden un documento que pruebe en qué dirección vives y quieres saber cómo sacarlo en la municipalidad.</t>
  </si>
  <si>
    <t xml:space="preserve">S19</t>
  </si>
  <si>
    <t xml:space="preserve">Tu local necesita un certificado de seguridad para poder funcionar y quieres saber cómo se obtiene.</t>
  </si>
  <si>
    <t xml:space="preserve">S20</t>
  </si>
  <si>
    <t xml:space="preserve">Quieres que un inspector vaya a revisar si tu local cumple las medidas de seguridad y quieres saber cómo se pide esa visita.</t>
  </si>
  <si>
    <t xml:space="preserve">S21</t>
  </si>
  <si>
    <t xml:space="preserve">Vas a pedir la revisión de seguridad de tu local y quieres saber qué cosas debes tener listas (equipos, planos, etc.).</t>
  </si>
  <si>
    <t xml:space="preserve">S22</t>
  </si>
  <si>
    <t xml:space="preserve">En tu cuadra hay gente sospechosa y quieres avisar a alguien de la municipalidad para que intervenga.</t>
  </si>
  <si>
    <t xml:space="preserve">S23</t>
  </si>
  <si>
    <t xml:space="preserve">Necesitas comunicarte con el personal que patrulla el distrito y quieres saber cómo contactarlos.</t>
  </si>
  <si>
    <t xml:space="preserve">S24</t>
  </si>
  <si>
    <t xml:space="preserve">Te piden el documento que prueba tu fecha y lugar de nacimiento y no sabes cómo conseguirlo.</t>
  </si>
  <si>
    <t xml:space="preserve">S25</t>
  </si>
  <si>
    <t xml:space="preserve">Te piden un documento que pruebe que estás casado(a) y no encuentras el original.</t>
  </si>
  <si>
    <t xml:space="preserve">S26</t>
  </si>
  <si>
    <t xml:space="preserve">Falleció un familiar y necesitas el documento oficial que lo acredite para hacer trámites; quieres saber cómo se consigue.</t>
  </si>
  <si>
    <t xml:space="preserve">S27</t>
  </si>
  <si>
    <t xml:space="preserve">Tu documento de nacimiento tiene tu apellido mal escrito y quieres saber cómo se corrige.</t>
  </si>
  <si>
    <t xml:space="preserve">S28</t>
  </si>
  <si>
    <t xml:space="preserve">Tu pareja y tú quieren casarse por lo civil en la municipalidad y quieren saber qué papeles necesitan.</t>
  </si>
  <si>
    <t xml:space="preserve">S29</t>
  </si>
  <si>
    <t xml:space="preserve">El camión de la basura no pasó hoy por tu calle y quieres saber a qué hora suele pasar.</t>
  </si>
  <si>
    <t xml:space="preserve">S30</t>
  </si>
  <si>
    <t xml:space="preserve">En tu calle un poste no prende de noche y quieres avisar a la municipalidad.</t>
  </si>
  <si>
    <t xml:space="preserve">S31</t>
  </si>
  <si>
    <t xml:space="preserve">El parque cerca de tu casa está descuidado y con los juegos malogrados; quieres pedir que lo arreglen.</t>
  </si>
  <si>
    <t xml:space="preserve">S32</t>
  </si>
  <si>
    <t xml:space="preserve">Un árbol de la vereda está tapando el paso y quieres que lo corten o lo recorten.</t>
  </si>
  <si>
    <t xml:space="preserve">S33</t>
  </si>
  <si>
    <t xml:space="preserve">Tu cuadra tiene basura acumulada en la pista y quieres que la limpien.</t>
  </si>
  <si>
    <t xml:space="preserve">S34</t>
  </si>
  <si>
    <t xml:space="preserve">No estás conforme con cómo te resolvieron un trámite y quieres hacer un reclamo formal.</t>
  </si>
  <si>
    <t xml:space="preserve">S35</t>
  </si>
  <si>
    <t xml:space="preserve">Hiciste un reclamo hace unos días y quieres saber si ya lo respondieron.</t>
  </si>
  <si>
    <t xml:space="preserve">S36</t>
  </si>
  <si>
    <t xml:space="preserve">Quieres dejar tu queja en el libro oficial de reclamos y no sabes dónde está ni cómo se usa.</t>
  </si>
  <si>
    <t xml:space="preserve">S37</t>
  </si>
  <si>
    <t xml:space="preserve">Un trabajador te atendió de mala manera y quieres reportarlo.</t>
  </si>
  <si>
    <t xml:space="preserve">S38</t>
  </si>
  <si>
    <t xml:space="preserve">Se te ocurrió una idea para mejorar la atención de la municipalidad y quieres comunicarla.</t>
  </si>
  <si>
    <t xml:space="preserve">S39</t>
  </si>
  <si>
    <t xml:space="preserve">Quieres ir a la municipalidad para cualquier gestión y quieres saber desde qué hora hasta qué hora está abierta y si abre los sábados.</t>
  </si>
  <si>
    <t xml:space="preserve">S40</t>
  </si>
  <si>
    <t xml:space="preserve">No conoces el local de la municipalidad y quieres saber dónde queda o cómo llegar.</t>
  </si>
  <si>
    <t xml:space="preserve">S41</t>
  </si>
  <si>
    <t xml:space="preserve">Quieres hacer un trámite y quieres saber si basta con llevar tu DNI o necesitas algo más.</t>
  </si>
  <si>
    <t xml:space="preserve">S42</t>
  </si>
  <si>
    <t xml:space="preserve">Quieres saber cuánto cuestan en general los trámites de la municipalidad y dónde puedes ver la lista de precios.</t>
  </si>
  <si>
    <t xml:space="preserve">S43</t>
  </si>
  <si>
    <t xml:space="preserve">Prefieres llamar en vez de ir y quieres saber a qué número o por qué medio comunicarte con la municipalidad.</t>
  </si>
  <si>
    <t xml:space="preserve">S44</t>
  </si>
  <si>
    <t xml:space="preserve">Quieres enterarte de los avisos oficiales de la municipalidad y quieres saber dónde seguirla por internet.</t>
  </si>
  <si>
    <t xml:space="preserve">S45</t>
  </si>
  <si>
    <t xml:space="preserve">Acabas de abrir el chat del asistente de la municipalidad. ¿Cómo lo saludarías?</t>
  </si>
  <si>
    <t xml:space="preserve">S46</t>
  </si>
  <si>
    <t xml:space="preserve">Ya conseguiste la información que necesitabas y quieres terminar la conversación. ¿Cómo te despedirías?</t>
  </si>
  <si>
    <t xml:space="preserve">S47</t>
  </si>
  <si>
    <t xml:space="preserve">El asistente te dio justo la información que necesitabas. ¿Cómo se lo agradecerías?</t>
  </si>
  <si>
    <t xml:space="preserve">S48</t>
  </si>
  <si>
    <t xml:space="preserve">El asistente te pregunta si entendió bien tu consulta y la respuesta es sí. ¿Cómo responderías?</t>
  </si>
  <si>
    <t xml:space="preserve">S49</t>
  </si>
  <si>
    <t xml:space="preserve">El asistente te ofrece algo que no es lo que estabas buscando. ¿Cómo le dirías que no?</t>
  </si>
  <si>
    <t xml:space="preserve">S50</t>
  </si>
  <si>
    <t xml:space="preserve">Quieres preguntarle al asistente algo que no tiene nada que ver con la municipalidad (por ejemplo, del clima, deportes, cultura general o una curiosidad).</t>
  </si>
  <si>
    <t xml:space="preserve">S51</t>
  </si>
  <si>
    <t xml:space="preserve">Quieres preguntarle algo sobre otra entidad o servicio (por ejemplo, la luz, el agua, la SUNAT, RENIEC o la policía) y no sobre la municipalidad.</t>
  </si>
  <si>
    <t xml:space="preserve">S52</t>
  </si>
  <si>
    <t xml:space="preserve">Quieres pedirle al asistente algo personal o fuera de lo normal (que cuente un chiste, que dé su opinión o que te haga la tarea).</t>
  </si>
  <si>
    <t xml:space="preserve">S53</t>
  </si>
  <si>
    <t xml:space="preserve">Prefieres que te atienda una persona y no un programa. ¿Qué le dirías al asistente?</t>
  </si>
  <si>
    <t xml:space="preserve">S54</t>
  </si>
  <si>
    <t xml:space="preserve">No sabes para qué sirve este asistente ni qué cosas le puedes preguntar. ¿Qué le escribirías?</t>
  </si>
  <si>
    <t xml:space="preserve">S55</t>
  </si>
  <si>
    <t xml:space="preserve">El asistente te respondió algo que no entendiste. ¿Qué le dirías?</t>
  </si>
  <si>
    <t xml:space="preserve">S56</t>
  </si>
  <si>
    <t xml:space="preserve">El asistente te dio una información pero no alcanzaste a leerla ni a anotarla. ¿Cómo le pedirías que te la repita?</t>
  </si>
  <si>
    <t xml:space="preserve">Pág. inicial</t>
  </si>
  <si>
    <t xml:space="preserve">Pág. final</t>
  </si>
  <si>
    <t xml:space="preserve">Situaciones en el catálogo</t>
  </si>
  <si>
    <t xml:space="preserve">Fuente: Lote1_Formularios_lenguaje_real_v2.pdf (11 páginas; la página 1 es la guía del tesista y no se imprime) y situaciones_lote1_v1.csv (56 situaciones: 12 en el formulario A y 11 en cada uno de los demás).</t>
  </si>
  <si>
    <t xml:space="preserve">Sí / No</t>
  </si>
  <si>
    <t xml:space="preserve">Definición de los estados</t>
  </si>
  <si>
    <t xml:space="preserve">18–29</t>
  </si>
  <si>
    <t xml:space="preserve">Aún no se aplicó el formulario.</t>
  </si>
  <si>
    <t xml:space="preserve">No</t>
  </si>
  <si>
    <t xml:space="preserve">Entregado</t>
  </si>
  <si>
    <t xml:space="preserve">El formulario se entregó a la persona.</t>
  </si>
  <si>
    <t xml:space="preserve">45–59</t>
  </si>
  <si>
    <t xml:space="preserve">Respondido</t>
  </si>
  <si>
    <t xml:space="preserve">La persona devolvió la hoja respondida.</t>
  </si>
  <si>
    <t xml:space="preserve">60 a más</t>
  </si>
  <si>
    <t xml:space="preserve">Las respuestas ya se pasaron al archivo de la Parte B.</t>
  </si>
  <si>
    <t xml:space="preserve">Notas de uso, criterios y fuentes</t>
  </si>
  <si>
    <t xml:space="preserve">Cómo usar</t>
  </si>
  <si>
    <t xml:space="preserve">1. Asigna a cada persona un código (P01 a P25) que no permita identificarla. El formulario y las páginas a imprimir salen solos en las columnas B y C de la hoja Participantes.</t>
  </si>
  <si>
    <t xml:space="preserve">2. Completa solo las celdas amarillas de Participantes: rango de edad, ocupación, si vive en Juliaca, si hizo un trámite el último año, estado, fecha y observaciones.</t>
  </si>
  <si>
    <t xml:space="preserve">3. Avanza el Estado: Pendiente, Entregado, Respondido y Transcrito (Transcrito = respuestas ya pasadas al archivo de la Parte B).</t>
  </si>
  <si>
    <t xml:space="preserve">4. Cuando alguien deje una situación sin responder, regístrala en la hoja Blancos (código y situación). Las situaciones respondidas de cada persona se calculan solas.</t>
  </si>
  <si>
    <t xml:space="preserve">5. Revisa Resumen y Cobertura. La cobertura se mide por intención (frases reales), no por personas: “Listo para la Parte B” exige participantes transcritos suficientes y todas las intenciones con el mínimo de frases.</t>
  </si>
  <si>
    <t xml:space="preserve">Criterios de reclutamiento</t>
  </si>
  <si>
    <t xml:space="preserve">• Se usan los cinco formularios (A–E) y cada persona responde uno solo. Cada situación aparece en un solo formulario: omitir uno deja intenciones sin frases reales.</t>
  </si>
  <si>
    <t xml:space="preserve">• P01–P20 son la base (4 respuestas por formulario). P21–P25 son reserva: actívalas si los blancos dejan intenciones por debajo de la meta (columna Estado de Cobertura).</t>
  </si>
  <si>
    <t xml:space="preserve">• Las personas que reciben el mismo formulario deberían tener edades y ocupaciones distintas (tabla de mezcla de edades en Resumen).</t>
  </si>
  <si>
    <t xml:space="preserve">• Las frases las escriben los participantes, no el tesista ni una IA.</t>
  </si>
  <si>
    <t xml:space="preserve">Fuentes y supuestos</t>
  </si>
  <si>
    <t xml:space="preserve">• Rotación A–E por código y mínimos de personas: guía de aplicación del Lote 1 (Lote1_Formularios_lenguaje_real_v2).</t>
  </si>
  <si>
    <t xml:space="preserve">• Páginas a imprimir y situaciones por formulario: Lote1_Formularios_lenguaje_real_v2.pdf y situaciones_lote1_v1.csv (56 situaciones; 12/11/11/11/11; fuera_de_alcance tiene 3).</t>
  </si>
  <si>
    <t xml:space="preserve">• Meta de 4 frases por intención: 20 personas ÷ 5 formularios. Mínimo de 3: la Parte B se detiene si alguna intención queda con menos de 3 frases reales (Instrucciones_ClaudeCode_lote_real_v2.md, paso B1).</t>
  </si>
  <si>
    <t xml:space="preserve">• 3 rangos de edad distintos para variedad “Buena”: criterio propio de esta hoja para reducir el sesgo de una muestra de conveniencia; no es una norma.</t>
  </si>
  <si>
    <t xml:space="preserve">• Cambio respecto de las versiones anteriores: el Resumen contaba personas por formulario y podía mostrar “meta cumplida” aunque algunas intenciones tuvieran menos frases. Esta versión agrega Blancos, Situaciones y Cobertura para medirlo por intención.</t>
  </si>
  <si>
    <t xml:space="preserve">• Los parámetros se pueden cambiar en las celdas amarillas de Resumen. Colores: azul = valor escrito a mano o dato fijo; negro = fórmula; verde = vínculo a otra hoja.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</si>
</sst>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%"/>
    <numFmt numFmtId="167" formatCode="General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2CC"/>
        <bgColor rgb="FFFFEB9C"/>
      </patternFill>
    </fill>
    <fill>
      <patternFill patternType="solid">
        <fgColor rgb="FFD9D9D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2" min="10" style="0" width="14"/>
    <col collapsed="false" customWidth="true" hidden="false" outlineLevel="0" max="13" min="13" style="0" width="12"/>
    <col collapsed="false" customWidth="true" hidden="false" outlineLevel="0" max="14" min="14" style="0" width="40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42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15" hidden="false" customHeight="false" outlineLevel="0" collapsed="false">
      <c r="A4" s="4" t="s">
        <v>16</v>
      </c>
      <c r="B4" s="5" t="str">
        <f aca="false">CHOOSE(MOD(VALUE(MID(A4,2,2))-1,5)+1,"A","B","C","D","E")</f>
        <v>A</v>
      </c>
      <c r="C4" s="6" t="str">
        <f aca="false">INDEX(Formularios!$E$2:$E$6,MATCH(B4,Formularios!$A$2:$A$6,0))</f>
        <v>2–3</v>
      </c>
      <c r="D4" s="6" t="str">
        <f aca="false">IF(VALUE(MID(A4,2,2))&lt;=Resumen!$B$4,"Base","Reserva")</f>
        <v>Base</v>
      </c>
      <c r="E4" s="7"/>
      <c r="F4" s="8"/>
      <c r="G4" s="7"/>
      <c r="H4" s="7"/>
      <c r="I4" s="7" t="s">
        <v>17</v>
      </c>
      <c r="J4" s="9"/>
      <c r="K4" s="6" t="str">
        <f aca="false">IF(OR(I4="Respondido",I4="Transcrito"),L4-COUNTIFS(Blancos!$A$4:$A$83,A4,Blancos!$F$4:$F$83,"OK"),"")</f>
        <v/>
      </c>
      <c r="L4" s="6" t="n">
        <f aca="false">INDEX(Formularios!$B$2:$B$6,MATCH(B4,Formularios!$A$2:$A$6,0))</f>
        <v>12</v>
      </c>
      <c r="M4" s="10" t="str">
        <f aca="false">IF(K4="","",K4/L4)</f>
        <v/>
      </c>
      <c r="N4" s="8"/>
    </row>
    <row r="5" customFormat="false" ht="15" hidden="false" customHeight="false" outlineLevel="0" collapsed="false">
      <c r="A5" s="4" t="s">
        <v>18</v>
      </c>
      <c r="B5" s="5" t="str">
        <f aca="false">CHOOSE(MOD(VALUE(MID(A5,2,2))-1,5)+1,"A","B","C","D","E")</f>
        <v>B</v>
      </c>
      <c r="C5" s="6" t="str">
        <f aca="false">INDEX(Formularios!$E$2:$E$6,MATCH(B5,Formularios!$A$2:$A$6,0))</f>
        <v>4–5</v>
      </c>
      <c r="D5" s="6" t="str">
        <f aca="false">IF(VALUE(MID(A5,2,2))&lt;=Resumen!$B$4,"Base","Reserva")</f>
        <v>Base</v>
      </c>
      <c r="E5" s="7"/>
      <c r="F5" s="8"/>
      <c r="G5" s="7"/>
      <c r="H5" s="7"/>
      <c r="I5" s="7" t="s">
        <v>17</v>
      </c>
      <c r="J5" s="9"/>
      <c r="K5" s="6" t="str">
        <f aca="false">IF(OR(I5="Respondido",I5="Transcrito"),L5-COUNTIFS(Blancos!$A$4:$A$83,A5,Blancos!$F$4:$F$83,"OK"),"")</f>
        <v/>
      </c>
      <c r="L5" s="6" t="n">
        <f aca="false">INDEX(Formularios!$B$2:$B$6,MATCH(B5,Formularios!$A$2:$A$6,0))</f>
        <v>11</v>
      </c>
      <c r="M5" s="10" t="str">
        <f aca="false">IF(K5="","",K5/L5)</f>
        <v/>
      </c>
      <c r="N5" s="8"/>
    </row>
    <row r="6" customFormat="false" ht="15" hidden="false" customHeight="false" outlineLevel="0" collapsed="false">
      <c r="A6" s="4" t="s">
        <v>19</v>
      </c>
      <c r="B6" s="5" t="str">
        <f aca="false">CHOOSE(MOD(VALUE(MID(A6,2,2))-1,5)+1,"A","B","C","D","E")</f>
        <v>C</v>
      </c>
      <c r="C6" s="6" t="str">
        <f aca="false">INDEX(Formularios!$E$2:$E$6,MATCH(B6,Formularios!$A$2:$A$6,0))</f>
        <v>6–7</v>
      </c>
      <c r="D6" s="6" t="str">
        <f aca="false">IF(VALUE(MID(A6,2,2))&lt;=Resumen!$B$4,"Base","Reserva")</f>
        <v>Base</v>
      </c>
      <c r="E6" s="7"/>
      <c r="F6" s="8"/>
      <c r="G6" s="7"/>
      <c r="H6" s="7"/>
      <c r="I6" s="7" t="s">
        <v>17</v>
      </c>
      <c r="J6" s="9"/>
      <c r="K6" s="6" t="str">
        <f aca="false">IF(OR(I6="Respondido",I6="Transcrito"),L6-COUNTIFS(Blancos!$A$4:$A$83,A6,Blancos!$F$4:$F$83,"OK"),"")</f>
        <v/>
      </c>
      <c r="L6" s="6" t="n">
        <f aca="false">INDEX(Formularios!$B$2:$B$6,MATCH(B6,Formularios!$A$2:$A$6,0))</f>
        <v>11</v>
      </c>
      <c r="M6" s="10" t="str">
        <f aca="false">IF(K6="","",K6/L6)</f>
        <v/>
      </c>
      <c r="N6" s="8"/>
    </row>
    <row r="7" customFormat="false" ht="15" hidden="false" customHeight="false" outlineLevel="0" collapsed="false">
      <c r="A7" s="4" t="s">
        <v>20</v>
      </c>
      <c r="B7" s="5" t="str">
        <f aca="false">CHOOSE(MOD(VALUE(MID(A7,2,2))-1,5)+1,"A","B","C","D","E")</f>
        <v>D</v>
      </c>
      <c r="C7" s="6" t="str">
        <f aca="false">INDEX(Formularios!$E$2:$E$6,MATCH(B7,Formularios!$A$2:$A$6,0))</f>
        <v>8–9</v>
      </c>
      <c r="D7" s="6" t="str">
        <f aca="false">IF(VALUE(MID(A7,2,2))&lt;=Resumen!$B$4,"Base","Reserva")</f>
        <v>Base</v>
      </c>
      <c r="E7" s="7"/>
      <c r="F7" s="8"/>
      <c r="G7" s="7"/>
      <c r="H7" s="7"/>
      <c r="I7" s="7" t="s">
        <v>17</v>
      </c>
      <c r="J7" s="9"/>
      <c r="K7" s="6" t="str">
        <f aca="false">IF(OR(I7="Respondido",I7="Transcrito"),L7-COUNTIFS(Blancos!$A$4:$A$83,A7,Blancos!$F$4:$F$83,"OK"),"")</f>
        <v/>
      </c>
      <c r="L7" s="6" t="n">
        <f aca="false">INDEX(Formularios!$B$2:$B$6,MATCH(B7,Formularios!$A$2:$A$6,0))</f>
        <v>11</v>
      </c>
      <c r="M7" s="10" t="str">
        <f aca="false">IF(K7="","",K7/L7)</f>
        <v/>
      </c>
      <c r="N7" s="8"/>
    </row>
    <row r="8" customFormat="false" ht="15" hidden="false" customHeight="false" outlineLevel="0" collapsed="false">
      <c r="A8" s="4" t="s">
        <v>21</v>
      </c>
      <c r="B8" s="5" t="str">
        <f aca="false">CHOOSE(MOD(VALUE(MID(A8,2,2))-1,5)+1,"A","B","C","D","E")</f>
        <v>E</v>
      </c>
      <c r="C8" s="6" t="str">
        <f aca="false">INDEX(Formularios!$E$2:$E$6,MATCH(B8,Formularios!$A$2:$A$6,0))</f>
        <v>10–11</v>
      </c>
      <c r="D8" s="6" t="str">
        <f aca="false">IF(VALUE(MID(A8,2,2))&lt;=Resumen!$B$4,"Base","Reserva")</f>
        <v>Base</v>
      </c>
      <c r="E8" s="7"/>
      <c r="F8" s="8"/>
      <c r="G8" s="7"/>
      <c r="H8" s="7"/>
      <c r="I8" s="7" t="s">
        <v>17</v>
      </c>
      <c r="J8" s="9"/>
      <c r="K8" s="6" t="str">
        <f aca="false">IF(OR(I8="Respondido",I8="Transcrito"),L8-COUNTIFS(Blancos!$A$4:$A$83,A8,Blancos!$F$4:$F$83,"OK"),"")</f>
        <v/>
      </c>
      <c r="L8" s="6" t="n">
        <f aca="false">INDEX(Formularios!$B$2:$B$6,MATCH(B8,Formularios!$A$2:$A$6,0))</f>
        <v>11</v>
      </c>
      <c r="M8" s="10" t="str">
        <f aca="false">IF(K8="","",K8/L8)</f>
        <v/>
      </c>
      <c r="N8" s="8"/>
    </row>
    <row r="9" customFormat="false" ht="15" hidden="false" customHeight="false" outlineLevel="0" collapsed="false">
      <c r="A9" s="4" t="s">
        <v>22</v>
      </c>
      <c r="B9" s="5" t="str">
        <f aca="false">CHOOSE(MOD(VALUE(MID(A9,2,2))-1,5)+1,"A","B","C","D","E")</f>
        <v>A</v>
      </c>
      <c r="C9" s="6" t="str">
        <f aca="false">INDEX(Formularios!$E$2:$E$6,MATCH(B9,Formularios!$A$2:$A$6,0))</f>
        <v>2–3</v>
      </c>
      <c r="D9" s="6" t="str">
        <f aca="false">IF(VALUE(MID(A9,2,2))&lt;=Resumen!$B$4,"Base","Reserva")</f>
        <v>Base</v>
      </c>
      <c r="E9" s="7"/>
      <c r="F9" s="8"/>
      <c r="G9" s="7"/>
      <c r="H9" s="7"/>
      <c r="I9" s="7" t="s">
        <v>17</v>
      </c>
      <c r="J9" s="9"/>
      <c r="K9" s="6" t="str">
        <f aca="false">IF(OR(I9="Respondido",I9="Transcrito"),L9-COUNTIFS(Blancos!$A$4:$A$83,A9,Blancos!$F$4:$F$83,"OK"),"")</f>
        <v/>
      </c>
      <c r="L9" s="6" t="n">
        <f aca="false">INDEX(Formularios!$B$2:$B$6,MATCH(B9,Formularios!$A$2:$A$6,0))</f>
        <v>12</v>
      </c>
      <c r="M9" s="10" t="str">
        <f aca="false">IF(K9="","",K9/L9)</f>
        <v/>
      </c>
      <c r="N9" s="8"/>
    </row>
    <row r="10" customFormat="false" ht="15" hidden="false" customHeight="false" outlineLevel="0" collapsed="false">
      <c r="A10" s="4" t="s">
        <v>23</v>
      </c>
      <c r="B10" s="5" t="str">
        <f aca="false">CHOOSE(MOD(VALUE(MID(A10,2,2))-1,5)+1,"A","B","C","D","E")</f>
        <v>B</v>
      </c>
      <c r="C10" s="6" t="str">
        <f aca="false">INDEX(Formularios!$E$2:$E$6,MATCH(B10,Formularios!$A$2:$A$6,0))</f>
        <v>4–5</v>
      </c>
      <c r="D10" s="6" t="str">
        <f aca="false">IF(VALUE(MID(A10,2,2))&lt;=Resumen!$B$4,"Base","Reserva")</f>
        <v>Base</v>
      </c>
      <c r="E10" s="7"/>
      <c r="F10" s="8"/>
      <c r="G10" s="7"/>
      <c r="H10" s="7"/>
      <c r="I10" s="7" t="s">
        <v>17</v>
      </c>
      <c r="J10" s="9"/>
      <c r="K10" s="6" t="str">
        <f aca="false">IF(OR(I10="Respondido",I10="Transcrito"),L10-COUNTIFS(Blancos!$A$4:$A$83,A10,Blancos!$F$4:$F$83,"OK"),"")</f>
        <v/>
      </c>
      <c r="L10" s="6" t="n">
        <f aca="false">INDEX(Formularios!$B$2:$B$6,MATCH(B10,Formularios!$A$2:$A$6,0))</f>
        <v>11</v>
      </c>
      <c r="M10" s="10" t="str">
        <f aca="false">IF(K10="","",K10/L10)</f>
        <v/>
      </c>
      <c r="N10" s="8"/>
    </row>
    <row r="11" customFormat="false" ht="15" hidden="false" customHeight="false" outlineLevel="0" collapsed="false">
      <c r="A11" s="4" t="s">
        <v>24</v>
      </c>
      <c r="B11" s="5" t="str">
        <f aca="false">CHOOSE(MOD(VALUE(MID(A11,2,2))-1,5)+1,"A","B","C","D","E")</f>
        <v>C</v>
      </c>
      <c r="C11" s="6" t="str">
        <f aca="false">INDEX(Formularios!$E$2:$E$6,MATCH(B11,Formularios!$A$2:$A$6,0))</f>
        <v>6–7</v>
      </c>
      <c r="D11" s="6" t="str">
        <f aca="false">IF(VALUE(MID(A11,2,2))&lt;=Resumen!$B$4,"Base","Reserva")</f>
        <v>Base</v>
      </c>
      <c r="E11" s="7"/>
      <c r="F11" s="8"/>
      <c r="G11" s="7"/>
      <c r="H11" s="7"/>
      <c r="I11" s="7" t="s">
        <v>17</v>
      </c>
      <c r="J11" s="9"/>
      <c r="K11" s="6" t="str">
        <f aca="false">IF(OR(I11="Respondido",I11="Transcrito"),L11-COUNTIFS(Blancos!$A$4:$A$83,A11,Blancos!$F$4:$F$83,"OK"),"")</f>
        <v/>
      </c>
      <c r="L11" s="6" t="n">
        <f aca="false">INDEX(Formularios!$B$2:$B$6,MATCH(B11,Formularios!$A$2:$A$6,0))</f>
        <v>11</v>
      </c>
      <c r="M11" s="10" t="str">
        <f aca="false">IF(K11="","",K11/L11)</f>
        <v/>
      </c>
      <c r="N11" s="8"/>
    </row>
    <row r="12" customFormat="false" ht="15" hidden="false" customHeight="false" outlineLevel="0" collapsed="false">
      <c r="A12" s="4" t="s">
        <v>25</v>
      </c>
      <c r="B12" s="5" t="str">
        <f aca="false">CHOOSE(MOD(VALUE(MID(A12,2,2))-1,5)+1,"A","B","C","D","E")</f>
        <v>D</v>
      </c>
      <c r="C12" s="6" t="str">
        <f aca="false">INDEX(Formularios!$E$2:$E$6,MATCH(B12,Formularios!$A$2:$A$6,0))</f>
        <v>8–9</v>
      </c>
      <c r="D12" s="6" t="str">
        <f aca="false">IF(VALUE(MID(A12,2,2))&lt;=Resumen!$B$4,"Base","Reserva")</f>
        <v>Base</v>
      </c>
      <c r="E12" s="7"/>
      <c r="F12" s="8"/>
      <c r="G12" s="7"/>
      <c r="H12" s="7"/>
      <c r="I12" s="7" t="s">
        <v>17</v>
      </c>
      <c r="J12" s="9"/>
      <c r="K12" s="6" t="str">
        <f aca="false">IF(OR(I12="Respondido",I12="Transcrito"),L12-COUNTIFS(Blancos!$A$4:$A$83,A12,Blancos!$F$4:$F$83,"OK"),"")</f>
        <v/>
      </c>
      <c r="L12" s="6" t="n">
        <f aca="false">INDEX(Formularios!$B$2:$B$6,MATCH(B12,Formularios!$A$2:$A$6,0))</f>
        <v>11</v>
      </c>
      <c r="M12" s="10" t="str">
        <f aca="false">IF(K12="","",K12/L12)</f>
        <v/>
      </c>
      <c r="N12" s="8"/>
    </row>
    <row r="13" customFormat="false" ht="15" hidden="false" customHeight="false" outlineLevel="0" collapsed="false">
      <c r="A13" s="4" t="s">
        <v>26</v>
      </c>
      <c r="B13" s="5" t="str">
        <f aca="false">CHOOSE(MOD(VALUE(MID(A13,2,2))-1,5)+1,"A","B","C","D","E")</f>
        <v>E</v>
      </c>
      <c r="C13" s="6" t="str">
        <f aca="false">INDEX(Formularios!$E$2:$E$6,MATCH(B13,Formularios!$A$2:$A$6,0))</f>
        <v>10–11</v>
      </c>
      <c r="D13" s="6" t="str">
        <f aca="false">IF(VALUE(MID(A13,2,2))&lt;=Resumen!$B$4,"Base","Reserva")</f>
        <v>Base</v>
      </c>
      <c r="E13" s="7"/>
      <c r="F13" s="8"/>
      <c r="G13" s="7"/>
      <c r="H13" s="7"/>
      <c r="I13" s="7" t="s">
        <v>17</v>
      </c>
      <c r="J13" s="9"/>
      <c r="K13" s="6" t="str">
        <f aca="false">IF(OR(I13="Respondido",I13="Transcrito"),L13-COUNTIFS(Blancos!$A$4:$A$83,A13,Blancos!$F$4:$F$83,"OK"),"")</f>
        <v/>
      </c>
      <c r="L13" s="6" t="n">
        <f aca="false">INDEX(Formularios!$B$2:$B$6,MATCH(B13,Formularios!$A$2:$A$6,0))</f>
        <v>11</v>
      </c>
      <c r="M13" s="10" t="str">
        <f aca="false">IF(K13="","",K13/L13)</f>
        <v/>
      </c>
      <c r="N13" s="8"/>
    </row>
    <row r="14" customFormat="false" ht="15" hidden="false" customHeight="false" outlineLevel="0" collapsed="false">
      <c r="A14" s="4" t="s">
        <v>27</v>
      </c>
      <c r="B14" s="5" t="str">
        <f aca="false">CHOOSE(MOD(VALUE(MID(A14,2,2))-1,5)+1,"A","B","C","D","E")</f>
        <v>A</v>
      </c>
      <c r="C14" s="6" t="str">
        <f aca="false">INDEX(Formularios!$E$2:$E$6,MATCH(B14,Formularios!$A$2:$A$6,0))</f>
        <v>2–3</v>
      </c>
      <c r="D14" s="6" t="str">
        <f aca="false">IF(VALUE(MID(A14,2,2))&lt;=Resumen!$B$4,"Base","Reserva")</f>
        <v>Base</v>
      </c>
      <c r="E14" s="7"/>
      <c r="F14" s="8"/>
      <c r="G14" s="7"/>
      <c r="H14" s="7"/>
      <c r="I14" s="7" t="s">
        <v>17</v>
      </c>
      <c r="J14" s="9"/>
      <c r="K14" s="6" t="str">
        <f aca="false">IF(OR(I14="Respondido",I14="Transcrito"),L14-COUNTIFS(Blancos!$A$4:$A$83,A14,Blancos!$F$4:$F$83,"OK"),"")</f>
        <v/>
      </c>
      <c r="L14" s="6" t="n">
        <f aca="false">INDEX(Formularios!$B$2:$B$6,MATCH(B14,Formularios!$A$2:$A$6,0))</f>
        <v>12</v>
      </c>
      <c r="M14" s="10" t="str">
        <f aca="false">IF(K14="","",K14/L14)</f>
        <v/>
      </c>
      <c r="N14" s="8"/>
    </row>
    <row r="15" customFormat="false" ht="15" hidden="false" customHeight="false" outlineLevel="0" collapsed="false">
      <c r="A15" s="4" t="s">
        <v>28</v>
      </c>
      <c r="B15" s="5" t="str">
        <f aca="false">CHOOSE(MOD(VALUE(MID(A15,2,2))-1,5)+1,"A","B","C","D","E")</f>
        <v>B</v>
      </c>
      <c r="C15" s="6" t="str">
        <f aca="false">INDEX(Formularios!$E$2:$E$6,MATCH(B15,Formularios!$A$2:$A$6,0))</f>
        <v>4–5</v>
      </c>
      <c r="D15" s="6" t="str">
        <f aca="false">IF(VALUE(MID(A15,2,2))&lt;=Resumen!$B$4,"Base","Reserva")</f>
        <v>Base</v>
      </c>
      <c r="E15" s="7"/>
      <c r="F15" s="8"/>
      <c r="G15" s="7"/>
      <c r="H15" s="7"/>
      <c r="I15" s="7" t="s">
        <v>17</v>
      </c>
      <c r="J15" s="9"/>
      <c r="K15" s="6" t="str">
        <f aca="false">IF(OR(I15="Respondido",I15="Transcrito"),L15-COUNTIFS(Blancos!$A$4:$A$83,A15,Blancos!$F$4:$F$83,"OK"),"")</f>
        <v/>
      </c>
      <c r="L15" s="6" t="n">
        <f aca="false">INDEX(Formularios!$B$2:$B$6,MATCH(B15,Formularios!$A$2:$A$6,0))</f>
        <v>11</v>
      </c>
      <c r="M15" s="10" t="str">
        <f aca="false">IF(K15="","",K15/L15)</f>
        <v/>
      </c>
      <c r="N15" s="8"/>
    </row>
    <row r="16" customFormat="false" ht="15" hidden="false" customHeight="false" outlineLevel="0" collapsed="false">
      <c r="A16" s="4" t="s">
        <v>29</v>
      </c>
      <c r="B16" s="5" t="str">
        <f aca="false">CHOOSE(MOD(VALUE(MID(A16,2,2))-1,5)+1,"A","B","C","D","E")</f>
        <v>C</v>
      </c>
      <c r="C16" s="6" t="str">
        <f aca="false">INDEX(Formularios!$E$2:$E$6,MATCH(B16,Formularios!$A$2:$A$6,0))</f>
        <v>6–7</v>
      </c>
      <c r="D16" s="6" t="str">
        <f aca="false">IF(VALUE(MID(A16,2,2))&lt;=Resumen!$B$4,"Base","Reserva")</f>
        <v>Base</v>
      </c>
      <c r="E16" s="7"/>
      <c r="F16" s="8"/>
      <c r="G16" s="7"/>
      <c r="H16" s="7"/>
      <c r="I16" s="7" t="s">
        <v>17</v>
      </c>
      <c r="J16" s="9"/>
      <c r="K16" s="6" t="str">
        <f aca="false">IF(OR(I16="Respondido",I16="Transcrito"),L16-COUNTIFS(Blancos!$A$4:$A$83,A16,Blancos!$F$4:$F$83,"OK"),"")</f>
        <v/>
      </c>
      <c r="L16" s="6" t="n">
        <f aca="false">INDEX(Formularios!$B$2:$B$6,MATCH(B16,Formularios!$A$2:$A$6,0))</f>
        <v>11</v>
      </c>
      <c r="M16" s="10" t="str">
        <f aca="false">IF(K16="","",K16/L16)</f>
        <v/>
      </c>
      <c r="N16" s="8"/>
    </row>
    <row r="17" customFormat="false" ht="15" hidden="false" customHeight="false" outlineLevel="0" collapsed="false">
      <c r="A17" s="4" t="s">
        <v>30</v>
      </c>
      <c r="B17" s="5" t="str">
        <f aca="false">CHOOSE(MOD(VALUE(MID(A17,2,2))-1,5)+1,"A","B","C","D","E")</f>
        <v>D</v>
      </c>
      <c r="C17" s="6" t="str">
        <f aca="false">INDEX(Formularios!$E$2:$E$6,MATCH(B17,Formularios!$A$2:$A$6,0))</f>
        <v>8–9</v>
      </c>
      <c r="D17" s="6" t="str">
        <f aca="false">IF(VALUE(MID(A17,2,2))&lt;=Resumen!$B$4,"Base","Reserva")</f>
        <v>Base</v>
      </c>
      <c r="E17" s="7"/>
      <c r="F17" s="8"/>
      <c r="G17" s="7"/>
      <c r="H17" s="7"/>
      <c r="I17" s="7" t="s">
        <v>17</v>
      </c>
      <c r="J17" s="9"/>
      <c r="K17" s="6" t="str">
        <f aca="false">IF(OR(I17="Respondido",I17="Transcrito"),L17-COUNTIFS(Blancos!$A$4:$A$83,A17,Blancos!$F$4:$F$83,"OK"),"")</f>
        <v/>
      </c>
      <c r="L17" s="6" t="n">
        <f aca="false">INDEX(Formularios!$B$2:$B$6,MATCH(B17,Formularios!$A$2:$A$6,0))</f>
        <v>11</v>
      </c>
      <c r="M17" s="10" t="str">
        <f aca="false">IF(K17="","",K17/L17)</f>
        <v/>
      </c>
      <c r="N17" s="8"/>
    </row>
    <row r="18" customFormat="false" ht="15" hidden="false" customHeight="false" outlineLevel="0" collapsed="false">
      <c r="A18" s="4" t="s">
        <v>31</v>
      </c>
      <c r="B18" s="5" t="str">
        <f aca="false">CHOOSE(MOD(VALUE(MID(A18,2,2))-1,5)+1,"A","B","C","D","E")</f>
        <v>E</v>
      </c>
      <c r="C18" s="6" t="str">
        <f aca="false">INDEX(Formularios!$E$2:$E$6,MATCH(B18,Formularios!$A$2:$A$6,0))</f>
        <v>10–11</v>
      </c>
      <c r="D18" s="6" t="str">
        <f aca="false">IF(VALUE(MID(A18,2,2))&lt;=Resumen!$B$4,"Base","Reserva")</f>
        <v>Base</v>
      </c>
      <c r="E18" s="7"/>
      <c r="F18" s="8"/>
      <c r="G18" s="7"/>
      <c r="H18" s="7"/>
      <c r="I18" s="7" t="s">
        <v>17</v>
      </c>
      <c r="J18" s="9"/>
      <c r="K18" s="6" t="str">
        <f aca="false">IF(OR(I18="Respondido",I18="Transcrito"),L18-COUNTIFS(Blancos!$A$4:$A$83,A18,Blancos!$F$4:$F$83,"OK"),"")</f>
        <v/>
      </c>
      <c r="L18" s="6" t="n">
        <f aca="false">INDEX(Formularios!$B$2:$B$6,MATCH(B18,Formularios!$A$2:$A$6,0))</f>
        <v>11</v>
      </c>
      <c r="M18" s="10" t="str">
        <f aca="false">IF(K18="","",K18/L18)</f>
        <v/>
      </c>
      <c r="N18" s="8"/>
    </row>
    <row r="19" customFormat="false" ht="15" hidden="false" customHeight="false" outlineLevel="0" collapsed="false">
      <c r="A19" s="4" t="s">
        <v>32</v>
      </c>
      <c r="B19" s="5" t="str">
        <f aca="false">CHOOSE(MOD(VALUE(MID(A19,2,2))-1,5)+1,"A","B","C","D","E")</f>
        <v>A</v>
      </c>
      <c r="C19" s="6" t="str">
        <f aca="false">INDEX(Formularios!$E$2:$E$6,MATCH(B19,Formularios!$A$2:$A$6,0))</f>
        <v>2–3</v>
      </c>
      <c r="D19" s="6" t="str">
        <f aca="false">IF(VALUE(MID(A19,2,2))&lt;=Resumen!$B$4,"Base","Reserva")</f>
        <v>Base</v>
      </c>
      <c r="E19" s="7"/>
      <c r="F19" s="8"/>
      <c r="G19" s="7"/>
      <c r="H19" s="7"/>
      <c r="I19" s="7" t="s">
        <v>17</v>
      </c>
      <c r="J19" s="9"/>
      <c r="K19" s="6" t="str">
        <f aca="false">IF(OR(I19="Respondido",I19="Transcrito"),L19-COUNTIFS(Blancos!$A$4:$A$83,A19,Blancos!$F$4:$F$83,"OK"),"")</f>
        <v/>
      </c>
      <c r="L19" s="6" t="n">
        <f aca="false">INDEX(Formularios!$B$2:$B$6,MATCH(B19,Formularios!$A$2:$A$6,0))</f>
        <v>12</v>
      </c>
      <c r="M19" s="10" t="str">
        <f aca="false">IF(K19="","",K19/L19)</f>
        <v/>
      </c>
      <c r="N19" s="8"/>
    </row>
    <row r="20" customFormat="false" ht="15" hidden="false" customHeight="false" outlineLevel="0" collapsed="false">
      <c r="A20" s="4" t="s">
        <v>33</v>
      </c>
      <c r="B20" s="5" t="str">
        <f aca="false">CHOOSE(MOD(VALUE(MID(A20,2,2))-1,5)+1,"A","B","C","D","E")</f>
        <v>B</v>
      </c>
      <c r="C20" s="6" t="str">
        <f aca="false">INDEX(Formularios!$E$2:$E$6,MATCH(B20,Formularios!$A$2:$A$6,0))</f>
        <v>4–5</v>
      </c>
      <c r="D20" s="6" t="str">
        <f aca="false">IF(VALUE(MID(A20,2,2))&lt;=Resumen!$B$4,"Base","Reserva")</f>
        <v>Base</v>
      </c>
      <c r="E20" s="7"/>
      <c r="F20" s="8"/>
      <c r="G20" s="7"/>
      <c r="H20" s="7"/>
      <c r="I20" s="7" t="s">
        <v>17</v>
      </c>
      <c r="J20" s="9"/>
      <c r="K20" s="6" t="str">
        <f aca="false">IF(OR(I20="Respondido",I20="Transcrito"),L20-COUNTIFS(Blancos!$A$4:$A$83,A20,Blancos!$F$4:$F$83,"OK"),"")</f>
        <v/>
      </c>
      <c r="L20" s="6" t="n">
        <f aca="false">INDEX(Formularios!$B$2:$B$6,MATCH(B20,Formularios!$A$2:$A$6,0))</f>
        <v>11</v>
      </c>
      <c r="M20" s="10" t="str">
        <f aca="false">IF(K20="","",K20/L20)</f>
        <v/>
      </c>
      <c r="N20" s="8"/>
    </row>
    <row r="21" customFormat="false" ht="15" hidden="false" customHeight="false" outlineLevel="0" collapsed="false">
      <c r="A21" s="4" t="s">
        <v>34</v>
      </c>
      <c r="B21" s="5" t="str">
        <f aca="false">CHOOSE(MOD(VALUE(MID(A21,2,2))-1,5)+1,"A","B","C","D","E")</f>
        <v>C</v>
      </c>
      <c r="C21" s="6" t="str">
        <f aca="false">INDEX(Formularios!$E$2:$E$6,MATCH(B21,Formularios!$A$2:$A$6,0))</f>
        <v>6–7</v>
      </c>
      <c r="D21" s="6" t="str">
        <f aca="false">IF(VALUE(MID(A21,2,2))&lt;=Resumen!$B$4,"Base","Reserva")</f>
        <v>Base</v>
      </c>
      <c r="E21" s="7"/>
      <c r="F21" s="8"/>
      <c r="G21" s="7"/>
      <c r="H21" s="7"/>
      <c r="I21" s="7" t="s">
        <v>17</v>
      </c>
      <c r="J21" s="9"/>
      <c r="K21" s="6" t="str">
        <f aca="false">IF(OR(I21="Respondido",I21="Transcrito"),L21-COUNTIFS(Blancos!$A$4:$A$83,A21,Blancos!$F$4:$F$83,"OK"),"")</f>
        <v/>
      </c>
      <c r="L21" s="6" t="n">
        <f aca="false">INDEX(Formularios!$B$2:$B$6,MATCH(B21,Formularios!$A$2:$A$6,0))</f>
        <v>11</v>
      </c>
      <c r="M21" s="10" t="str">
        <f aca="false">IF(K21="","",K21/L21)</f>
        <v/>
      </c>
      <c r="N21" s="8"/>
    </row>
    <row r="22" customFormat="false" ht="15" hidden="false" customHeight="false" outlineLevel="0" collapsed="false">
      <c r="A22" s="4" t="s">
        <v>35</v>
      </c>
      <c r="B22" s="5" t="str">
        <f aca="false">CHOOSE(MOD(VALUE(MID(A22,2,2))-1,5)+1,"A","B","C","D","E")</f>
        <v>D</v>
      </c>
      <c r="C22" s="6" t="str">
        <f aca="false">INDEX(Formularios!$E$2:$E$6,MATCH(B22,Formularios!$A$2:$A$6,0))</f>
        <v>8–9</v>
      </c>
      <c r="D22" s="6" t="str">
        <f aca="false">IF(VALUE(MID(A22,2,2))&lt;=Resumen!$B$4,"Base","Reserva")</f>
        <v>Base</v>
      </c>
      <c r="E22" s="7"/>
      <c r="F22" s="8"/>
      <c r="G22" s="7"/>
      <c r="H22" s="7"/>
      <c r="I22" s="7" t="s">
        <v>17</v>
      </c>
      <c r="J22" s="9"/>
      <c r="K22" s="6" t="str">
        <f aca="false">IF(OR(I22="Respondido",I22="Transcrito"),L22-COUNTIFS(Blancos!$A$4:$A$83,A22,Blancos!$F$4:$F$83,"OK"),"")</f>
        <v/>
      </c>
      <c r="L22" s="6" t="n">
        <f aca="false">INDEX(Formularios!$B$2:$B$6,MATCH(B22,Formularios!$A$2:$A$6,0))</f>
        <v>11</v>
      </c>
      <c r="M22" s="10" t="str">
        <f aca="false">IF(K22="","",K22/L22)</f>
        <v/>
      </c>
      <c r="N22" s="8"/>
    </row>
    <row r="23" customFormat="false" ht="15" hidden="false" customHeight="false" outlineLevel="0" collapsed="false">
      <c r="A23" s="4" t="s">
        <v>36</v>
      </c>
      <c r="B23" s="5" t="str">
        <f aca="false">CHOOSE(MOD(VALUE(MID(A23,2,2))-1,5)+1,"A","B","C","D","E")</f>
        <v>E</v>
      </c>
      <c r="C23" s="6" t="str">
        <f aca="false">INDEX(Formularios!$E$2:$E$6,MATCH(B23,Formularios!$A$2:$A$6,0))</f>
        <v>10–11</v>
      </c>
      <c r="D23" s="6" t="str">
        <f aca="false">IF(VALUE(MID(A23,2,2))&lt;=Resumen!$B$4,"Base","Reserva")</f>
        <v>Base</v>
      </c>
      <c r="E23" s="7"/>
      <c r="F23" s="8"/>
      <c r="G23" s="7"/>
      <c r="H23" s="7"/>
      <c r="I23" s="7" t="s">
        <v>17</v>
      </c>
      <c r="J23" s="9"/>
      <c r="K23" s="6" t="str">
        <f aca="false">IF(OR(I23="Respondido",I23="Transcrito"),L23-COUNTIFS(Blancos!$A$4:$A$83,A23,Blancos!$F$4:$F$83,"OK"),"")</f>
        <v/>
      </c>
      <c r="L23" s="6" t="n">
        <f aca="false">INDEX(Formularios!$B$2:$B$6,MATCH(B23,Formularios!$A$2:$A$6,0))</f>
        <v>11</v>
      </c>
      <c r="M23" s="10" t="str">
        <f aca="false">IF(K23="","",K23/L23)</f>
        <v/>
      </c>
      <c r="N23" s="8"/>
    </row>
    <row r="24" customFormat="false" ht="15" hidden="false" customHeight="false" outlineLevel="0" collapsed="false">
      <c r="A24" s="4" t="s">
        <v>37</v>
      </c>
      <c r="B24" s="5" t="str">
        <f aca="false">CHOOSE(MOD(VALUE(MID(A24,2,2))-1,5)+1,"A","B","C","D","E")</f>
        <v>A</v>
      </c>
      <c r="C24" s="6" t="str">
        <f aca="false">INDEX(Formularios!$E$2:$E$6,MATCH(B24,Formularios!$A$2:$A$6,0))</f>
        <v>2–3</v>
      </c>
      <c r="D24" s="6" t="str">
        <f aca="false">IF(VALUE(MID(A24,2,2))&lt;=Resumen!$B$4,"Base","Reserva")</f>
        <v>Reserva</v>
      </c>
      <c r="E24" s="7"/>
      <c r="F24" s="8"/>
      <c r="G24" s="7"/>
      <c r="H24" s="7"/>
      <c r="I24" s="7" t="s">
        <v>17</v>
      </c>
      <c r="J24" s="9"/>
      <c r="K24" s="6" t="str">
        <f aca="false">IF(OR(I24="Respondido",I24="Transcrito"),L24-COUNTIFS(Blancos!$A$4:$A$83,A24,Blancos!$F$4:$F$83,"OK"),"")</f>
        <v/>
      </c>
      <c r="L24" s="6" t="n">
        <f aca="false">INDEX(Formularios!$B$2:$B$6,MATCH(B24,Formularios!$A$2:$A$6,0))</f>
        <v>12</v>
      </c>
      <c r="M24" s="10" t="str">
        <f aca="false">IF(K24="","",K24/L24)</f>
        <v/>
      </c>
      <c r="N24" s="8"/>
    </row>
    <row r="25" customFormat="false" ht="15" hidden="false" customHeight="false" outlineLevel="0" collapsed="false">
      <c r="A25" s="4" t="s">
        <v>38</v>
      </c>
      <c r="B25" s="5" t="str">
        <f aca="false">CHOOSE(MOD(VALUE(MID(A25,2,2))-1,5)+1,"A","B","C","D","E")</f>
        <v>B</v>
      </c>
      <c r="C25" s="6" t="str">
        <f aca="false">INDEX(Formularios!$E$2:$E$6,MATCH(B25,Formularios!$A$2:$A$6,0))</f>
        <v>4–5</v>
      </c>
      <c r="D25" s="6" t="str">
        <f aca="false">IF(VALUE(MID(A25,2,2))&lt;=Resumen!$B$4,"Base","Reserva")</f>
        <v>Reserva</v>
      </c>
      <c r="E25" s="7"/>
      <c r="F25" s="8"/>
      <c r="G25" s="7"/>
      <c r="H25" s="7"/>
      <c r="I25" s="7" t="s">
        <v>17</v>
      </c>
      <c r="J25" s="9"/>
      <c r="K25" s="6" t="str">
        <f aca="false">IF(OR(I25="Respondido",I25="Transcrito"),L25-COUNTIFS(Blancos!$A$4:$A$83,A25,Blancos!$F$4:$F$83,"OK"),"")</f>
        <v/>
      </c>
      <c r="L25" s="6" t="n">
        <f aca="false">INDEX(Formularios!$B$2:$B$6,MATCH(B25,Formularios!$A$2:$A$6,0))</f>
        <v>11</v>
      </c>
      <c r="M25" s="10" t="str">
        <f aca="false">IF(K25="","",K25/L25)</f>
        <v/>
      </c>
      <c r="N25" s="8"/>
    </row>
    <row r="26" customFormat="false" ht="15" hidden="false" customHeight="false" outlineLevel="0" collapsed="false">
      <c r="A26" s="4" t="s">
        <v>39</v>
      </c>
      <c r="B26" s="5" t="str">
        <f aca="false">CHOOSE(MOD(VALUE(MID(A26,2,2))-1,5)+1,"A","B","C","D","E")</f>
        <v>C</v>
      </c>
      <c r="C26" s="6" t="str">
        <f aca="false">INDEX(Formularios!$E$2:$E$6,MATCH(B26,Formularios!$A$2:$A$6,0))</f>
        <v>6–7</v>
      </c>
      <c r="D26" s="6" t="str">
        <f aca="false">IF(VALUE(MID(A26,2,2))&lt;=Resumen!$B$4,"Base","Reserva")</f>
        <v>Reserva</v>
      </c>
      <c r="E26" s="7"/>
      <c r="F26" s="8"/>
      <c r="G26" s="7"/>
      <c r="H26" s="7"/>
      <c r="I26" s="7" t="s">
        <v>17</v>
      </c>
      <c r="J26" s="9"/>
      <c r="K26" s="6" t="str">
        <f aca="false">IF(OR(I26="Respondido",I26="Transcrito"),L26-COUNTIFS(Blancos!$A$4:$A$83,A26,Blancos!$F$4:$F$83,"OK"),"")</f>
        <v/>
      </c>
      <c r="L26" s="6" t="n">
        <f aca="false">INDEX(Formularios!$B$2:$B$6,MATCH(B26,Formularios!$A$2:$A$6,0))</f>
        <v>11</v>
      </c>
      <c r="M26" s="10" t="str">
        <f aca="false">IF(K26="","",K26/L26)</f>
        <v/>
      </c>
      <c r="N26" s="8"/>
    </row>
    <row r="27" customFormat="false" ht="15" hidden="false" customHeight="false" outlineLevel="0" collapsed="false">
      <c r="A27" s="4" t="s">
        <v>40</v>
      </c>
      <c r="B27" s="5" t="str">
        <f aca="false">CHOOSE(MOD(VALUE(MID(A27,2,2))-1,5)+1,"A","B","C","D","E")</f>
        <v>D</v>
      </c>
      <c r="C27" s="6" t="str">
        <f aca="false">INDEX(Formularios!$E$2:$E$6,MATCH(B27,Formularios!$A$2:$A$6,0))</f>
        <v>8–9</v>
      </c>
      <c r="D27" s="6" t="str">
        <f aca="false">IF(VALUE(MID(A27,2,2))&lt;=Resumen!$B$4,"Base","Reserva")</f>
        <v>Reserva</v>
      </c>
      <c r="E27" s="7"/>
      <c r="F27" s="8"/>
      <c r="G27" s="7"/>
      <c r="H27" s="7"/>
      <c r="I27" s="7" t="s">
        <v>17</v>
      </c>
      <c r="J27" s="9"/>
      <c r="K27" s="6" t="str">
        <f aca="false">IF(OR(I27="Respondido",I27="Transcrito"),L27-COUNTIFS(Blancos!$A$4:$A$83,A27,Blancos!$F$4:$F$83,"OK"),"")</f>
        <v/>
      </c>
      <c r="L27" s="6" t="n">
        <f aca="false">INDEX(Formularios!$B$2:$B$6,MATCH(B27,Formularios!$A$2:$A$6,0))</f>
        <v>11</v>
      </c>
      <c r="M27" s="10" t="str">
        <f aca="false">IF(K27="","",K27/L27)</f>
        <v/>
      </c>
      <c r="N27" s="8"/>
    </row>
    <row r="28" customFormat="false" ht="15" hidden="false" customHeight="false" outlineLevel="0" collapsed="false">
      <c r="A28" s="4" t="s">
        <v>41</v>
      </c>
      <c r="B28" s="5" t="str">
        <f aca="false">CHOOSE(MOD(VALUE(MID(A28,2,2))-1,5)+1,"A","B","C","D","E")</f>
        <v>E</v>
      </c>
      <c r="C28" s="6" t="str">
        <f aca="false">INDEX(Formularios!$E$2:$E$6,MATCH(B28,Formularios!$A$2:$A$6,0))</f>
        <v>10–11</v>
      </c>
      <c r="D28" s="6" t="str">
        <f aca="false">IF(VALUE(MID(A28,2,2))&lt;=Resumen!$B$4,"Base","Reserva")</f>
        <v>Reserva</v>
      </c>
      <c r="E28" s="7"/>
      <c r="F28" s="8"/>
      <c r="G28" s="7"/>
      <c r="H28" s="7"/>
      <c r="I28" s="7" t="s">
        <v>17</v>
      </c>
      <c r="J28" s="9"/>
      <c r="K28" s="6" t="str">
        <f aca="false">IF(OR(I28="Respondido",I28="Transcrito"),L28-COUNTIFS(Blancos!$A$4:$A$83,A28,Blancos!$F$4:$F$83,"OK"),"")</f>
        <v/>
      </c>
      <c r="L28" s="6" t="n">
        <f aca="false">INDEX(Formularios!$B$2:$B$6,MATCH(B28,Formularios!$A$2:$A$6,0))</f>
        <v>11</v>
      </c>
      <c r="M28" s="10" t="str">
        <f aca="false">IF(K28="","",K28/L28)</f>
        <v/>
      </c>
      <c r="N28" s="8"/>
    </row>
    <row r="30" customFormat="false" ht="15" hidden="false" customHeight="false" outlineLevel="0" collapsed="false">
      <c r="A30" s="11" t="s">
        <v>42</v>
      </c>
    </row>
    <row r="31" customFormat="false" ht="23.85" hidden="false" customHeight="false" outlineLevel="0" collapsed="false">
      <c r="A31" s="12" t="s">
        <v>16</v>
      </c>
      <c r="B31" s="12" t="s">
        <v>43</v>
      </c>
      <c r="C31" s="12" t="s">
        <v>44</v>
      </c>
      <c r="D31" s="12" t="s">
        <v>45</v>
      </c>
      <c r="E31" s="12" t="s">
        <v>46</v>
      </c>
      <c r="F31" s="13" t="s">
        <v>47</v>
      </c>
      <c r="G31" s="12" t="s">
        <v>48</v>
      </c>
      <c r="H31" s="12" t="s">
        <v>48</v>
      </c>
      <c r="I31" s="12" t="s">
        <v>49</v>
      </c>
      <c r="J31" s="14" t="n">
        <v>46300</v>
      </c>
      <c r="K31" s="12" t="n">
        <v>11</v>
      </c>
      <c r="L31" s="12" t="n">
        <v>12</v>
      </c>
      <c r="M31" s="15" t="n">
        <v>0.916666666666667</v>
      </c>
      <c r="N31" s="13" t="s">
        <v>50</v>
      </c>
    </row>
  </sheetData>
  <mergeCells count="1">
    <mergeCell ref="A2:N2"/>
  </mergeCells>
  <conditionalFormatting sqref="I4:I28">
    <cfRule type="expression" priority="2" aboveAverage="0" equalAverage="0" bottom="0" percent="0" rank="0" text="" dxfId="0">
      <formula>$I4="Transcrito"</formula>
    </cfRule>
    <cfRule type="expression" priority="3" aboveAverage="0" equalAverage="0" bottom="0" percent="0" rank="0" text="" dxfId="1">
      <formula>OR($I4="Entregado",$I4="Respondido")</formula>
    </cfRule>
  </conditionalFormatting>
  <dataValidations count="4">
    <dataValidation allowBlank="true" error="Elige un rango de la lista." errorStyle="stop" errorTitle="Rango de edad" operator="between" showDropDown="false" showErrorMessage="true" showInputMessage="false" sqref="E4:E28" type="list">
      <formula1>Listas!$A$2:$A$5</formula1>
      <formula2>0</formula2>
    </dataValidation>
    <dataValidation allowBlank="true" error="Elige Sí o No." errorStyle="stop" errorTitle="Sí / No" operator="between" showDropDown="false" showErrorMessage="true" showInputMessage="false" sqref="G4:H28" type="list">
      <formula1>Listas!$B$2:$B$3</formula1>
      <formula2>0</formula2>
    </dataValidation>
    <dataValidation allowBlank="true" error="Elige un estado de la lista." errorStyle="stop" errorTitle="Estado" operator="between" showDropDown="false" showErrorMessage="true" showInputMessage="false" sqref="I4:I28" type="list">
      <formula1>Listas!$C$2:$C$5</formula1>
      <formula2>0</formula2>
    </dataValidation>
    <dataValidation allowBlank="true" error="Escribe una fecha válida (dd/mm/aaaa)." errorStyle="stop" errorTitle="Fecha" operator="greaterThan" showDropDown="false" showErrorMessage="true" showInputMessage="false" sqref="J4:J28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5" min="3" style="0" width="15"/>
    <col collapsed="false" customWidth="true" hidden="false" outlineLevel="0" max="6" min="6" style="0" width="40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51</v>
      </c>
    </row>
    <row r="2" customFormat="false" ht="30" hidden="false" customHeight="true" outlineLevel="0" collapsed="false">
      <c r="A2" s="2" t="s">
        <v>52</v>
      </c>
      <c r="B2" s="2"/>
      <c r="C2" s="2"/>
      <c r="D2" s="2"/>
      <c r="E2" s="2"/>
      <c r="F2" s="2"/>
      <c r="G2" s="2"/>
    </row>
    <row r="3" customFormat="false" ht="42" hidden="false" customHeight="true" outlineLevel="0" collapsed="false">
      <c r="A3" s="3" t="s">
        <v>2</v>
      </c>
      <c r="B3" s="3" t="s">
        <v>53</v>
      </c>
      <c r="C3" s="3" t="s">
        <v>54</v>
      </c>
      <c r="D3" s="3" t="s">
        <v>55</v>
      </c>
      <c r="E3" s="3" t="s">
        <v>56</v>
      </c>
      <c r="F3" s="3" t="s">
        <v>57</v>
      </c>
      <c r="G3" s="3" t="s">
        <v>58</v>
      </c>
    </row>
    <row r="4" customFormat="false" ht="15" hidden="false" customHeight="false" outlineLevel="0" collapsed="false">
      <c r="A4" s="7"/>
      <c r="B4" s="7"/>
      <c r="C4" s="6" t="str">
        <f aca="false">IF(A4="","",IFERROR(INDEX(Participantes!$B$4:$B$28,MATCH(A4,Participantes!$A$4:$A$28,0)),"Código no válido"))</f>
        <v/>
      </c>
      <c r="D4" s="6" t="str">
        <f aca="false">IF(B4="","",IFERROR(INDEX(Situaciones!$B$4:$B$59,MATCH(B4,Situaciones!$A$4:$A$59,0)),"Situación no válida"))</f>
        <v/>
      </c>
      <c r="E4" s="6" t="str">
        <f aca="false">IF(A4="","",IFERROR(INDEX(Participantes!$I$4:$I$28,MATCH(A4,Participantes!$A$4:$A$28,0)),""))</f>
        <v/>
      </c>
      <c r="F4" s="5" t="str">
        <f aca="false">IF(OR(A4="",B4=""),"",IF(C4&lt;&gt;D4,"Revisar: la situación no es de su formulario",IF(COUNTIFS($A$4:$A4,A4,$B$4:$B4,B4)&gt;1,"Revisar: repetida","OK")))</f>
        <v/>
      </c>
      <c r="G4" s="8"/>
    </row>
    <row r="5" customFormat="false" ht="15" hidden="false" customHeight="false" outlineLevel="0" collapsed="false">
      <c r="A5" s="7"/>
      <c r="B5" s="7"/>
      <c r="C5" s="6" t="str">
        <f aca="false">IF(A5="","",IFERROR(INDEX(Participantes!$B$4:$B$28,MATCH(A5,Participantes!$A$4:$A$28,0)),"Código no válido"))</f>
        <v/>
      </c>
      <c r="D5" s="6" t="str">
        <f aca="false">IF(B5="","",IFERROR(INDEX(Situaciones!$B$4:$B$59,MATCH(B5,Situaciones!$A$4:$A$59,0)),"Situación no válida"))</f>
        <v/>
      </c>
      <c r="E5" s="6" t="str">
        <f aca="false">IF(A5="","",IFERROR(INDEX(Participantes!$I$4:$I$28,MATCH(A5,Participantes!$A$4:$A$28,0)),""))</f>
        <v/>
      </c>
      <c r="F5" s="5" t="str">
        <f aca="false">IF(OR(A5="",B5=""),"",IF(C5&lt;&gt;D5,"Revisar: la situación no es de su formulario",IF(COUNTIFS($A$4:$A5,A5,$B$4:$B5,B5)&gt;1,"Revisar: repetida","OK")))</f>
        <v/>
      </c>
      <c r="G5" s="8"/>
    </row>
    <row r="6" customFormat="false" ht="15" hidden="false" customHeight="false" outlineLevel="0" collapsed="false">
      <c r="A6" s="7"/>
      <c r="B6" s="7"/>
      <c r="C6" s="6" t="str">
        <f aca="false">IF(A6="","",IFERROR(INDEX(Participantes!$B$4:$B$28,MATCH(A6,Participantes!$A$4:$A$28,0)),"Código no válido"))</f>
        <v/>
      </c>
      <c r="D6" s="6" t="str">
        <f aca="false">IF(B6="","",IFERROR(INDEX(Situaciones!$B$4:$B$59,MATCH(B6,Situaciones!$A$4:$A$59,0)),"Situación no válida"))</f>
        <v/>
      </c>
      <c r="E6" s="6" t="str">
        <f aca="false">IF(A6="","",IFERROR(INDEX(Participantes!$I$4:$I$28,MATCH(A6,Participantes!$A$4:$A$28,0)),""))</f>
        <v/>
      </c>
      <c r="F6" s="5" t="str">
        <f aca="false">IF(OR(A6="",B6=""),"",IF(C6&lt;&gt;D6,"Revisar: la situación no es de su formulario",IF(COUNTIFS($A$4:$A6,A6,$B$4:$B6,B6)&gt;1,"Revisar: repetida","OK")))</f>
        <v/>
      </c>
      <c r="G6" s="8"/>
    </row>
    <row r="7" customFormat="false" ht="15" hidden="false" customHeight="false" outlineLevel="0" collapsed="false">
      <c r="A7" s="7"/>
      <c r="B7" s="7"/>
      <c r="C7" s="6" t="str">
        <f aca="false">IF(A7="","",IFERROR(INDEX(Participantes!$B$4:$B$28,MATCH(A7,Participantes!$A$4:$A$28,0)),"Código no válido"))</f>
        <v/>
      </c>
      <c r="D7" s="6" t="str">
        <f aca="false">IF(B7="","",IFERROR(INDEX(Situaciones!$B$4:$B$59,MATCH(B7,Situaciones!$A$4:$A$59,0)),"Situación no válida"))</f>
        <v/>
      </c>
      <c r="E7" s="6" t="str">
        <f aca="false">IF(A7="","",IFERROR(INDEX(Participantes!$I$4:$I$28,MATCH(A7,Participantes!$A$4:$A$28,0)),""))</f>
        <v/>
      </c>
      <c r="F7" s="5" t="str">
        <f aca="false">IF(OR(A7="",B7=""),"",IF(C7&lt;&gt;D7,"Revisar: la situación no es de su formulario",IF(COUNTIFS($A$4:$A7,A7,$B$4:$B7,B7)&gt;1,"Revisar: repetida","OK")))</f>
        <v/>
      </c>
      <c r="G7" s="8"/>
    </row>
    <row r="8" customFormat="false" ht="15" hidden="false" customHeight="false" outlineLevel="0" collapsed="false">
      <c r="A8" s="7"/>
      <c r="B8" s="7"/>
      <c r="C8" s="6" t="str">
        <f aca="false">IF(A8="","",IFERROR(INDEX(Participantes!$B$4:$B$28,MATCH(A8,Participantes!$A$4:$A$28,0)),"Código no válido"))</f>
        <v/>
      </c>
      <c r="D8" s="6" t="str">
        <f aca="false">IF(B8="","",IFERROR(INDEX(Situaciones!$B$4:$B$59,MATCH(B8,Situaciones!$A$4:$A$59,0)),"Situación no válida"))</f>
        <v/>
      </c>
      <c r="E8" s="6" t="str">
        <f aca="false">IF(A8="","",IFERROR(INDEX(Participantes!$I$4:$I$28,MATCH(A8,Participantes!$A$4:$A$28,0)),""))</f>
        <v/>
      </c>
      <c r="F8" s="5" t="str">
        <f aca="false">IF(OR(A8="",B8=""),"",IF(C8&lt;&gt;D8,"Revisar: la situación no es de su formulario",IF(COUNTIFS($A$4:$A8,A8,$B$4:$B8,B8)&gt;1,"Revisar: repetida","OK")))</f>
        <v/>
      </c>
      <c r="G8" s="8"/>
    </row>
    <row r="9" customFormat="false" ht="15" hidden="false" customHeight="false" outlineLevel="0" collapsed="false">
      <c r="A9" s="7"/>
      <c r="B9" s="7"/>
      <c r="C9" s="6" t="str">
        <f aca="false">IF(A9="","",IFERROR(INDEX(Participantes!$B$4:$B$28,MATCH(A9,Participantes!$A$4:$A$28,0)),"Código no válido"))</f>
        <v/>
      </c>
      <c r="D9" s="6" t="str">
        <f aca="false">IF(B9="","",IFERROR(INDEX(Situaciones!$B$4:$B$59,MATCH(B9,Situaciones!$A$4:$A$59,0)),"Situación no válida"))</f>
        <v/>
      </c>
      <c r="E9" s="6" t="str">
        <f aca="false">IF(A9="","",IFERROR(INDEX(Participantes!$I$4:$I$28,MATCH(A9,Participantes!$A$4:$A$28,0)),""))</f>
        <v/>
      </c>
      <c r="F9" s="5" t="str">
        <f aca="false">IF(OR(A9="",B9=""),"",IF(C9&lt;&gt;D9,"Revisar: la situación no es de su formulario",IF(COUNTIFS($A$4:$A9,A9,$B$4:$B9,B9)&gt;1,"Revisar: repetida","OK")))</f>
        <v/>
      </c>
      <c r="G9" s="8"/>
    </row>
    <row r="10" customFormat="false" ht="15" hidden="false" customHeight="false" outlineLevel="0" collapsed="false">
      <c r="A10" s="7"/>
      <c r="B10" s="7"/>
      <c r="C10" s="6" t="str">
        <f aca="false">IF(A10="","",IFERROR(INDEX(Participantes!$B$4:$B$28,MATCH(A10,Participantes!$A$4:$A$28,0)),"Código no válido"))</f>
        <v/>
      </c>
      <c r="D10" s="6" t="str">
        <f aca="false">IF(B10="","",IFERROR(INDEX(Situaciones!$B$4:$B$59,MATCH(B10,Situaciones!$A$4:$A$59,0)),"Situación no válida"))</f>
        <v/>
      </c>
      <c r="E10" s="6" t="str">
        <f aca="false">IF(A10="","",IFERROR(INDEX(Participantes!$I$4:$I$28,MATCH(A10,Participantes!$A$4:$A$28,0)),""))</f>
        <v/>
      </c>
      <c r="F10" s="5" t="str">
        <f aca="false">IF(OR(A10="",B10=""),"",IF(C10&lt;&gt;D10,"Revisar: la situación no es de su formulario",IF(COUNTIFS($A$4:$A10,A10,$B$4:$B10,B10)&gt;1,"Revisar: repetida","OK")))</f>
        <v/>
      </c>
      <c r="G10" s="8"/>
    </row>
    <row r="11" customFormat="false" ht="15" hidden="false" customHeight="false" outlineLevel="0" collapsed="false">
      <c r="A11" s="7"/>
      <c r="B11" s="7"/>
      <c r="C11" s="6" t="str">
        <f aca="false">IF(A11="","",IFERROR(INDEX(Participantes!$B$4:$B$28,MATCH(A11,Participantes!$A$4:$A$28,0)),"Código no válido"))</f>
        <v/>
      </c>
      <c r="D11" s="6" t="str">
        <f aca="false">IF(B11="","",IFERROR(INDEX(Situaciones!$B$4:$B$59,MATCH(B11,Situaciones!$A$4:$A$59,0)),"Situación no válida"))</f>
        <v/>
      </c>
      <c r="E11" s="6" t="str">
        <f aca="false">IF(A11="","",IFERROR(INDEX(Participantes!$I$4:$I$28,MATCH(A11,Participantes!$A$4:$A$28,0)),""))</f>
        <v/>
      </c>
      <c r="F11" s="5" t="str">
        <f aca="false">IF(OR(A11="",B11=""),"",IF(C11&lt;&gt;D11,"Revisar: la situación no es de su formulario",IF(COUNTIFS($A$4:$A11,A11,$B$4:$B11,B11)&gt;1,"Revisar: repetida","OK")))</f>
        <v/>
      </c>
      <c r="G11" s="8"/>
    </row>
    <row r="12" customFormat="false" ht="15" hidden="false" customHeight="false" outlineLevel="0" collapsed="false">
      <c r="A12" s="7"/>
      <c r="B12" s="7"/>
      <c r="C12" s="6" t="str">
        <f aca="false">IF(A12="","",IFERROR(INDEX(Participantes!$B$4:$B$28,MATCH(A12,Participantes!$A$4:$A$28,0)),"Código no válido"))</f>
        <v/>
      </c>
      <c r="D12" s="6" t="str">
        <f aca="false">IF(B12="","",IFERROR(INDEX(Situaciones!$B$4:$B$59,MATCH(B12,Situaciones!$A$4:$A$59,0)),"Situación no válida"))</f>
        <v/>
      </c>
      <c r="E12" s="6" t="str">
        <f aca="false">IF(A12="","",IFERROR(INDEX(Participantes!$I$4:$I$28,MATCH(A12,Participantes!$A$4:$A$28,0)),""))</f>
        <v/>
      </c>
      <c r="F12" s="5" t="str">
        <f aca="false">IF(OR(A12="",B12=""),"",IF(C12&lt;&gt;D12,"Revisar: la situación no es de su formulario",IF(COUNTIFS($A$4:$A12,A12,$B$4:$B12,B12)&gt;1,"Revisar: repetida","OK")))</f>
        <v/>
      </c>
      <c r="G12" s="8"/>
    </row>
    <row r="13" customFormat="false" ht="15" hidden="false" customHeight="false" outlineLevel="0" collapsed="false">
      <c r="A13" s="7"/>
      <c r="B13" s="7"/>
      <c r="C13" s="6" t="str">
        <f aca="false">IF(A13="","",IFERROR(INDEX(Participantes!$B$4:$B$28,MATCH(A13,Participantes!$A$4:$A$28,0)),"Código no válido"))</f>
        <v/>
      </c>
      <c r="D13" s="6" t="str">
        <f aca="false">IF(B13="","",IFERROR(INDEX(Situaciones!$B$4:$B$59,MATCH(B13,Situaciones!$A$4:$A$59,0)),"Situación no válida"))</f>
        <v/>
      </c>
      <c r="E13" s="6" t="str">
        <f aca="false">IF(A13="","",IFERROR(INDEX(Participantes!$I$4:$I$28,MATCH(A13,Participantes!$A$4:$A$28,0)),""))</f>
        <v/>
      </c>
      <c r="F13" s="5" t="str">
        <f aca="false">IF(OR(A13="",B13=""),"",IF(C13&lt;&gt;D13,"Revisar: la situación no es de su formulario",IF(COUNTIFS($A$4:$A13,A13,$B$4:$B13,B13)&gt;1,"Revisar: repetida","OK")))</f>
        <v/>
      </c>
      <c r="G13" s="8"/>
    </row>
    <row r="14" customFormat="false" ht="15" hidden="false" customHeight="false" outlineLevel="0" collapsed="false">
      <c r="A14" s="7"/>
      <c r="B14" s="7"/>
      <c r="C14" s="6" t="str">
        <f aca="false">IF(A14="","",IFERROR(INDEX(Participantes!$B$4:$B$28,MATCH(A14,Participantes!$A$4:$A$28,0)),"Código no válido"))</f>
        <v/>
      </c>
      <c r="D14" s="6" t="str">
        <f aca="false">IF(B14="","",IFERROR(INDEX(Situaciones!$B$4:$B$59,MATCH(B14,Situaciones!$A$4:$A$59,0)),"Situación no válida"))</f>
        <v/>
      </c>
      <c r="E14" s="6" t="str">
        <f aca="false">IF(A14="","",IFERROR(INDEX(Participantes!$I$4:$I$28,MATCH(A14,Participantes!$A$4:$A$28,0)),""))</f>
        <v/>
      </c>
      <c r="F14" s="5" t="str">
        <f aca="false">IF(OR(A14="",B14=""),"",IF(C14&lt;&gt;D14,"Revisar: la situación no es de su formulario",IF(COUNTIFS($A$4:$A14,A14,$B$4:$B14,B14)&gt;1,"Revisar: repetida","OK")))</f>
        <v/>
      </c>
      <c r="G14" s="8"/>
    </row>
    <row r="15" customFormat="false" ht="15" hidden="false" customHeight="false" outlineLevel="0" collapsed="false">
      <c r="A15" s="7"/>
      <c r="B15" s="7"/>
      <c r="C15" s="6" t="str">
        <f aca="false">IF(A15="","",IFERROR(INDEX(Participantes!$B$4:$B$28,MATCH(A15,Participantes!$A$4:$A$28,0)),"Código no válido"))</f>
        <v/>
      </c>
      <c r="D15" s="6" t="str">
        <f aca="false">IF(B15="","",IFERROR(INDEX(Situaciones!$B$4:$B$59,MATCH(B15,Situaciones!$A$4:$A$59,0)),"Situación no válida"))</f>
        <v/>
      </c>
      <c r="E15" s="6" t="str">
        <f aca="false">IF(A15="","",IFERROR(INDEX(Participantes!$I$4:$I$28,MATCH(A15,Participantes!$A$4:$A$28,0)),""))</f>
        <v/>
      </c>
      <c r="F15" s="5" t="str">
        <f aca="false">IF(OR(A15="",B15=""),"",IF(C15&lt;&gt;D15,"Revisar: la situación no es de su formulario",IF(COUNTIFS($A$4:$A15,A15,$B$4:$B15,B15)&gt;1,"Revisar: repetida","OK")))</f>
        <v/>
      </c>
      <c r="G15" s="8"/>
    </row>
    <row r="16" customFormat="false" ht="15" hidden="false" customHeight="false" outlineLevel="0" collapsed="false">
      <c r="A16" s="7"/>
      <c r="B16" s="7"/>
      <c r="C16" s="6" t="str">
        <f aca="false">IF(A16="","",IFERROR(INDEX(Participantes!$B$4:$B$28,MATCH(A16,Participantes!$A$4:$A$28,0)),"Código no válido"))</f>
        <v/>
      </c>
      <c r="D16" s="6" t="str">
        <f aca="false">IF(B16="","",IFERROR(INDEX(Situaciones!$B$4:$B$59,MATCH(B16,Situaciones!$A$4:$A$59,0)),"Situación no válida"))</f>
        <v/>
      </c>
      <c r="E16" s="6" t="str">
        <f aca="false">IF(A16="","",IFERROR(INDEX(Participantes!$I$4:$I$28,MATCH(A16,Participantes!$A$4:$A$28,0)),""))</f>
        <v/>
      </c>
      <c r="F16" s="5" t="str">
        <f aca="false">IF(OR(A16="",B16=""),"",IF(C16&lt;&gt;D16,"Revisar: la situación no es de su formulario",IF(COUNTIFS($A$4:$A16,A16,$B$4:$B16,B16)&gt;1,"Revisar: repetida","OK")))</f>
        <v/>
      </c>
      <c r="G16" s="8"/>
    </row>
    <row r="17" customFormat="false" ht="15" hidden="false" customHeight="false" outlineLevel="0" collapsed="false">
      <c r="A17" s="7"/>
      <c r="B17" s="7"/>
      <c r="C17" s="6" t="str">
        <f aca="false">IF(A17="","",IFERROR(INDEX(Participantes!$B$4:$B$28,MATCH(A17,Participantes!$A$4:$A$28,0)),"Código no válido"))</f>
        <v/>
      </c>
      <c r="D17" s="6" t="str">
        <f aca="false">IF(B17="","",IFERROR(INDEX(Situaciones!$B$4:$B$59,MATCH(B17,Situaciones!$A$4:$A$59,0)),"Situación no válida"))</f>
        <v/>
      </c>
      <c r="E17" s="6" t="str">
        <f aca="false">IF(A17="","",IFERROR(INDEX(Participantes!$I$4:$I$28,MATCH(A17,Participantes!$A$4:$A$28,0)),""))</f>
        <v/>
      </c>
      <c r="F17" s="5" t="str">
        <f aca="false">IF(OR(A17="",B17=""),"",IF(C17&lt;&gt;D17,"Revisar: la situación no es de su formulario",IF(COUNTIFS($A$4:$A17,A17,$B$4:$B17,B17)&gt;1,"Revisar: repetida","OK")))</f>
        <v/>
      </c>
      <c r="G17" s="8"/>
    </row>
    <row r="18" customFormat="false" ht="15" hidden="false" customHeight="false" outlineLevel="0" collapsed="false">
      <c r="A18" s="7"/>
      <c r="B18" s="7"/>
      <c r="C18" s="6" t="str">
        <f aca="false">IF(A18="","",IFERROR(INDEX(Participantes!$B$4:$B$28,MATCH(A18,Participantes!$A$4:$A$28,0)),"Código no válido"))</f>
        <v/>
      </c>
      <c r="D18" s="6" t="str">
        <f aca="false">IF(B18="","",IFERROR(INDEX(Situaciones!$B$4:$B$59,MATCH(B18,Situaciones!$A$4:$A$59,0)),"Situación no válida"))</f>
        <v/>
      </c>
      <c r="E18" s="6" t="str">
        <f aca="false">IF(A18="","",IFERROR(INDEX(Participantes!$I$4:$I$28,MATCH(A18,Participantes!$A$4:$A$28,0)),""))</f>
        <v/>
      </c>
      <c r="F18" s="5" t="str">
        <f aca="false">IF(OR(A18="",B18=""),"",IF(C18&lt;&gt;D18,"Revisar: la situación no es de su formulario",IF(COUNTIFS($A$4:$A18,A18,$B$4:$B18,B18)&gt;1,"Revisar: repetida","OK")))</f>
        <v/>
      </c>
      <c r="G18" s="8"/>
    </row>
    <row r="19" customFormat="false" ht="15" hidden="false" customHeight="false" outlineLevel="0" collapsed="false">
      <c r="A19" s="7"/>
      <c r="B19" s="7"/>
      <c r="C19" s="6" t="str">
        <f aca="false">IF(A19="","",IFERROR(INDEX(Participantes!$B$4:$B$28,MATCH(A19,Participantes!$A$4:$A$28,0)),"Código no válido"))</f>
        <v/>
      </c>
      <c r="D19" s="6" t="str">
        <f aca="false">IF(B19="","",IFERROR(INDEX(Situaciones!$B$4:$B$59,MATCH(B19,Situaciones!$A$4:$A$59,0)),"Situación no válida"))</f>
        <v/>
      </c>
      <c r="E19" s="6" t="str">
        <f aca="false">IF(A19="","",IFERROR(INDEX(Participantes!$I$4:$I$28,MATCH(A19,Participantes!$A$4:$A$28,0)),""))</f>
        <v/>
      </c>
      <c r="F19" s="5" t="str">
        <f aca="false">IF(OR(A19="",B19=""),"",IF(C19&lt;&gt;D19,"Revisar: la situación no es de su formulario",IF(COUNTIFS($A$4:$A19,A19,$B$4:$B19,B19)&gt;1,"Revisar: repetida","OK")))</f>
        <v/>
      </c>
      <c r="G19" s="8"/>
    </row>
    <row r="20" customFormat="false" ht="15" hidden="false" customHeight="false" outlineLevel="0" collapsed="false">
      <c r="A20" s="7"/>
      <c r="B20" s="7"/>
      <c r="C20" s="6" t="str">
        <f aca="false">IF(A20="","",IFERROR(INDEX(Participantes!$B$4:$B$28,MATCH(A20,Participantes!$A$4:$A$28,0)),"Código no válido"))</f>
        <v/>
      </c>
      <c r="D20" s="6" t="str">
        <f aca="false">IF(B20="","",IFERROR(INDEX(Situaciones!$B$4:$B$59,MATCH(B20,Situaciones!$A$4:$A$59,0)),"Situación no válida"))</f>
        <v/>
      </c>
      <c r="E20" s="6" t="str">
        <f aca="false">IF(A20="","",IFERROR(INDEX(Participantes!$I$4:$I$28,MATCH(A20,Participantes!$A$4:$A$28,0)),""))</f>
        <v/>
      </c>
      <c r="F20" s="5" t="str">
        <f aca="false">IF(OR(A20="",B20=""),"",IF(C20&lt;&gt;D20,"Revisar: la situación no es de su formulario",IF(COUNTIFS($A$4:$A20,A20,$B$4:$B20,B20)&gt;1,"Revisar: repetida","OK")))</f>
        <v/>
      </c>
      <c r="G20" s="8"/>
    </row>
    <row r="21" customFormat="false" ht="15" hidden="false" customHeight="false" outlineLevel="0" collapsed="false">
      <c r="A21" s="7"/>
      <c r="B21" s="7"/>
      <c r="C21" s="6" t="str">
        <f aca="false">IF(A21="","",IFERROR(INDEX(Participantes!$B$4:$B$28,MATCH(A21,Participantes!$A$4:$A$28,0)),"Código no válido"))</f>
        <v/>
      </c>
      <c r="D21" s="6" t="str">
        <f aca="false">IF(B21="","",IFERROR(INDEX(Situaciones!$B$4:$B$59,MATCH(B21,Situaciones!$A$4:$A$59,0)),"Situación no válida"))</f>
        <v/>
      </c>
      <c r="E21" s="6" t="str">
        <f aca="false">IF(A21="","",IFERROR(INDEX(Participantes!$I$4:$I$28,MATCH(A21,Participantes!$A$4:$A$28,0)),""))</f>
        <v/>
      </c>
      <c r="F21" s="5" t="str">
        <f aca="false">IF(OR(A21="",B21=""),"",IF(C21&lt;&gt;D21,"Revisar: la situación no es de su formulario",IF(COUNTIFS($A$4:$A21,A21,$B$4:$B21,B21)&gt;1,"Revisar: repetida","OK")))</f>
        <v/>
      </c>
      <c r="G21" s="8"/>
    </row>
    <row r="22" customFormat="false" ht="15" hidden="false" customHeight="false" outlineLevel="0" collapsed="false">
      <c r="A22" s="7"/>
      <c r="B22" s="7"/>
      <c r="C22" s="6" t="str">
        <f aca="false">IF(A22="","",IFERROR(INDEX(Participantes!$B$4:$B$28,MATCH(A22,Participantes!$A$4:$A$28,0)),"Código no válido"))</f>
        <v/>
      </c>
      <c r="D22" s="6" t="str">
        <f aca="false">IF(B22="","",IFERROR(INDEX(Situaciones!$B$4:$B$59,MATCH(B22,Situaciones!$A$4:$A$59,0)),"Situación no válida"))</f>
        <v/>
      </c>
      <c r="E22" s="6" t="str">
        <f aca="false">IF(A22="","",IFERROR(INDEX(Participantes!$I$4:$I$28,MATCH(A22,Participantes!$A$4:$A$28,0)),""))</f>
        <v/>
      </c>
      <c r="F22" s="5" t="str">
        <f aca="false">IF(OR(A22="",B22=""),"",IF(C22&lt;&gt;D22,"Revisar: la situación no es de su formulario",IF(COUNTIFS($A$4:$A22,A22,$B$4:$B22,B22)&gt;1,"Revisar: repetida","OK")))</f>
        <v/>
      </c>
      <c r="G22" s="8"/>
    </row>
    <row r="23" customFormat="false" ht="15" hidden="false" customHeight="false" outlineLevel="0" collapsed="false">
      <c r="A23" s="7"/>
      <c r="B23" s="7"/>
      <c r="C23" s="6" t="str">
        <f aca="false">IF(A23="","",IFERROR(INDEX(Participantes!$B$4:$B$28,MATCH(A23,Participantes!$A$4:$A$28,0)),"Código no válido"))</f>
        <v/>
      </c>
      <c r="D23" s="6" t="str">
        <f aca="false">IF(B23="","",IFERROR(INDEX(Situaciones!$B$4:$B$59,MATCH(B23,Situaciones!$A$4:$A$59,0)),"Situación no válida"))</f>
        <v/>
      </c>
      <c r="E23" s="6" t="str">
        <f aca="false">IF(A23="","",IFERROR(INDEX(Participantes!$I$4:$I$28,MATCH(A23,Participantes!$A$4:$A$28,0)),""))</f>
        <v/>
      </c>
      <c r="F23" s="5" t="str">
        <f aca="false">IF(OR(A23="",B23=""),"",IF(C23&lt;&gt;D23,"Revisar: la situación no es de su formulario",IF(COUNTIFS($A$4:$A23,A23,$B$4:$B23,B23)&gt;1,"Revisar: repetida","OK")))</f>
        <v/>
      </c>
      <c r="G23" s="8"/>
    </row>
    <row r="24" customFormat="false" ht="15" hidden="false" customHeight="false" outlineLevel="0" collapsed="false">
      <c r="A24" s="7"/>
      <c r="B24" s="7"/>
      <c r="C24" s="6" t="str">
        <f aca="false">IF(A24="","",IFERROR(INDEX(Participantes!$B$4:$B$28,MATCH(A24,Participantes!$A$4:$A$28,0)),"Código no válido"))</f>
        <v/>
      </c>
      <c r="D24" s="6" t="str">
        <f aca="false">IF(B24="","",IFERROR(INDEX(Situaciones!$B$4:$B$59,MATCH(B24,Situaciones!$A$4:$A$59,0)),"Situación no válida"))</f>
        <v/>
      </c>
      <c r="E24" s="6" t="str">
        <f aca="false">IF(A24="","",IFERROR(INDEX(Participantes!$I$4:$I$28,MATCH(A24,Participantes!$A$4:$A$28,0)),""))</f>
        <v/>
      </c>
      <c r="F24" s="5" t="str">
        <f aca="false">IF(OR(A24="",B24=""),"",IF(C24&lt;&gt;D24,"Revisar: la situación no es de su formulario",IF(COUNTIFS($A$4:$A24,A24,$B$4:$B24,B24)&gt;1,"Revisar: repetida","OK")))</f>
        <v/>
      </c>
      <c r="G24" s="8"/>
    </row>
    <row r="25" customFormat="false" ht="15" hidden="false" customHeight="false" outlineLevel="0" collapsed="false">
      <c r="A25" s="7"/>
      <c r="B25" s="7"/>
      <c r="C25" s="6" t="str">
        <f aca="false">IF(A25="","",IFERROR(INDEX(Participantes!$B$4:$B$28,MATCH(A25,Participantes!$A$4:$A$28,0)),"Código no válido"))</f>
        <v/>
      </c>
      <c r="D25" s="6" t="str">
        <f aca="false">IF(B25="","",IFERROR(INDEX(Situaciones!$B$4:$B$59,MATCH(B25,Situaciones!$A$4:$A$59,0)),"Situación no válida"))</f>
        <v/>
      </c>
      <c r="E25" s="6" t="str">
        <f aca="false">IF(A25="","",IFERROR(INDEX(Participantes!$I$4:$I$28,MATCH(A25,Participantes!$A$4:$A$28,0)),""))</f>
        <v/>
      </c>
      <c r="F25" s="5" t="str">
        <f aca="false">IF(OR(A25="",B25=""),"",IF(C25&lt;&gt;D25,"Revisar: la situación no es de su formulario",IF(COUNTIFS($A$4:$A25,A25,$B$4:$B25,B25)&gt;1,"Revisar: repetida","OK")))</f>
        <v/>
      </c>
      <c r="G25" s="8"/>
    </row>
    <row r="26" customFormat="false" ht="15" hidden="false" customHeight="false" outlineLevel="0" collapsed="false">
      <c r="A26" s="7"/>
      <c r="B26" s="7"/>
      <c r="C26" s="6" t="str">
        <f aca="false">IF(A26="","",IFERROR(INDEX(Participantes!$B$4:$B$28,MATCH(A26,Participantes!$A$4:$A$28,0)),"Código no válido"))</f>
        <v/>
      </c>
      <c r="D26" s="6" t="str">
        <f aca="false">IF(B26="","",IFERROR(INDEX(Situaciones!$B$4:$B$59,MATCH(B26,Situaciones!$A$4:$A$59,0)),"Situación no válida"))</f>
        <v/>
      </c>
      <c r="E26" s="6" t="str">
        <f aca="false">IF(A26="","",IFERROR(INDEX(Participantes!$I$4:$I$28,MATCH(A26,Participantes!$A$4:$A$28,0)),""))</f>
        <v/>
      </c>
      <c r="F26" s="5" t="str">
        <f aca="false">IF(OR(A26="",B26=""),"",IF(C26&lt;&gt;D26,"Revisar: la situación no es de su formulario",IF(COUNTIFS($A$4:$A26,A26,$B$4:$B26,B26)&gt;1,"Revisar: repetida","OK")))</f>
        <v/>
      </c>
      <c r="G26" s="8"/>
    </row>
    <row r="27" customFormat="false" ht="15" hidden="false" customHeight="false" outlineLevel="0" collapsed="false">
      <c r="A27" s="7"/>
      <c r="B27" s="7"/>
      <c r="C27" s="6" t="str">
        <f aca="false">IF(A27="","",IFERROR(INDEX(Participantes!$B$4:$B$28,MATCH(A27,Participantes!$A$4:$A$28,0)),"Código no válido"))</f>
        <v/>
      </c>
      <c r="D27" s="6" t="str">
        <f aca="false">IF(B27="","",IFERROR(INDEX(Situaciones!$B$4:$B$59,MATCH(B27,Situaciones!$A$4:$A$59,0)),"Situación no válida"))</f>
        <v/>
      </c>
      <c r="E27" s="6" t="str">
        <f aca="false">IF(A27="","",IFERROR(INDEX(Participantes!$I$4:$I$28,MATCH(A27,Participantes!$A$4:$A$28,0)),""))</f>
        <v/>
      </c>
      <c r="F27" s="5" t="str">
        <f aca="false">IF(OR(A27="",B27=""),"",IF(C27&lt;&gt;D27,"Revisar: la situación no es de su formulario",IF(COUNTIFS($A$4:$A27,A27,$B$4:$B27,B27)&gt;1,"Revisar: repetida","OK")))</f>
        <v/>
      </c>
      <c r="G27" s="8"/>
    </row>
    <row r="28" customFormat="false" ht="15" hidden="false" customHeight="false" outlineLevel="0" collapsed="false">
      <c r="A28" s="7"/>
      <c r="B28" s="7"/>
      <c r="C28" s="6" t="str">
        <f aca="false">IF(A28="","",IFERROR(INDEX(Participantes!$B$4:$B$28,MATCH(A28,Participantes!$A$4:$A$28,0)),"Código no válido"))</f>
        <v/>
      </c>
      <c r="D28" s="6" t="str">
        <f aca="false">IF(B28="","",IFERROR(INDEX(Situaciones!$B$4:$B$59,MATCH(B28,Situaciones!$A$4:$A$59,0)),"Situación no válida"))</f>
        <v/>
      </c>
      <c r="E28" s="6" t="str">
        <f aca="false">IF(A28="","",IFERROR(INDEX(Participantes!$I$4:$I$28,MATCH(A28,Participantes!$A$4:$A$28,0)),""))</f>
        <v/>
      </c>
      <c r="F28" s="5" t="str">
        <f aca="false">IF(OR(A28="",B28=""),"",IF(C28&lt;&gt;D28,"Revisar: la situación no es de su formulario",IF(COUNTIFS($A$4:$A28,A28,$B$4:$B28,B28)&gt;1,"Revisar: repetida","OK")))</f>
        <v/>
      </c>
      <c r="G28" s="8"/>
    </row>
    <row r="29" customFormat="false" ht="15" hidden="false" customHeight="false" outlineLevel="0" collapsed="false">
      <c r="A29" s="7"/>
      <c r="B29" s="7"/>
      <c r="C29" s="6" t="str">
        <f aca="false">IF(A29="","",IFERROR(INDEX(Participantes!$B$4:$B$28,MATCH(A29,Participantes!$A$4:$A$28,0)),"Código no válido"))</f>
        <v/>
      </c>
      <c r="D29" s="6" t="str">
        <f aca="false">IF(B29="","",IFERROR(INDEX(Situaciones!$B$4:$B$59,MATCH(B29,Situaciones!$A$4:$A$59,0)),"Situación no válida"))</f>
        <v/>
      </c>
      <c r="E29" s="6" t="str">
        <f aca="false">IF(A29="","",IFERROR(INDEX(Participantes!$I$4:$I$28,MATCH(A29,Participantes!$A$4:$A$28,0)),""))</f>
        <v/>
      </c>
      <c r="F29" s="5" t="str">
        <f aca="false">IF(OR(A29="",B29=""),"",IF(C29&lt;&gt;D29,"Revisar: la situación no es de su formulario",IF(COUNTIFS($A$4:$A29,A29,$B$4:$B29,B29)&gt;1,"Revisar: repetida","OK")))</f>
        <v/>
      </c>
      <c r="G29" s="8"/>
    </row>
    <row r="30" customFormat="false" ht="15" hidden="false" customHeight="false" outlineLevel="0" collapsed="false">
      <c r="A30" s="7"/>
      <c r="B30" s="7"/>
      <c r="C30" s="6" t="str">
        <f aca="false">IF(A30="","",IFERROR(INDEX(Participantes!$B$4:$B$28,MATCH(A30,Participantes!$A$4:$A$28,0)),"Código no válido"))</f>
        <v/>
      </c>
      <c r="D30" s="6" t="str">
        <f aca="false">IF(B30="","",IFERROR(INDEX(Situaciones!$B$4:$B$59,MATCH(B30,Situaciones!$A$4:$A$59,0)),"Situación no válida"))</f>
        <v/>
      </c>
      <c r="E30" s="6" t="str">
        <f aca="false">IF(A30="","",IFERROR(INDEX(Participantes!$I$4:$I$28,MATCH(A30,Participantes!$A$4:$A$28,0)),""))</f>
        <v/>
      </c>
      <c r="F30" s="5" t="str">
        <f aca="false">IF(OR(A30="",B30=""),"",IF(C30&lt;&gt;D30,"Revisar: la situación no es de su formulario",IF(COUNTIFS($A$4:$A30,A30,$B$4:$B30,B30)&gt;1,"Revisar: repetida","OK")))</f>
        <v/>
      </c>
      <c r="G30" s="8"/>
    </row>
    <row r="31" customFormat="false" ht="15" hidden="false" customHeight="false" outlineLevel="0" collapsed="false">
      <c r="A31" s="7"/>
      <c r="B31" s="7"/>
      <c r="C31" s="6" t="str">
        <f aca="false">IF(A31="","",IFERROR(INDEX(Participantes!$B$4:$B$28,MATCH(A31,Participantes!$A$4:$A$28,0)),"Código no válido"))</f>
        <v/>
      </c>
      <c r="D31" s="6" t="str">
        <f aca="false">IF(B31="","",IFERROR(INDEX(Situaciones!$B$4:$B$59,MATCH(B31,Situaciones!$A$4:$A$59,0)),"Situación no válida"))</f>
        <v/>
      </c>
      <c r="E31" s="6" t="str">
        <f aca="false">IF(A31="","",IFERROR(INDEX(Participantes!$I$4:$I$28,MATCH(A31,Participantes!$A$4:$A$28,0)),""))</f>
        <v/>
      </c>
      <c r="F31" s="5" t="str">
        <f aca="false">IF(OR(A31="",B31=""),"",IF(C31&lt;&gt;D31,"Revisar: la situación no es de su formulario",IF(COUNTIFS($A$4:$A31,A31,$B$4:$B31,B31)&gt;1,"Revisar: repetida","OK")))</f>
        <v/>
      </c>
      <c r="G31" s="8"/>
    </row>
    <row r="32" customFormat="false" ht="15" hidden="false" customHeight="false" outlineLevel="0" collapsed="false">
      <c r="A32" s="7"/>
      <c r="B32" s="7"/>
      <c r="C32" s="6" t="str">
        <f aca="false">IF(A32="","",IFERROR(INDEX(Participantes!$B$4:$B$28,MATCH(A32,Participantes!$A$4:$A$28,0)),"Código no válido"))</f>
        <v/>
      </c>
      <c r="D32" s="6" t="str">
        <f aca="false">IF(B32="","",IFERROR(INDEX(Situaciones!$B$4:$B$59,MATCH(B32,Situaciones!$A$4:$A$59,0)),"Situación no válida"))</f>
        <v/>
      </c>
      <c r="E32" s="6" t="str">
        <f aca="false">IF(A32="","",IFERROR(INDEX(Participantes!$I$4:$I$28,MATCH(A32,Participantes!$A$4:$A$28,0)),""))</f>
        <v/>
      </c>
      <c r="F32" s="5" t="str">
        <f aca="false">IF(OR(A32="",B32=""),"",IF(C32&lt;&gt;D32,"Revisar: la situación no es de su formulario",IF(COUNTIFS($A$4:$A32,A32,$B$4:$B32,B32)&gt;1,"Revisar: repetida","OK")))</f>
        <v/>
      </c>
      <c r="G32" s="8"/>
    </row>
    <row r="33" customFormat="false" ht="15" hidden="false" customHeight="false" outlineLevel="0" collapsed="false">
      <c r="A33" s="7"/>
      <c r="B33" s="7"/>
      <c r="C33" s="6" t="str">
        <f aca="false">IF(A33="","",IFERROR(INDEX(Participantes!$B$4:$B$28,MATCH(A33,Participantes!$A$4:$A$28,0)),"Código no válido"))</f>
        <v/>
      </c>
      <c r="D33" s="6" t="str">
        <f aca="false">IF(B33="","",IFERROR(INDEX(Situaciones!$B$4:$B$59,MATCH(B33,Situaciones!$A$4:$A$59,0)),"Situación no válida"))</f>
        <v/>
      </c>
      <c r="E33" s="6" t="str">
        <f aca="false">IF(A33="","",IFERROR(INDEX(Participantes!$I$4:$I$28,MATCH(A33,Participantes!$A$4:$A$28,0)),""))</f>
        <v/>
      </c>
      <c r="F33" s="5" t="str">
        <f aca="false">IF(OR(A33="",B33=""),"",IF(C33&lt;&gt;D33,"Revisar: la situación no es de su formulario",IF(COUNTIFS($A$4:$A33,A33,$B$4:$B33,B33)&gt;1,"Revisar: repetida","OK")))</f>
        <v/>
      </c>
      <c r="G33" s="8"/>
    </row>
    <row r="34" customFormat="false" ht="15" hidden="false" customHeight="false" outlineLevel="0" collapsed="false">
      <c r="A34" s="7"/>
      <c r="B34" s="7"/>
      <c r="C34" s="6" t="str">
        <f aca="false">IF(A34="","",IFERROR(INDEX(Participantes!$B$4:$B$28,MATCH(A34,Participantes!$A$4:$A$28,0)),"Código no válido"))</f>
        <v/>
      </c>
      <c r="D34" s="6" t="str">
        <f aca="false">IF(B34="","",IFERROR(INDEX(Situaciones!$B$4:$B$59,MATCH(B34,Situaciones!$A$4:$A$59,0)),"Situación no válida"))</f>
        <v/>
      </c>
      <c r="E34" s="6" t="str">
        <f aca="false">IF(A34="","",IFERROR(INDEX(Participantes!$I$4:$I$28,MATCH(A34,Participantes!$A$4:$A$28,0)),""))</f>
        <v/>
      </c>
      <c r="F34" s="5" t="str">
        <f aca="false">IF(OR(A34="",B34=""),"",IF(C34&lt;&gt;D34,"Revisar: la situación no es de su formulario",IF(COUNTIFS($A$4:$A34,A34,$B$4:$B34,B34)&gt;1,"Revisar: repetida","OK")))</f>
        <v/>
      </c>
      <c r="G34" s="8"/>
    </row>
    <row r="35" customFormat="false" ht="15" hidden="false" customHeight="false" outlineLevel="0" collapsed="false">
      <c r="A35" s="7"/>
      <c r="B35" s="7"/>
      <c r="C35" s="6" t="str">
        <f aca="false">IF(A35="","",IFERROR(INDEX(Participantes!$B$4:$B$28,MATCH(A35,Participantes!$A$4:$A$28,0)),"Código no válido"))</f>
        <v/>
      </c>
      <c r="D35" s="6" t="str">
        <f aca="false">IF(B35="","",IFERROR(INDEX(Situaciones!$B$4:$B$59,MATCH(B35,Situaciones!$A$4:$A$59,0)),"Situación no válida"))</f>
        <v/>
      </c>
      <c r="E35" s="6" t="str">
        <f aca="false">IF(A35="","",IFERROR(INDEX(Participantes!$I$4:$I$28,MATCH(A35,Participantes!$A$4:$A$28,0)),""))</f>
        <v/>
      </c>
      <c r="F35" s="5" t="str">
        <f aca="false">IF(OR(A35="",B35=""),"",IF(C35&lt;&gt;D35,"Revisar: la situación no es de su formulario",IF(COUNTIFS($A$4:$A35,A35,$B$4:$B35,B35)&gt;1,"Revisar: repetida","OK")))</f>
        <v/>
      </c>
      <c r="G35" s="8"/>
    </row>
    <row r="36" customFormat="false" ht="15" hidden="false" customHeight="false" outlineLevel="0" collapsed="false">
      <c r="A36" s="7"/>
      <c r="B36" s="7"/>
      <c r="C36" s="6" t="str">
        <f aca="false">IF(A36="","",IFERROR(INDEX(Participantes!$B$4:$B$28,MATCH(A36,Participantes!$A$4:$A$28,0)),"Código no válido"))</f>
        <v/>
      </c>
      <c r="D36" s="6" t="str">
        <f aca="false">IF(B36="","",IFERROR(INDEX(Situaciones!$B$4:$B$59,MATCH(B36,Situaciones!$A$4:$A$59,0)),"Situación no válida"))</f>
        <v/>
      </c>
      <c r="E36" s="6" t="str">
        <f aca="false">IF(A36="","",IFERROR(INDEX(Participantes!$I$4:$I$28,MATCH(A36,Participantes!$A$4:$A$28,0)),""))</f>
        <v/>
      </c>
      <c r="F36" s="5" t="str">
        <f aca="false">IF(OR(A36="",B36=""),"",IF(C36&lt;&gt;D36,"Revisar: la situación no es de su formulario",IF(COUNTIFS($A$4:$A36,A36,$B$4:$B36,B36)&gt;1,"Revisar: repetida","OK")))</f>
        <v/>
      </c>
      <c r="G36" s="8"/>
    </row>
    <row r="37" customFormat="false" ht="15" hidden="false" customHeight="false" outlineLevel="0" collapsed="false">
      <c r="A37" s="7"/>
      <c r="B37" s="7"/>
      <c r="C37" s="6" t="str">
        <f aca="false">IF(A37="","",IFERROR(INDEX(Participantes!$B$4:$B$28,MATCH(A37,Participantes!$A$4:$A$28,0)),"Código no válido"))</f>
        <v/>
      </c>
      <c r="D37" s="6" t="str">
        <f aca="false">IF(B37="","",IFERROR(INDEX(Situaciones!$B$4:$B$59,MATCH(B37,Situaciones!$A$4:$A$59,0)),"Situación no válida"))</f>
        <v/>
      </c>
      <c r="E37" s="6" t="str">
        <f aca="false">IF(A37="","",IFERROR(INDEX(Participantes!$I$4:$I$28,MATCH(A37,Participantes!$A$4:$A$28,0)),""))</f>
        <v/>
      </c>
      <c r="F37" s="5" t="str">
        <f aca="false">IF(OR(A37="",B37=""),"",IF(C37&lt;&gt;D37,"Revisar: la situación no es de su formulario",IF(COUNTIFS($A$4:$A37,A37,$B$4:$B37,B37)&gt;1,"Revisar: repetida","OK")))</f>
        <v/>
      </c>
      <c r="G37" s="8"/>
    </row>
    <row r="38" customFormat="false" ht="15" hidden="false" customHeight="false" outlineLevel="0" collapsed="false">
      <c r="A38" s="7"/>
      <c r="B38" s="7"/>
      <c r="C38" s="6" t="str">
        <f aca="false">IF(A38="","",IFERROR(INDEX(Participantes!$B$4:$B$28,MATCH(A38,Participantes!$A$4:$A$28,0)),"Código no válido"))</f>
        <v/>
      </c>
      <c r="D38" s="6" t="str">
        <f aca="false">IF(B38="","",IFERROR(INDEX(Situaciones!$B$4:$B$59,MATCH(B38,Situaciones!$A$4:$A$59,0)),"Situación no válida"))</f>
        <v/>
      </c>
      <c r="E38" s="6" t="str">
        <f aca="false">IF(A38="","",IFERROR(INDEX(Participantes!$I$4:$I$28,MATCH(A38,Participantes!$A$4:$A$28,0)),""))</f>
        <v/>
      </c>
      <c r="F38" s="5" t="str">
        <f aca="false">IF(OR(A38="",B38=""),"",IF(C38&lt;&gt;D38,"Revisar: la situación no es de su formulario",IF(COUNTIFS($A$4:$A38,A38,$B$4:$B38,B38)&gt;1,"Revisar: repetida","OK")))</f>
        <v/>
      </c>
      <c r="G38" s="8"/>
    </row>
    <row r="39" customFormat="false" ht="15" hidden="false" customHeight="false" outlineLevel="0" collapsed="false">
      <c r="A39" s="7"/>
      <c r="B39" s="7"/>
      <c r="C39" s="6" t="str">
        <f aca="false">IF(A39="","",IFERROR(INDEX(Participantes!$B$4:$B$28,MATCH(A39,Participantes!$A$4:$A$28,0)),"Código no válido"))</f>
        <v/>
      </c>
      <c r="D39" s="6" t="str">
        <f aca="false">IF(B39="","",IFERROR(INDEX(Situaciones!$B$4:$B$59,MATCH(B39,Situaciones!$A$4:$A$59,0)),"Situación no válida"))</f>
        <v/>
      </c>
      <c r="E39" s="6" t="str">
        <f aca="false">IF(A39="","",IFERROR(INDEX(Participantes!$I$4:$I$28,MATCH(A39,Participantes!$A$4:$A$28,0)),""))</f>
        <v/>
      </c>
      <c r="F39" s="5" t="str">
        <f aca="false">IF(OR(A39="",B39=""),"",IF(C39&lt;&gt;D39,"Revisar: la situación no es de su formulario",IF(COUNTIFS($A$4:$A39,A39,$B$4:$B39,B39)&gt;1,"Revisar: repetida","OK")))</f>
        <v/>
      </c>
      <c r="G39" s="8"/>
    </row>
    <row r="40" customFormat="false" ht="15" hidden="false" customHeight="false" outlineLevel="0" collapsed="false">
      <c r="A40" s="7"/>
      <c r="B40" s="7"/>
      <c r="C40" s="6" t="str">
        <f aca="false">IF(A40="","",IFERROR(INDEX(Participantes!$B$4:$B$28,MATCH(A40,Participantes!$A$4:$A$28,0)),"Código no válido"))</f>
        <v/>
      </c>
      <c r="D40" s="6" t="str">
        <f aca="false">IF(B40="","",IFERROR(INDEX(Situaciones!$B$4:$B$59,MATCH(B40,Situaciones!$A$4:$A$59,0)),"Situación no válida"))</f>
        <v/>
      </c>
      <c r="E40" s="6" t="str">
        <f aca="false">IF(A40="","",IFERROR(INDEX(Participantes!$I$4:$I$28,MATCH(A40,Participantes!$A$4:$A$28,0)),""))</f>
        <v/>
      </c>
      <c r="F40" s="5" t="str">
        <f aca="false">IF(OR(A40="",B40=""),"",IF(C40&lt;&gt;D40,"Revisar: la situación no es de su formulario",IF(COUNTIFS($A$4:$A40,A40,$B$4:$B40,B40)&gt;1,"Revisar: repetida","OK")))</f>
        <v/>
      </c>
      <c r="G40" s="8"/>
    </row>
    <row r="41" customFormat="false" ht="15" hidden="false" customHeight="false" outlineLevel="0" collapsed="false">
      <c r="A41" s="7"/>
      <c r="B41" s="7"/>
      <c r="C41" s="6" t="str">
        <f aca="false">IF(A41="","",IFERROR(INDEX(Participantes!$B$4:$B$28,MATCH(A41,Participantes!$A$4:$A$28,0)),"Código no válido"))</f>
        <v/>
      </c>
      <c r="D41" s="6" t="str">
        <f aca="false">IF(B41="","",IFERROR(INDEX(Situaciones!$B$4:$B$59,MATCH(B41,Situaciones!$A$4:$A$59,0)),"Situación no válida"))</f>
        <v/>
      </c>
      <c r="E41" s="6" t="str">
        <f aca="false">IF(A41="","",IFERROR(INDEX(Participantes!$I$4:$I$28,MATCH(A41,Participantes!$A$4:$A$28,0)),""))</f>
        <v/>
      </c>
      <c r="F41" s="5" t="str">
        <f aca="false">IF(OR(A41="",B41=""),"",IF(C41&lt;&gt;D41,"Revisar: la situación no es de su formulario",IF(COUNTIFS($A$4:$A41,A41,$B$4:$B41,B41)&gt;1,"Revisar: repetida","OK")))</f>
        <v/>
      </c>
      <c r="G41" s="8"/>
    </row>
    <row r="42" customFormat="false" ht="15" hidden="false" customHeight="false" outlineLevel="0" collapsed="false">
      <c r="A42" s="7"/>
      <c r="B42" s="7"/>
      <c r="C42" s="6" t="str">
        <f aca="false">IF(A42="","",IFERROR(INDEX(Participantes!$B$4:$B$28,MATCH(A42,Participantes!$A$4:$A$28,0)),"Código no válido"))</f>
        <v/>
      </c>
      <c r="D42" s="6" t="str">
        <f aca="false">IF(B42="","",IFERROR(INDEX(Situaciones!$B$4:$B$59,MATCH(B42,Situaciones!$A$4:$A$59,0)),"Situación no válida"))</f>
        <v/>
      </c>
      <c r="E42" s="6" t="str">
        <f aca="false">IF(A42="","",IFERROR(INDEX(Participantes!$I$4:$I$28,MATCH(A42,Participantes!$A$4:$A$28,0)),""))</f>
        <v/>
      </c>
      <c r="F42" s="5" t="str">
        <f aca="false">IF(OR(A42="",B42=""),"",IF(C42&lt;&gt;D42,"Revisar: la situación no es de su formulario",IF(COUNTIFS($A$4:$A42,A42,$B$4:$B42,B42)&gt;1,"Revisar: repetida","OK")))</f>
        <v/>
      </c>
      <c r="G42" s="8"/>
    </row>
    <row r="43" customFormat="false" ht="15" hidden="false" customHeight="false" outlineLevel="0" collapsed="false">
      <c r="A43" s="7"/>
      <c r="B43" s="7"/>
      <c r="C43" s="6" t="str">
        <f aca="false">IF(A43="","",IFERROR(INDEX(Participantes!$B$4:$B$28,MATCH(A43,Participantes!$A$4:$A$28,0)),"Código no válido"))</f>
        <v/>
      </c>
      <c r="D43" s="6" t="str">
        <f aca="false">IF(B43="","",IFERROR(INDEX(Situaciones!$B$4:$B$59,MATCH(B43,Situaciones!$A$4:$A$59,0)),"Situación no válida"))</f>
        <v/>
      </c>
      <c r="E43" s="6" t="str">
        <f aca="false">IF(A43="","",IFERROR(INDEX(Participantes!$I$4:$I$28,MATCH(A43,Participantes!$A$4:$A$28,0)),""))</f>
        <v/>
      </c>
      <c r="F43" s="5" t="str">
        <f aca="false">IF(OR(A43="",B43=""),"",IF(C43&lt;&gt;D43,"Revisar: la situación no es de su formulario",IF(COUNTIFS($A$4:$A43,A43,$B$4:$B43,B43)&gt;1,"Revisar: repetida","OK")))</f>
        <v/>
      </c>
      <c r="G43" s="8"/>
    </row>
    <row r="44" customFormat="false" ht="15" hidden="false" customHeight="false" outlineLevel="0" collapsed="false">
      <c r="A44" s="7"/>
      <c r="B44" s="7"/>
      <c r="C44" s="6" t="str">
        <f aca="false">IF(A44="","",IFERROR(INDEX(Participantes!$B$4:$B$28,MATCH(A44,Participantes!$A$4:$A$28,0)),"Código no válido"))</f>
        <v/>
      </c>
      <c r="D44" s="6" t="str">
        <f aca="false">IF(B44="","",IFERROR(INDEX(Situaciones!$B$4:$B$59,MATCH(B44,Situaciones!$A$4:$A$59,0)),"Situación no válida"))</f>
        <v/>
      </c>
      <c r="E44" s="6" t="str">
        <f aca="false">IF(A44="","",IFERROR(INDEX(Participantes!$I$4:$I$28,MATCH(A44,Participantes!$A$4:$A$28,0)),""))</f>
        <v/>
      </c>
      <c r="F44" s="5" t="str">
        <f aca="false">IF(OR(A44="",B44=""),"",IF(C44&lt;&gt;D44,"Revisar: la situación no es de su formulario",IF(COUNTIFS($A$4:$A44,A44,$B$4:$B44,B44)&gt;1,"Revisar: repetida","OK")))</f>
        <v/>
      </c>
      <c r="G44" s="8"/>
    </row>
    <row r="45" customFormat="false" ht="15" hidden="false" customHeight="false" outlineLevel="0" collapsed="false">
      <c r="A45" s="7"/>
      <c r="B45" s="7"/>
      <c r="C45" s="6" t="str">
        <f aca="false">IF(A45="","",IFERROR(INDEX(Participantes!$B$4:$B$28,MATCH(A45,Participantes!$A$4:$A$28,0)),"Código no válido"))</f>
        <v/>
      </c>
      <c r="D45" s="6" t="str">
        <f aca="false">IF(B45="","",IFERROR(INDEX(Situaciones!$B$4:$B$59,MATCH(B45,Situaciones!$A$4:$A$59,0)),"Situación no válida"))</f>
        <v/>
      </c>
      <c r="E45" s="6" t="str">
        <f aca="false">IF(A45="","",IFERROR(INDEX(Participantes!$I$4:$I$28,MATCH(A45,Participantes!$A$4:$A$28,0)),""))</f>
        <v/>
      </c>
      <c r="F45" s="5" t="str">
        <f aca="false">IF(OR(A45="",B45=""),"",IF(C45&lt;&gt;D45,"Revisar: la situación no es de su formulario",IF(COUNTIFS($A$4:$A45,A45,$B$4:$B45,B45)&gt;1,"Revisar: repetida","OK")))</f>
        <v/>
      </c>
      <c r="G45" s="8"/>
    </row>
    <row r="46" customFormat="false" ht="15" hidden="false" customHeight="false" outlineLevel="0" collapsed="false">
      <c r="A46" s="7"/>
      <c r="B46" s="7"/>
      <c r="C46" s="6" t="str">
        <f aca="false">IF(A46="","",IFERROR(INDEX(Participantes!$B$4:$B$28,MATCH(A46,Participantes!$A$4:$A$28,0)),"Código no válido"))</f>
        <v/>
      </c>
      <c r="D46" s="6" t="str">
        <f aca="false">IF(B46="","",IFERROR(INDEX(Situaciones!$B$4:$B$59,MATCH(B46,Situaciones!$A$4:$A$59,0)),"Situación no válida"))</f>
        <v/>
      </c>
      <c r="E46" s="6" t="str">
        <f aca="false">IF(A46="","",IFERROR(INDEX(Participantes!$I$4:$I$28,MATCH(A46,Participantes!$A$4:$A$28,0)),""))</f>
        <v/>
      </c>
      <c r="F46" s="5" t="str">
        <f aca="false">IF(OR(A46="",B46=""),"",IF(C46&lt;&gt;D46,"Revisar: la situación no es de su formulario",IF(COUNTIFS($A$4:$A46,A46,$B$4:$B46,B46)&gt;1,"Revisar: repetida","OK")))</f>
        <v/>
      </c>
      <c r="G46" s="8"/>
    </row>
    <row r="47" customFormat="false" ht="15" hidden="false" customHeight="false" outlineLevel="0" collapsed="false">
      <c r="A47" s="7"/>
      <c r="B47" s="7"/>
      <c r="C47" s="6" t="str">
        <f aca="false">IF(A47="","",IFERROR(INDEX(Participantes!$B$4:$B$28,MATCH(A47,Participantes!$A$4:$A$28,0)),"Código no válido"))</f>
        <v/>
      </c>
      <c r="D47" s="6" t="str">
        <f aca="false">IF(B47="","",IFERROR(INDEX(Situaciones!$B$4:$B$59,MATCH(B47,Situaciones!$A$4:$A$59,0)),"Situación no válida"))</f>
        <v/>
      </c>
      <c r="E47" s="6" t="str">
        <f aca="false">IF(A47="","",IFERROR(INDEX(Participantes!$I$4:$I$28,MATCH(A47,Participantes!$A$4:$A$28,0)),""))</f>
        <v/>
      </c>
      <c r="F47" s="5" t="str">
        <f aca="false">IF(OR(A47="",B47=""),"",IF(C47&lt;&gt;D47,"Revisar: la situación no es de su formulario",IF(COUNTIFS($A$4:$A47,A47,$B$4:$B47,B47)&gt;1,"Revisar: repetida","OK")))</f>
        <v/>
      </c>
      <c r="G47" s="8"/>
    </row>
    <row r="48" customFormat="false" ht="15" hidden="false" customHeight="false" outlineLevel="0" collapsed="false">
      <c r="A48" s="7"/>
      <c r="B48" s="7"/>
      <c r="C48" s="6" t="str">
        <f aca="false">IF(A48="","",IFERROR(INDEX(Participantes!$B$4:$B$28,MATCH(A48,Participantes!$A$4:$A$28,0)),"Código no válido"))</f>
        <v/>
      </c>
      <c r="D48" s="6" t="str">
        <f aca="false">IF(B48="","",IFERROR(INDEX(Situaciones!$B$4:$B$59,MATCH(B48,Situaciones!$A$4:$A$59,0)),"Situación no válida"))</f>
        <v/>
      </c>
      <c r="E48" s="6" t="str">
        <f aca="false">IF(A48="","",IFERROR(INDEX(Participantes!$I$4:$I$28,MATCH(A48,Participantes!$A$4:$A$28,0)),""))</f>
        <v/>
      </c>
      <c r="F48" s="5" t="str">
        <f aca="false">IF(OR(A48="",B48=""),"",IF(C48&lt;&gt;D48,"Revisar: la situación no es de su formulario",IF(COUNTIFS($A$4:$A48,A48,$B$4:$B48,B48)&gt;1,"Revisar: repetida","OK")))</f>
        <v/>
      </c>
      <c r="G48" s="8"/>
    </row>
    <row r="49" customFormat="false" ht="15" hidden="false" customHeight="false" outlineLevel="0" collapsed="false">
      <c r="A49" s="7"/>
      <c r="B49" s="7"/>
      <c r="C49" s="6" t="str">
        <f aca="false">IF(A49="","",IFERROR(INDEX(Participantes!$B$4:$B$28,MATCH(A49,Participantes!$A$4:$A$28,0)),"Código no válido"))</f>
        <v/>
      </c>
      <c r="D49" s="6" t="str">
        <f aca="false">IF(B49="","",IFERROR(INDEX(Situaciones!$B$4:$B$59,MATCH(B49,Situaciones!$A$4:$A$59,0)),"Situación no válida"))</f>
        <v/>
      </c>
      <c r="E49" s="6" t="str">
        <f aca="false">IF(A49="","",IFERROR(INDEX(Participantes!$I$4:$I$28,MATCH(A49,Participantes!$A$4:$A$28,0)),""))</f>
        <v/>
      </c>
      <c r="F49" s="5" t="str">
        <f aca="false">IF(OR(A49="",B49=""),"",IF(C49&lt;&gt;D49,"Revisar: la situación no es de su formulario",IF(COUNTIFS($A$4:$A49,A49,$B$4:$B49,B49)&gt;1,"Revisar: repetida","OK")))</f>
        <v/>
      </c>
      <c r="G49" s="8"/>
    </row>
    <row r="50" customFormat="false" ht="15" hidden="false" customHeight="false" outlineLevel="0" collapsed="false">
      <c r="A50" s="7"/>
      <c r="B50" s="7"/>
      <c r="C50" s="6" t="str">
        <f aca="false">IF(A50="","",IFERROR(INDEX(Participantes!$B$4:$B$28,MATCH(A50,Participantes!$A$4:$A$28,0)),"Código no válido"))</f>
        <v/>
      </c>
      <c r="D50" s="6" t="str">
        <f aca="false">IF(B50="","",IFERROR(INDEX(Situaciones!$B$4:$B$59,MATCH(B50,Situaciones!$A$4:$A$59,0)),"Situación no válida"))</f>
        <v/>
      </c>
      <c r="E50" s="6" t="str">
        <f aca="false">IF(A50="","",IFERROR(INDEX(Participantes!$I$4:$I$28,MATCH(A50,Participantes!$A$4:$A$28,0)),""))</f>
        <v/>
      </c>
      <c r="F50" s="5" t="str">
        <f aca="false">IF(OR(A50="",B50=""),"",IF(C50&lt;&gt;D50,"Revisar: la situación no es de su formulario",IF(COUNTIFS($A$4:$A50,A50,$B$4:$B50,B50)&gt;1,"Revisar: repetida","OK")))</f>
        <v/>
      </c>
      <c r="G50" s="8"/>
    </row>
    <row r="51" customFormat="false" ht="15" hidden="false" customHeight="false" outlineLevel="0" collapsed="false">
      <c r="A51" s="7"/>
      <c r="B51" s="7"/>
      <c r="C51" s="6" t="str">
        <f aca="false">IF(A51="","",IFERROR(INDEX(Participantes!$B$4:$B$28,MATCH(A51,Participantes!$A$4:$A$28,0)),"Código no válido"))</f>
        <v/>
      </c>
      <c r="D51" s="6" t="str">
        <f aca="false">IF(B51="","",IFERROR(INDEX(Situaciones!$B$4:$B$59,MATCH(B51,Situaciones!$A$4:$A$59,0)),"Situación no válida"))</f>
        <v/>
      </c>
      <c r="E51" s="6" t="str">
        <f aca="false">IF(A51="","",IFERROR(INDEX(Participantes!$I$4:$I$28,MATCH(A51,Participantes!$A$4:$A$28,0)),""))</f>
        <v/>
      </c>
      <c r="F51" s="5" t="str">
        <f aca="false">IF(OR(A51="",B51=""),"",IF(C51&lt;&gt;D51,"Revisar: la situación no es de su formulario",IF(COUNTIFS($A$4:$A51,A51,$B$4:$B51,B51)&gt;1,"Revisar: repetida","OK")))</f>
        <v/>
      </c>
      <c r="G51" s="8"/>
    </row>
    <row r="52" customFormat="false" ht="15" hidden="false" customHeight="false" outlineLevel="0" collapsed="false">
      <c r="A52" s="7"/>
      <c r="B52" s="7"/>
      <c r="C52" s="6" t="str">
        <f aca="false">IF(A52="","",IFERROR(INDEX(Participantes!$B$4:$B$28,MATCH(A52,Participantes!$A$4:$A$28,0)),"Código no válido"))</f>
        <v/>
      </c>
      <c r="D52" s="6" t="str">
        <f aca="false">IF(B52="","",IFERROR(INDEX(Situaciones!$B$4:$B$59,MATCH(B52,Situaciones!$A$4:$A$59,0)),"Situación no válida"))</f>
        <v/>
      </c>
      <c r="E52" s="6" t="str">
        <f aca="false">IF(A52="","",IFERROR(INDEX(Participantes!$I$4:$I$28,MATCH(A52,Participantes!$A$4:$A$28,0)),""))</f>
        <v/>
      </c>
      <c r="F52" s="5" t="str">
        <f aca="false">IF(OR(A52="",B52=""),"",IF(C52&lt;&gt;D52,"Revisar: la situación no es de su formulario",IF(COUNTIFS($A$4:$A52,A52,$B$4:$B52,B52)&gt;1,"Revisar: repetida","OK")))</f>
        <v/>
      </c>
      <c r="G52" s="8"/>
    </row>
    <row r="53" customFormat="false" ht="15" hidden="false" customHeight="false" outlineLevel="0" collapsed="false">
      <c r="A53" s="7"/>
      <c r="B53" s="7"/>
      <c r="C53" s="6" t="str">
        <f aca="false">IF(A53="","",IFERROR(INDEX(Participantes!$B$4:$B$28,MATCH(A53,Participantes!$A$4:$A$28,0)),"Código no válido"))</f>
        <v/>
      </c>
      <c r="D53" s="6" t="str">
        <f aca="false">IF(B53="","",IFERROR(INDEX(Situaciones!$B$4:$B$59,MATCH(B53,Situaciones!$A$4:$A$59,0)),"Situación no válida"))</f>
        <v/>
      </c>
      <c r="E53" s="6" t="str">
        <f aca="false">IF(A53="","",IFERROR(INDEX(Participantes!$I$4:$I$28,MATCH(A53,Participantes!$A$4:$A$28,0)),""))</f>
        <v/>
      </c>
      <c r="F53" s="5" t="str">
        <f aca="false">IF(OR(A53="",B53=""),"",IF(C53&lt;&gt;D53,"Revisar: la situación no es de su formulario",IF(COUNTIFS($A$4:$A53,A53,$B$4:$B53,B53)&gt;1,"Revisar: repetida","OK")))</f>
        <v/>
      </c>
      <c r="G53" s="8"/>
    </row>
    <row r="54" customFormat="false" ht="15" hidden="false" customHeight="false" outlineLevel="0" collapsed="false">
      <c r="A54" s="7"/>
      <c r="B54" s="7"/>
      <c r="C54" s="6" t="str">
        <f aca="false">IF(A54="","",IFERROR(INDEX(Participantes!$B$4:$B$28,MATCH(A54,Participantes!$A$4:$A$28,0)),"Código no válido"))</f>
        <v/>
      </c>
      <c r="D54" s="6" t="str">
        <f aca="false">IF(B54="","",IFERROR(INDEX(Situaciones!$B$4:$B$59,MATCH(B54,Situaciones!$A$4:$A$59,0)),"Situación no válida"))</f>
        <v/>
      </c>
      <c r="E54" s="6" t="str">
        <f aca="false">IF(A54="","",IFERROR(INDEX(Participantes!$I$4:$I$28,MATCH(A54,Participantes!$A$4:$A$28,0)),""))</f>
        <v/>
      </c>
      <c r="F54" s="5" t="str">
        <f aca="false">IF(OR(A54="",B54=""),"",IF(C54&lt;&gt;D54,"Revisar: la situación no es de su formulario",IF(COUNTIFS($A$4:$A54,A54,$B$4:$B54,B54)&gt;1,"Revisar: repetida","OK")))</f>
        <v/>
      </c>
      <c r="G54" s="8"/>
    </row>
    <row r="55" customFormat="false" ht="15" hidden="false" customHeight="false" outlineLevel="0" collapsed="false">
      <c r="A55" s="7"/>
      <c r="B55" s="7"/>
      <c r="C55" s="6" t="str">
        <f aca="false">IF(A55="","",IFERROR(INDEX(Participantes!$B$4:$B$28,MATCH(A55,Participantes!$A$4:$A$28,0)),"Código no válido"))</f>
        <v/>
      </c>
      <c r="D55" s="6" t="str">
        <f aca="false">IF(B55="","",IFERROR(INDEX(Situaciones!$B$4:$B$59,MATCH(B55,Situaciones!$A$4:$A$59,0)),"Situación no válida"))</f>
        <v/>
      </c>
      <c r="E55" s="6" t="str">
        <f aca="false">IF(A55="","",IFERROR(INDEX(Participantes!$I$4:$I$28,MATCH(A55,Participantes!$A$4:$A$28,0)),""))</f>
        <v/>
      </c>
      <c r="F55" s="5" t="str">
        <f aca="false">IF(OR(A55="",B55=""),"",IF(C55&lt;&gt;D55,"Revisar: la situación no es de su formulario",IF(COUNTIFS($A$4:$A55,A55,$B$4:$B55,B55)&gt;1,"Revisar: repetida","OK")))</f>
        <v/>
      </c>
      <c r="G55" s="8"/>
    </row>
    <row r="56" customFormat="false" ht="15" hidden="false" customHeight="false" outlineLevel="0" collapsed="false">
      <c r="A56" s="7"/>
      <c r="B56" s="7"/>
      <c r="C56" s="6" t="str">
        <f aca="false">IF(A56="","",IFERROR(INDEX(Participantes!$B$4:$B$28,MATCH(A56,Participantes!$A$4:$A$28,0)),"Código no válido"))</f>
        <v/>
      </c>
      <c r="D56" s="6" t="str">
        <f aca="false">IF(B56="","",IFERROR(INDEX(Situaciones!$B$4:$B$59,MATCH(B56,Situaciones!$A$4:$A$59,0)),"Situación no válida"))</f>
        <v/>
      </c>
      <c r="E56" s="6" t="str">
        <f aca="false">IF(A56="","",IFERROR(INDEX(Participantes!$I$4:$I$28,MATCH(A56,Participantes!$A$4:$A$28,0)),""))</f>
        <v/>
      </c>
      <c r="F56" s="5" t="str">
        <f aca="false">IF(OR(A56="",B56=""),"",IF(C56&lt;&gt;D56,"Revisar: la situación no es de su formulario",IF(COUNTIFS($A$4:$A56,A56,$B$4:$B56,B56)&gt;1,"Revisar: repetida","OK")))</f>
        <v/>
      </c>
      <c r="G56" s="8"/>
    </row>
    <row r="57" customFormat="false" ht="15" hidden="false" customHeight="false" outlineLevel="0" collapsed="false">
      <c r="A57" s="7"/>
      <c r="B57" s="7"/>
      <c r="C57" s="6" t="str">
        <f aca="false">IF(A57="","",IFERROR(INDEX(Participantes!$B$4:$B$28,MATCH(A57,Participantes!$A$4:$A$28,0)),"Código no válido"))</f>
        <v/>
      </c>
      <c r="D57" s="6" t="str">
        <f aca="false">IF(B57="","",IFERROR(INDEX(Situaciones!$B$4:$B$59,MATCH(B57,Situaciones!$A$4:$A$59,0)),"Situación no válida"))</f>
        <v/>
      </c>
      <c r="E57" s="6" t="str">
        <f aca="false">IF(A57="","",IFERROR(INDEX(Participantes!$I$4:$I$28,MATCH(A57,Participantes!$A$4:$A$28,0)),""))</f>
        <v/>
      </c>
      <c r="F57" s="5" t="str">
        <f aca="false">IF(OR(A57="",B57=""),"",IF(C57&lt;&gt;D57,"Revisar: la situación no es de su formulario",IF(COUNTIFS($A$4:$A57,A57,$B$4:$B57,B57)&gt;1,"Revisar: repetida","OK")))</f>
        <v/>
      </c>
      <c r="G57" s="8"/>
    </row>
    <row r="58" customFormat="false" ht="15" hidden="false" customHeight="false" outlineLevel="0" collapsed="false">
      <c r="A58" s="7"/>
      <c r="B58" s="7"/>
      <c r="C58" s="6" t="str">
        <f aca="false">IF(A58="","",IFERROR(INDEX(Participantes!$B$4:$B$28,MATCH(A58,Participantes!$A$4:$A$28,0)),"Código no válido"))</f>
        <v/>
      </c>
      <c r="D58" s="6" t="str">
        <f aca="false">IF(B58="","",IFERROR(INDEX(Situaciones!$B$4:$B$59,MATCH(B58,Situaciones!$A$4:$A$59,0)),"Situación no válida"))</f>
        <v/>
      </c>
      <c r="E58" s="6" t="str">
        <f aca="false">IF(A58="","",IFERROR(INDEX(Participantes!$I$4:$I$28,MATCH(A58,Participantes!$A$4:$A$28,0)),""))</f>
        <v/>
      </c>
      <c r="F58" s="5" t="str">
        <f aca="false">IF(OR(A58="",B58=""),"",IF(C58&lt;&gt;D58,"Revisar: la situación no es de su formulario",IF(COUNTIFS($A$4:$A58,A58,$B$4:$B58,B58)&gt;1,"Revisar: repetida","OK")))</f>
        <v/>
      </c>
      <c r="G58" s="8"/>
    </row>
    <row r="59" customFormat="false" ht="15" hidden="false" customHeight="false" outlineLevel="0" collapsed="false">
      <c r="A59" s="7"/>
      <c r="B59" s="7"/>
      <c r="C59" s="6" t="str">
        <f aca="false">IF(A59="","",IFERROR(INDEX(Participantes!$B$4:$B$28,MATCH(A59,Participantes!$A$4:$A$28,0)),"Código no válido"))</f>
        <v/>
      </c>
      <c r="D59" s="6" t="str">
        <f aca="false">IF(B59="","",IFERROR(INDEX(Situaciones!$B$4:$B$59,MATCH(B59,Situaciones!$A$4:$A$59,0)),"Situación no válida"))</f>
        <v/>
      </c>
      <c r="E59" s="6" t="str">
        <f aca="false">IF(A59="","",IFERROR(INDEX(Participantes!$I$4:$I$28,MATCH(A59,Participantes!$A$4:$A$28,0)),""))</f>
        <v/>
      </c>
      <c r="F59" s="5" t="str">
        <f aca="false">IF(OR(A59="",B59=""),"",IF(C59&lt;&gt;D59,"Revisar: la situación no es de su formulario",IF(COUNTIFS($A$4:$A59,A59,$B$4:$B59,B59)&gt;1,"Revisar: repetida","OK")))</f>
        <v/>
      </c>
      <c r="G59" s="8"/>
    </row>
    <row r="60" customFormat="false" ht="15" hidden="false" customHeight="false" outlineLevel="0" collapsed="false">
      <c r="A60" s="7"/>
      <c r="B60" s="7"/>
      <c r="C60" s="6" t="str">
        <f aca="false">IF(A60="","",IFERROR(INDEX(Participantes!$B$4:$B$28,MATCH(A60,Participantes!$A$4:$A$28,0)),"Código no válido"))</f>
        <v/>
      </c>
      <c r="D60" s="6" t="str">
        <f aca="false">IF(B60="","",IFERROR(INDEX(Situaciones!$B$4:$B$59,MATCH(B60,Situaciones!$A$4:$A$59,0)),"Situación no válida"))</f>
        <v/>
      </c>
      <c r="E60" s="6" t="str">
        <f aca="false">IF(A60="","",IFERROR(INDEX(Participantes!$I$4:$I$28,MATCH(A60,Participantes!$A$4:$A$28,0)),""))</f>
        <v/>
      </c>
      <c r="F60" s="5" t="str">
        <f aca="false">IF(OR(A60="",B60=""),"",IF(C60&lt;&gt;D60,"Revisar: la situación no es de su formulario",IF(COUNTIFS($A$4:$A60,A60,$B$4:$B60,B60)&gt;1,"Revisar: repetida","OK")))</f>
        <v/>
      </c>
      <c r="G60" s="8"/>
    </row>
    <row r="61" customFormat="false" ht="15" hidden="false" customHeight="false" outlineLevel="0" collapsed="false">
      <c r="A61" s="7"/>
      <c r="B61" s="7"/>
      <c r="C61" s="6" t="str">
        <f aca="false">IF(A61="","",IFERROR(INDEX(Participantes!$B$4:$B$28,MATCH(A61,Participantes!$A$4:$A$28,0)),"Código no válido"))</f>
        <v/>
      </c>
      <c r="D61" s="6" t="str">
        <f aca="false">IF(B61="","",IFERROR(INDEX(Situaciones!$B$4:$B$59,MATCH(B61,Situaciones!$A$4:$A$59,0)),"Situación no válida"))</f>
        <v/>
      </c>
      <c r="E61" s="6" t="str">
        <f aca="false">IF(A61="","",IFERROR(INDEX(Participantes!$I$4:$I$28,MATCH(A61,Participantes!$A$4:$A$28,0)),""))</f>
        <v/>
      </c>
      <c r="F61" s="5" t="str">
        <f aca="false">IF(OR(A61="",B61=""),"",IF(C61&lt;&gt;D61,"Revisar: la situación no es de su formulario",IF(COUNTIFS($A$4:$A61,A61,$B$4:$B61,B61)&gt;1,"Revisar: repetida","OK")))</f>
        <v/>
      </c>
      <c r="G61" s="8"/>
    </row>
    <row r="62" customFormat="false" ht="15" hidden="false" customHeight="false" outlineLevel="0" collapsed="false">
      <c r="A62" s="7"/>
      <c r="B62" s="7"/>
      <c r="C62" s="6" t="str">
        <f aca="false">IF(A62="","",IFERROR(INDEX(Participantes!$B$4:$B$28,MATCH(A62,Participantes!$A$4:$A$28,0)),"Código no válido"))</f>
        <v/>
      </c>
      <c r="D62" s="6" t="str">
        <f aca="false">IF(B62="","",IFERROR(INDEX(Situaciones!$B$4:$B$59,MATCH(B62,Situaciones!$A$4:$A$59,0)),"Situación no válida"))</f>
        <v/>
      </c>
      <c r="E62" s="6" t="str">
        <f aca="false">IF(A62="","",IFERROR(INDEX(Participantes!$I$4:$I$28,MATCH(A62,Participantes!$A$4:$A$28,0)),""))</f>
        <v/>
      </c>
      <c r="F62" s="5" t="str">
        <f aca="false">IF(OR(A62="",B62=""),"",IF(C62&lt;&gt;D62,"Revisar: la situación no es de su formulario",IF(COUNTIFS($A$4:$A62,A62,$B$4:$B62,B62)&gt;1,"Revisar: repetida","OK")))</f>
        <v/>
      </c>
      <c r="G62" s="8"/>
    </row>
    <row r="63" customFormat="false" ht="15" hidden="false" customHeight="false" outlineLevel="0" collapsed="false">
      <c r="A63" s="7"/>
      <c r="B63" s="7"/>
      <c r="C63" s="6" t="str">
        <f aca="false">IF(A63="","",IFERROR(INDEX(Participantes!$B$4:$B$28,MATCH(A63,Participantes!$A$4:$A$28,0)),"Código no válido"))</f>
        <v/>
      </c>
      <c r="D63" s="6" t="str">
        <f aca="false">IF(B63="","",IFERROR(INDEX(Situaciones!$B$4:$B$59,MATCH(B63,Situaciones!$A$4:$A$59,0)),"Situación no válida"))</f>
        <v/>
      </c>
      <c r="E63" s="6" t="str">
        <f aca="false">IF(A63="","",IFERROR(INDEX(Participantes!$I$4:$I$28,MATCH(A63,Participantes!$A$4:$A$28,0)),""))</f>
        <v/>
      </c>
      <c r="F63" s="5" t="str">
        <f aca="false">IF(OR(A63="",B63=""),"",IF(C63&lt;&gt;D63,"Revisar: la situación no es de su formulario",IF(COUNTIFS($A$4:$A63,A63,$B$4:$B63,B63)&gt;1,"Revisar: repetida","OK")))</f>
        <v/>
      </c>
      <c r="G63" s="8"/>
    </row>
    <row r="64" customFormat="false" ht="15" hidden="false" customHeight="false" outlineLevel="0" collapsed="false">
      <c r="A64" s="7"/>
      <c r="B64" s="7"/>
      <c r="C64" s="6" t="str">
        <f aca="false">IF(A64="","",IFERROR(INDEX(Participantes!$B$4:$B$28,MATCH(A64,Participantes!$A$4:$A$28,0)),"Código no válido"))</f>
        <v/>
      </c>
      <c r="D64" s="6" t="str">
        <f aca="false">IF(B64="","",IFERROR(INDEX(Situaciones!$B$4:$B$59,MATCH(B64,Situaciones!$A$4:$A$59,0)),"Situación no válida"))</f>
        <v/>
      </c>
      <c r="E64" s="6" t="str">
        <f aca="false">IF(A64="","",IFERROR(INDEX(Participantes!$I$4:$I$28,MATCH(A64,Participantes!$A$4:$A$28,0)),""))</f>
        <v/>
      </c>
      <c r="F64" s="5" t="str">
        <f aca="false">IF(OR(A64="",B64=""),"",IF(C64&lt;&gt;D64,"Revisar: la situación no es de su formulario",IF(COUNTIFS($A$4:$A64,A64,$B$4:$B64,B64)&gt;1,"Revisar: repetida","OK")))</f>
        <v/>
      </c>
      <c r="G64" s="8"/>
    </row>
    <row r="65" customFormat="false" ht="15" hidden="false" customHeight="false" outlineLevel="0" collapsed="false">
      <c r="A65" s="7"/>
      <c r="B65" s="7"/>
      <c r="C65" s="6" t="str">
        <f aca="false">IF(A65="","",IFERROR(INDEX(Participantes!$B$4:$B$28,MATCH(A65,Participantes!$A$4:$A$28,0)),"Código no válido"))</f>
        <v/>
      </c>
      <c r="D65" s="6" t="str">
        <f aca="false">IF(B65="","",IFERROR(INDEX(Situaciones!$B$4:$B$59,MATCH(B65,Situaciones!$A$4:$A$59,0)),"Situación no válida"))</f>
        <v/>
      </c>
      <c r="E65" s="6" t="str">
        <f aca="false">IF(A65="","",IFERROR(INDEX(Participantes!$I$4:$I$28,MATCH(A65,Participantes!$A$4:$A$28,0)),""))</f>
        <v/>
      </c>
      <c r="F65" s="5" t="str">
        <f aca="false">IF(OR(A65="",B65=""),"",IF(C65&lt;&gt;D65,"Revisar: la situación no es de su formulario",IF(COUNTIFS($A$4:$A65,A65,$B$4:$B65,B65)&gt;1,"Revisar: repetida","OK")))</f>
        <v/>
      </c>
      <c r="G65" s="8"/>
    </row>
    <row r="66" customFormat="false" ht="15" hidden="false" customHeight="false" outlineLevel="0" collapsed="false">
      <c r="A66" s="7"/>
      <c r="B66" s="7"/>
      <c r="C66" s="6" t="str">
        <f aca="false">IF(A66="","",IFERROR(INDEX(Participantes!$B$4:$B$28,MATCH(A66,Participantes!$A$4:$A$28,0)),"Código no válido"))</f>
        <v/>
      </c>
      <c r="D66" s="6" t="str">
        <f aca="false">IF(B66="","",IFERROR(INDEX(Situaciones!$B$4:$B$59,MATCH(B66,Situaciones!$A$4:$A$59,0)),"Situación no válida"))</f>
        <v/>
      </c>
      <c r="E66" s="6" t="str">
        <f aca="false">IF(A66="","",IFERROR(INDEX(Participantes!$I$4:$I$28,MATCH(A66,Participantes!$A$4:$A$28,0)),""))</f>
        <v/>
      </c>
      <c r="F66" s="5" t="str">
        <f aca="false">IF(OR(A66="",B66=""),"",IF(C66&lt;&gt;D66,"Revisar: la situación no es de su formulario",IF(COUNTIFS($A$4:$A66,A66,$B$4:$B66,B66)&gt;1,"Revisar: repetida","OK")))</f>
        <v/>
      </c>
      <c r="G66" s="8"/>
    </row>
    <row r="67" customFormat="false" ht="15" hidden="false" customHeight="false" outlineLevel="0" collapsed="false">
      <c r="A67" s="7"/>
      <c r="B67" s="7"/>
      <c r="C67" s="6" t="str">
        <f aca="false">IF(A67="","",IFERROR(INDEX(Participantes!$B$4:$B$28,MATCH(A67,Participantes!$A$4:$A$28,0)),"Código no válido"))</f>
        <v/>
      </c>
      <c r="D67" s="6" t="str">
        <f aca="false">IF(B67="","",IFERROR(INDEX(Situaciones!$B$4:$B$59,MATCH(B67,Situaciones!$A$4:$A$59,0)),"Situación no válida"))</f>
        <v/>
      </c>
      <c r="E67" s="6" t="str">
        <f aca="false">IF(A67="","",IFERROR(INDEX(Participantes!$I$4:$I$28,MATCH(A67,Participantes!$A$4:$A$28,0)),""))</f>
        <v/>
      </c>
      <c r="F67" s="5" t="str">
        <f aca="false">IF(OR(A67="",B67=""),"",IF(C67&lt;&gt;D67,"Revisar: la situación no es de su formulario",IF(COUNTIFS($A$4:$A67,A67,$B$4:$B67,B67)&gt;1,"Revisar: repetida","OK")))</f>
        <v/>
      </c>
      <c r="G67" s="8"/>
    </row>
    <row r="68" customFormat="false" ht="15" hidden="false" customHeight="false" outlineLevel="0" collapsed="false">
      <c r="A68" s="7"/>
      <c r="B68" s="7"/>
      <c r="C68" s="6" t="str">
        <f aca="false">IF(A68="","",IFERROR(INDEX(Participantes!$B$4:$B$28,MATCH(A68,Participantes!$A$4:$A$28,0)),"Código no válido"))</f>
        <v/>
      </c>
      <c r="D68" s="6" t="str">
        <f aca="false">IF(B68="","",IFERROR(INDEX(Situaciones!$B$4:$B$59,MATCH(B68,Situaciones!$A$4:$A$59,0)),"Situación no válida"))</f>
        <v/>
      </c>
      <c r="E68" s="6" t="str">
        <f aca="false">IF(A68="","",IFERROR(INDEX(Participantes!$I$4:$I$28,MATCH(A68,Participantes!$A$4:$A$28,0)),""))</f>
        <v/>
      </c>
      <c r="F68" s="5" t="str">
        <f aca="false">IF(OR(A68="",B68=""),"",IF(C68&lt;&gt;D68,"Revisar: la situación no es de su formulario",IF(COUNTIFS($A$4:$A68,A68,$B$4:$B68,B68)&gt;1,"Revisar: repetida","OK")))</f>
        <v/>
      </c>
      <c r="G68" s="8"/>
    </row>
    <row r="69" customFormat="false" ht="15" hidden="false" customHeight="false" outlineLevel="0" collapsed="false">
      <c r="A69" s="7"/>
      <c r="B69" s="7"/>
      <c r="C69" s="6" t="str">
        <f aca="false">IF(A69="","",IFERROR(INDEX(Participantes!$B$4:$B$28,MATCH(A69,Participantes!$A$4:$A$28,0)),"Código no válido"))</f>
        <v/>
      </c>
      <c r="D69" s="6" t="str">
        <f aca="false">IF(B69="","",IFERROR(INDEX(Situaciones!$B$4:$B$59,MATCH(B69,Situaciones!$A$4:$A$59,0)),"Situación no válida"))</f>
        <v/>
      </c>
      <c r="E69" s="6" t="str">
        <f aca="false">IF(A69="","",IFERROR(INDEX(Participantes!$I$4:$I$28,MATCH(A69,Participantes!$A$4:$A$28,0)),""))</f>
        <v/>
      </c>
      <c r="F69" s="5" t="str">
        <f aca="false">IF(OR(A69="",B69=""),"",IF(C69&lt;&gt;D69,"Revisar: la situación no es de su formulario",IF(COUNTIFS($A$4:$A69,A69,$B$4:$B69,B69)&gt;1,"Revisar: repetida","OK")))</f>
        <v/>
      </c>
      <c r="G69" s="8"/>
    </row>
    <row r="70" customFormat="false" ht="15" hidden="false" customHeight="false" outlineLevel="0" collapsed="false">
      <c r="A70" s="7"/>
      <c r="B70" s="7"/>
      <c r="C70" s="6" t="str">
        <f aca="false">IF(A70="","",IFERROR(INDEX(Participantes!$B$4:$B$28,MATCH(A70,Participantes!$A$4:$A$28,0)),"Código no válido"))</f>
        <v/>
      </c>
      <c r="D70" s="6" t="str">
        <f aca="false">IF(B70="","",IFERROR(INDEX(Situaciones!$B$4:$B$59,MATCH(B70,Situaciones!$A$4:$A$59,0)),"Situación no válida"))</f>
        <v/>
      </c>
      <c r="E70" s="6" t="str">
        <f aca="false">IF(A70="","",IFERROR(INDEX(Participantes!$I$4:$I$28,MATCH(A70,Participantes!$A$4:$A$28,0)),""))</f>
        <v/>
      </c>
      <c r="F70" s="5" t="str">
        <f aca="false">IF(OR(A70="",B70=""),"",IF(C70&lt;&gt;D70,"Revisar: la situación no es de su formulario",IF(COUNTIFS($A$4:$A70,A70,$B$4:$B70,B70)&gt;1,"Revisar: repetida","OK")))</f>
        <v/>
      </c>
      <c r="G70" s="8"/>
    </row>
    <row r="71" customFormat="false" ht="15" hidden="false" customHeight="false" outlineLevel="0" collapsed="false">
      <c r="A71" s="7"/>
      <c r="B71" s="7"/>
      <c r="C71" s="6" t="str">
        <f aca="false">IF(A71="","",IFERROR(INDEX(Participantes!$B$4:$B$28,MATCH(A71,Participantes!$A$4:$A$28,0)),"Código no válido"))</f>
        <v/>
      </c>
      <c r="D71" s="6" t="str">
        <f aca="false">IF(B71="","",IFERROR(INDEX(Situaciones!$B$4:$B$59,MATCH(B71,Situaciones!$A$4:$A$59,0)),"Situación no válida"))</f>
        <v/>
      </c>
      <c r="E71" s="6" t="str">
        <f aca="false">IF(A71="","",IFERROR(INDEX(Participantes!$I$4:$I$28,MATCH(A71,Participantes!$A$4:$A$28,0)),""))</f>
        <v/>
      </c>
      <c r="F71" s="5" t="str">
        <f aca="false">IF(OR(A71="",B71=""),"",IF(C71&lt;&gt;D71,"Revisar: la situación no es de su formulario",IF(COUNTIFS($A$4:$A71,A71,$B$4:$B71,B71)&gt;1,"Revisar: repetida","OK")))</f>
        <v/>
      </c>
      <c r="G71" s="8"/>
    </row>
    <row r="72" customFormat="false" ht="15" hidden="false" customHeight="false" outlineLevel="0" collapsed="false">
      <c r="A72" s="7"/>
      <c r="B72" s="7"/>
      <c r="C72" s="6" t="str">
        <f aca="false">IF(A72="","",IFERROR(INDEX(Participantes!$B$4:$B$28,MATCH(A72,Participantes!$A$4:$A$28,0)),"Código no válido"))</f>
        <v/>
      </c>
      <c r="D72" s="6" t="str">
        <f aca="false">IF(B72="","",IFERROR(INDEX(Situaciones!$B$4:$B$59,MATCH(B72,Situaciones!$A$4:$A$59,0)),"Situación no válida"))</f>
        <v/>
      </c>
      <c r="E72" s="6" t="str">
        <f aca="false">IF(A72="","",IFERROR(INDEX(Participantes!$I$4:$I$28,MATCH(A72,Participantes!$A$4:$A$28,0)),""))</f>
        <v/>
      </c>
      <c r="F72" s="5" t="str">
        <f aca="false">IF(OR(A72="",B72=""),"",IF(C72&lt;&gt;D72,"Revisar: la situación no es de su formulario",IF(COUNTIFS($A$4:$A72,A72,$B$4:$B72,B72)&gt;1,"Revisar: repetida","OK")))</f>
        <v/>
      </c>
      <c r="G72" s="8"/>
    </row>
    <row r="73" customFormat="false" ht="15" hidden="false" customHeight="false" outlineLevel="0" collapsed="false">
      <c r="A73" s="7"/>
      <c r="B73" s="7"/>
      <c r="C73" s="6" t="str">
        <f aca="false">IF(A73="","",IFERROR(INDEX(Participantes!$B$4:$B$28,MATCH(A73,Participantes!$A$4:$A$28,0)),"Código no válido"))</f>
        <v/>
      </c>
      <c r="D73" s="6" t="str">
        <f aca="false">IF(B73="","",IFERROR(INDEX(Situaciones!$B$4:$B$59,MATCH(B73,Situaciones!$A$4:$A$59,0)),"Situación no válida"))</f>
        <v/>
      </c>
      <c r="E73" s="6" t="str">
        <f aca="false">IF(A73="","",IFERROR(INDEX(Participantes!$I$4:$I$28,MATCH(A73,Participantes!$A$4:$A$28,0)),""))</f>
        <v/>
      </c>
      <c r="F73" s="5" t="str">
        <f aca="false">IF(OR(A73="",B73=""),"",IF(C73&lt;&gt;D73,"Revisar: la situación no es de su formulario",IF(COUNTIFS($A$4:$A73,A73,$B$4:$B73,B73)&gt;1,"Revisar: repetida","OK")))</f>
        <v/>
      </c>
      <c r="G73" s="8"/>
    </row>
    <row r="74" customFormat="false" ht="15" hidden="false" customHeight="false" outlineLevel="0" collapsed="false">
      <c r="A74" s="7"/>
      <c r="B74" s="7"/>
      <c r="C74" s="6" t="str">
        <f aca="false">IF(A74="","",IFERROR(INDEX(Participantes!$B$4:$B$28,MATCH(A74,Participantes!$A$4:$A$28,0)),"Código no válido"))</f>
        <v/>
      </c>
      <c r="D74" s="6" t="str">
        <f aca="false">IF(B74="","",IFERROR(INDEX(Situaciones!$B$4:$B$59,MATCH(B74,Situaciones!$A$4:$A$59,0)),"Situación no válida"))</f>
        <v/>
      </c>
      <c r="E74" s="6" t="str">
        <f aca="false">IF(A74="","",IFERROR(INDEX(Participantes!$I$4:$I$28,MATCH(A74,Participantes!$A$4:$A$28,0)),""))</f>
        <v/>
      </c>
      <c r="F74" s="5" t="str">
        <f aca="false">IF(OR(A74="",B74=""),"",IF(C74&lt;&gt;D74,"Revisar: la situación no es de su formulario",IF(COUNTIFS($A$4:$A74,A74,$B$4:$B74,B74)&gt;1,"Revisar: repetida","OK")))</f>
        <v/>
      </c>
      <c r="G74" s="8"/>
    </row>
    <row r="75" customFormat="false" ht="15" hidden="false" customHeight="false" outlineLevel="0" collapsed="false">
      <c r="A75" s="7"/>
      <c r="B75" s="7"/>
      <c r="C75" s="6" t="str">
        <f aca="false">IF(A75="","",IFERROR(INDEX(Participantes!$B$4:$B$28,MATCH(A75,Participantes!$A$4:$A$28,0)),"Código no válido"))</f>
        <v/>
      </c>
      <c r="D75" s="6" t="str">
        <f aca="false">IF(B75="","",IFERROR(INDEX(Situaciones!$B$4:$B$59,MATCH(B75,Situaciones!$A$4:$A$59,0)),"Situación no válida"))</f>
        <v/>
      </c>
      <c r="E75" s="6" t="str">
        <f aca="false">IF(A75="","",IFERROR(INDEX(Participantes!$I$4:$I$28,MATCH(A75,Participantes!$A$4:$A$28,0)),""))</f>
        <v/>
      </c>
      <c r="F75" s="5" t="str">
        <f aca="false">IF(OR(A75="",B75=""),"",IF(C75&lt;&gt;D75,"Revisar: la situación no es de su formulario",IF(COUNTIFS($A$4:$A75,A75,$B$4:$B75,B75)&gt;1,"Revisar: repetida","OK")))</f>
        <v/>
      </c>
      <c r="G75" s="8"/>
    </row>
    <row r="76" customFormat="false" ht="15" hidden="false" customHeight="false" outlineLevel="0" collapsed="false">
      <c r="A76" s="7"/>
      <c r="B76" s="7"/>
      <c r="C76" s="6" t="str">
        <f aca="false">IF(A76="","",IFERROR(INDEX(Participantes!$B$4:$B$28,MATCH(A76,Participantes!$A$4:$A$28,0)),"Código no válido"))</f>
        <v/>
      </c>
      <c r="D76" s="6" t="str">
        <f aca="false">IF(B76="","",IFERROR(INDEX(Situaciones!$B$4:$B$59,MATCH(B76,Situaciones!$A$4:$A$59,0)),"Situación no válida"))</f>
        <v/>
      </c>
      <c r="E76" s="6" t="str">
        <f aca="false">IF(A76="","",IFERROR(INDEX(Participantes!$I$4:$I$28,MATCH(A76,Participantes!$A$4:$A$28,0)),""))</f>
        <v/>
      </c>
      <c r="F76" s="5" t="str">
        <f aca="false">IF(OR(A76="",B76=""),"",IF(C76&lt;&gt;D76,"Revisar: la situación no es de su formulario",IF(COUNTIFS($A$4:$A76,A76,$B$4:$B76,B76)&gt;1,"Revisar: repetida","OK")))</f>
        <v/>
      </c>
      <c r="G76" s="8"/>
    </row>
    <row r="77" customFormat="false" ht="15" hidden="false" customHeight="false" outlineLevel="0" collapsed="false">
      <c r="A77" s="7"/>
      <c r="B77" s="7"/>
      <c r="C77" s="6" t="str">
        <f aca="false">IF(A77="","",IFERROR(INDEX(Participantes!$B$4:$B$28,MATCH(A77,Participantes!$A$4:$A$28,0)),"Código no válido"))</f>
        <v/>
      </c>
      <c r="D77" s="6" t="str">
        <f aca="false">IF(B77="","",IFERROR(INDEX(Situaciones!$B$4:$B$59,MATCH(B77,Situaciones!$A$4:$A$59,0)),"Situación no válida"))</f>
        <v/>
      </c>
      <c r="E77" s="6" t="str">
        <f aca="false">IF(A77="","",IFERROR(INDEX(Participantes!$I$4:$I$28,MATCH(A77,Participantes!$A$4:$A$28,0)),""))</f>
        <v/>
      </c>
      <c r="F77" s="5" t="str">
        <f aca="false">IF(OR(A77="",B77=""),"",IF(C77&lt;&gt;D77,"Revisar: la situación no es de su formulario",IF(COUNTIFS($A$4:$A77,A77,$B$4:$B77,B77)&gt;1,"Revisar: repetida","OK")))</f>
        <v/>
      </c>
      <c r="G77" s="8"/>
    </row>
    <row r="78" customFormat="false" ht="15" hidden="false" customHeight="false" outlineLevel="0" collapsed="false">
      <c r="A78" s="7"/>
      <c r="B78" s="7"/>
      <c r="C78" s="6" t="str">
        <f aca="false">IF(A78="","",IFERROR(INDEX(Participantes!$B$4:$B$28,MATCH(A78,Participantes!$A$4:$A$28,0)),"Código no válido"))</f>
        <v/>
      </c>
      <c r="D78" s="6" t="str">
        <f aca="false">IF(B78="","",IFERROR(INDEX(Situaciones!$B$4:$B$59,MATCH(B78,Situaciones!$A$4:$A$59,0)),"Situación no válida"))</f>
        <v/>
      </c>
      <c r="E78" s="6" t="str">
        <f aca="false">IF(A78="","",IFERROR(INDEX(Participantes!$I$4:$I$28,MATCH(A78,Participantes!$A$4:$A$28,0)),""))</f>
        <v/>
      </c>
      <c r="F78" s="5" t="str">
        <f aca="false">IF(OR(A78="",B78=""),"",IF(C78&lt;&gt;D78,"Revisar: la situación no es de su formulario",IF(COUNTIFS($A$4:$A78,A78,$B$4:$B78,B78)&gt;1,"Revisar: repetida","OK")))</f>
        <v/>
      </c>
      <c r="G78" s="8"/>
    </row>
    <row r="79" customFormat="false" ht="15" hidden="false" customHeight="false" outlineLevel="0" collapsed="false">
      <c r="A79" s="7"/>
      <c r="B79" s="7"/>
      <c r="C79" s="6" t="str">
        <f aca="false">IF(A79="","",IFERROR(INDEX(Participantes!$B$4:$B$28,MATCH(A79,Participantes!$A$4:$A$28,0)),"Código no válido"))</f>
        <v/>
      </c>
      <c r="D79" s="6" t="str">
        <f aca="false">IF(B79="","",IFERROR(INDEX(Situaciones!$B$4:$B$59,MATCH(B79,Situaciones!$A$4:$A$59,0)),"Situación no válida"))</f>
        <v/>
      </c>
      <c r="E79" s="6" t="str">
        <f aca="false">IF(A79="","",IFERROR(INDEX(Participantes!$I$4:$I$28,MATCH(A79,Participantes!$A$4:$A$28,0)),""))</f>
        <v/>
      </c>
      <c r="F79" s="5" t="str">
        <f aca="false">IF(OR(A79="",B79=""),"",IF(C79&lt;&gt;D79,"Revisar: la situación no es de su formulario",IF(COUNTIFS($A$4:$A79,A79,$B$4:$B79,B79)&gt;1,"Revisar: repetida","OK")))</f>
        <v/>
      </c>
      <c r="G79" s="8"/>
    </row>
    <row r="80" customFormat="false" ht="15" hidden="false" customHeight="false" outlineLevel="0" collapsed="false">
      <c r="A80" s="7"/>
      <c r="B80" s="7"/>
      <c r="C80" s="6" t="str">
        <f aca="false">IF(A80="","",IFERROR(INDEX(Participantes!$B$4:$B$28,MATCH(A80,Participantes!$A$4:$A$28,0)),"Código no válido"))</f>
        <v/>
      </c>
      <c r="D80" s="6" t="str">
        <f aca="false">IF(B80="","",IFERROR(INDEX(Situaciones!$B$4:$B$59,MATCH(B80,Situaciones!$A$4:$A$59,0)),"Situación no válida"))</f>
        <v/>
      </c>
      <c r="E80" s="6" t="str">
        <f aca="false">IF(A80="","",IFERROR(INDEX(Participantes!$I$4:$I$28,MATCH(A80,Participantes!$A$4:$A$28,0)),""))</f>
        <v/>
      </c>
      <c r="F80" s="5" t="str">
        <f aca="false">IF(OR(A80="",B80=""),"",IF(C80&lt;&gt;D80,"Revisar: la situación no es de su formulario",IF(COUNTIFS($A$4:$A80,A80,$B$4:$B80,B80)&gt;1,"Revisar: repetida","OK")))</f>
        <v/>
      </c>
      <c r="G80" s="8"/>
    </row>
    <row r="81" customFormat="false" ht="15" hidden="false" customHeight="false" outlineLevel="0" collapsed="false">
      <c r="A81" s="7"/>
      <c r="B81" s="7"/>
      <c r="C81" s="6" t="str">
        <f aca="false">IF(A81="","",IFERROR(INDEX(Participantes!$B$4:$B$28,MATCH(A81,Participantes!$A$4:$A$28,0)),"Código no válido"))</f>
        <v/>
      </c>
      <c r="D81" s="6" t="str">
        <f aca="false">IF(B81="","",IFERROR(INDEX(Situaciones!$B$4:$B$59,MATCH(B81,Situaciones!$A$4:$A$59,0)),"Situación no válida"))</f>
        <v/>
      </c>
      <c r="E81" s="6" t="str">
        <f aca="false">IF(A81="","",IFERROR(INDEX(Participantes!$I$4:$I$28,MATCH(A81,Participantes!$A$4:$A$28,0)),""))</f>
        <v/>
      </c>
      <c r="F81" s="5" t="str">
        <f aca="false">IF(OR(A81="",B81=""),"",IF(C81&lt;&gt;D81,"Revisar: la situación no es de su formulario",IF(COUNTIFS($A$4:$A81,A81,$B$4:$B81,B81)&gt;1,"Revisar: repetida","OK")))</f>
        <v/>
      </c>
      <c r="G81" s="8"/>
    </row>
    <row r="82" customFormat="false" ht="15" hidden="false" customHeight="false" outlineLevel="0" collapsed="false">
      <c r="A82" s="7"/>
      <c r="B82" s="7"/>
      <c r="C82" s="6" t="str">
        <f aca="false">IF(A82="","",IFERROR(INDEX(Participantes!$B$4:$B$28,MATCH(A82,Participantes!$A$4:$A$28,0)),"Código no válido"))</f>
        <v/>
      </c>
      <c r="D82" s="6" t="str">
        <f aca="false">IF(B82="","",IFERROR(INDEX(Situaciones!$B$4:$B$59,MATCH(B82,Situaciones!$A$4:$A$59,0)),"Situación no válida"))</f>
        <v/>
      </c>
      <c r="E82" s="6" t="str">
        <f aca="false">IF(A82="","",IFERROR(INDEX(Participantes!$I$4:$I$28,MATCH(A82,Participantes!$A$4:$A$28,0)),""))</f>
        <v/>
      </c>
      <c r="F82" s="5" t="str">
        <f aca="false">IF(OR(A82="",B82=""),"",IF(C82&lt;&gt;D82,"Revisar: la situación no es de su formulario",IF(COUNTIFS($A$4:$A82,A82,$B$4:$B82,B82)&gt;1,"Revisar: repetida","OK")))</f>
        <v/>
      </c>
      <c r="G82" s="8"/>
    </row>
    <row r="83" customFormat="false" ht="15" hidden="false" customHeight="false" outlineLevel="0" collapsed="false">
      <c r="A83" s="7"/>
      <c r="B83" s="7"/>
      <c r="C83" s="6" t="str">
        <f aca="false">IF(A83="","",IFERROR(INDEX(Participantes!$B$4:$B$28,MATCH(A83,Participantes!$A$4:$A$28,0)),"Código no válido"))</f>
        <v/>
      </c>
      <c r="D83" s="6" t="str">
        <f aca="false">IF(B83="","",IFERROR(INDEX(Situaciones!$B$4:$B$59,MATCH(B83,Situaciones!$A$4:$A$59,0)),"Situación no válida"))</f>
        <v/>
      </c>
      <c r="E83" s="6" t="str">
        <f aca="false">IF(A83="","",IFERROR(INDEX(Participantes!$I$4:$I$28,MATCH(A83,Participantes!$A$4:$A$28,0)),""))</f>
        <v/>
      </c>
      <c r="F83" s="5" t="str">
        <f aca="false">IF(OR(A83="",B83=""),"",IF(C83&lt;&gt;D83,"Revisar: la situación no es de su formulario",IF(COUNTIFS($A$4:$A83,A83,$B$4:$B83,B83)&gt;1,"Revisar: repetida","OK")))</f>
        <v/>
      </c>
      <c r="G83" s="8"/>
    </row>
  </sheetData>
  <mergeCells count="1">
    <mergeCell ref="A2:G2"/>
  </mergeCells>
  <conditionalFormatting sqref="F4:F83">
    <cfRule type="expression" priority="2" aboveAverage="0" equalAverage="0" bottom="0" percent="0" rank="0" text="" dxfId="2">
      <formula>LEFT($F4,7)="Revisar"</formula>
    </cfRule>
  </conditionalFormatting>
  <dataValidations count="2">
    <dataValidation allowBlank="true" error="Elige un código de la hoja Participantes." errorStyle="stop" errorTitle="Código" operator="between" showDropDown="false" showErrorMessage="true" showInputMessage="false" sqref="A4:A83" type="list">
      <formula1>Participantes!$A$4:$A$28</formula1>
      <formula2>0</formula2>
    </dataValidation>
    <dataValidation allowBlank="true" error="Elige una situación entre S01 y S56." errorStyle="stop" errorTitle="Situación" operator="between" showDropDown="false" showErrorMessage="true" showInputMessage="false" sqref="B4:B83" type="list">
      <formula1>Situaciones!$A$4:$A$59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6" min="5" style="0" width="16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1" t="s">
        <v>59</v>
      </c>
    </row>
    <row r="2" customFormat="false" ht="15.75" hidden="false" customHeight="true" outlineLevel="0" collapsed="false">
      <c r="A2" s="2" t="s">
        <v>60</v>
      </c>
      <c r="B2" s="2"/>
      <c r="C2" s="2"/>
      <c r="D2" s="2"/>
      <c r="E2" s="2"/>
      <c r="F2" s="2"/>
      <c r="G2" s="2"/>
    </row>
    <row r="3" customFormat="false" ht="15" hidden="false" customHeight="true" outlineLevel="0" collapsed="false">
      <c r="A3" s="3" t="s">
        <v>61</v>
      </c>
      <c r="B3" s="3" t="s">
        <v>62</v>
      </c>
      <c r="C3" s="3" t="s">
        <v>63</v>
      </c>
      <c r="D3" s="3"/>
      <c r="E3" s="3"/>
      <c r="F3" s="3"/>
      <c r="G3" s="3"/>
    </row>
    <row r="4" customFormat="false" ht="27" hidden="false" customHeight="true" outlineLevel="0" collapsed="false">
      <c r="A4" s="16" t="s">
        <v>64</v>
      </c>
      <c r="B4" s="7" t="n">
        <v>20</v>
      </c>
      <c r="C4" s="17" t="s">
        <v>65</v>
      </c>
      <c r="D4" s="17"/>
      <c r="E4" s="17"/>
      <c r="F4" s="17"/>
      <c r="G4" s="17"/>
    </row>
    <row r="5" customFormat="false" ht="27" hidden="false" customHeight="true" outlineLevel="0" collapsed="false">
      <c r="A5" s="16" t="s">
        <v>66</v>
      </c>
      <c r="B5" s="7" t="n">
        <v>4</v>
      </c>
      <c r="C5" s="17" t="s">
        <v>67</v>
      </c>
      <c r="D5" s="17"/>
      <c r="E5" s="17"/>
      <c r="F5" s="17"/>
      <c r="G5" s="17"/>
    </row>
    <row r="6" customFormat="false" ht="27" hidden="false" customHeight="true" outlineLevel="0" collapsed="false">
      <c r="A6" s="16" t="s">
        <v>68</v>
      </c>
      <c r="B6" s="7" t="n">
        <v>3</v>
      </c>
      <c r="C6" s="17" t="s">
        <v>69</v>
      </c>
      <c r="D6" s="17"/>
      <c r="E6" s="17"/>
      <c r="F6" s="17"/>
      <c r="G6" s="17"/>
    </row>
    <row r="7" customFormat="false" ht="27" hidden="false" customHeight="true" outlineLevel="0" collapsed="false">
      <c r="A7" s="16" t="s">
        <v>70</v>
      </c>
      <c r="B7" s="7" t="n">
        <v>15</v>
      </c>
      <c r="C7" s="17" t="s">
        <v>71</v>
      </c>
      <c r="D7" s="17"/>
      <c r="E7" s="17"/>
      <c r="F7" s="17"/>
      <c r="G7" s="17"/>
    </row>
    <row r="8" customFormat="false" ht="27" hidden="false" customHeight="true" outlineLevel="0" collapsed="false">
      <c r="A8" s="16" t="s">
        <v>72</v>
      </c>
      <c r="B8" s="7" t="n">
        <v>3</v>
      </c>
      <c r="C8" s="17" t="s">
        <v>73</v>
      </c>
      <c r="D8" s="17"/>
      <c r="E8" s="17"/>
      <c r="F8" s="17"/>
      <c r="G8" s="17"/>
    </row>
    <row r="10" customFormat="false" ht="15" hidden="false" customHeight="false" outlineLevel="0" collapsed="false">
      <c r="A10" s="18" t="s">
        <v>74</v>
      </c>
      <c r="B10" s="19"/>
      <c r="C10" s="19"/>
      <c r="D10" s="19"/>
      <c r="E10" s="19"/>
      <c r="F10" s="19"/>
      <c r="G10" s="19"/>
    </row>
    <row r="11" customFormat="false" ht="31.5" hidden="false" customHeight="true" outlineLevel="0" collapsed="false">
      <c r="A11" s="3" t="s">
        <v>3</v>
      </c>
      <c r="B11" s="3" t="s">
        <v>75</v>
      </c>
      <c r="C11" s="3" t="s">
        <v>76</v>
      </c>
      <c r="D11" s="3" t="s">
        <v>77</v>
      </c>
      <c r="E11" s="3" t="s">
        <v>78</v>
      </c>
      <c r="F11" s="3" t="s">
        <v>79</v>
      </c>
      <c r="G11" s="3" t="s">
        <v>80</v>
      </c>
    </row>
    <row r="12" customFormat="false" ht="15" hidden="false" customHeight="false" outlineLevel="0" collapsed="false">
      <c r="A12" s="4" t="s">
        <v>43</v>
      </c>
      <c r="B12" s="6" t="n">
        <f aca="false">INDEX(Formularios!$B$2:$B$6,MATCH(A12,Formularios!$A$2:$A$6,0))</f>
        <v>12</v>
      </c>
      <c r="C12" s="6" t="n">
        <f aca="false">COUNTIF(Participantes!$B$4:$B$28,A12)</f>
        <v>5</v>
      </c>
      <c r="D12" s="6" t="n">
        <f aca="false">COUNTIFS(Participantes!$B$4:$B$28,A12,Participantes!$I$4:$I$28,"Transcrito")</f>
        <v>0</v>
      </c>
      <c r="E12" s="5" t="n">
        <f aca="false">$B$5</f>
        <v>4</v>
      </c>
      <c r="F12" s="5" t="n">
        <f aca="false">MAX(0,E12-D12)</f>
        <v>4</v>
      </c>
      <c r="G12" s="5" t="str">
        <f aca="false">IF(D12&gt;=$B$5,"Meta cumplida",IF(D12&gt;=$B$6,"Mínimo alcanzado","Insuficiente"))</f>
        <v>Insuficiente</v>
      </c>
    </row>
    <row r="13" customFormat="false" ht="15" hidden="false" customHeight="false" outlineLevel="0" collapsed="false">
      <c r="A13" s="4" t="s">
        <v>81</v>
      </c>
      <c r="B13" s="6" t="n">
        <f aca="false">INDEX(Formularios!$B$2:$B$6,MATCH(A13,Formularios!$A$2:$A$6,0))</f>
        <v>11</v>
      </c>
      <c r="C13" s="6" t="n">
        <f aca="false">COUNTIF(Participantes!$B$4:$B$28,A13)</f>
        <v>5</v>
      </c>
      <c r="D13" s="6" t="n">
        <f aca="false">COUNTIFS(Participantes!$B$4:$B$28,A13,Participantes!$I$4:$I$28,"Transcrito")</f>
        <v>0</v>
      </c>
      <c r="E13" s="5" t="n">
        <f aca="false">$B$5</f>
        <v>4</v>
      </c>
      <c r="F13" s="5" t="n">
        <f aca="false">MAX(0,E13-D13)</f>
        <v>4</v>
      </c>
      <c r="G13" s="5" t="str">
        <f aca="false">IF(D13&gt;=$B$5,"Meta cumplida",IF(D13&gt;=$B$6,"Mínimo alcanzado","Insuficiente"))</f>
        <v>Insuficiente</v>
      </c>
    </row>
    <row r="14" customFormat="false" ht="15" hidden="false" customHeight="false" outlineLevel="0" collapsed="false">
      <c r="A14" s="4" t="s">
        <v>82</v>
      </c>
      <c r="B14" s="6" t="n">
        <f aca="false">INDEX(Formularios!$B$2:$B$6,MATCH(A14,Formularios!$A$2:$A$6,0))</f>
        <v>11</v>
      </c>
      <c r="C14" s="6" t="n">
        <f aca="false">COUNTIF(Participantes!$B$4:$B$28,A14)</f>
        <v>5</v>
      </c>
      <c r="D14" s="6" t="n">
        <f aca="false">COUNTIFS(Participantes!$B$4:$B$28,A14,Participantes!$I$4:$I$28,"Transcrito")</f>
        <v>0</v>
      </c>
      <c r="E14" s="5" t="n">
        <f aca="false">$B$5</f>
        <v>4</v>
      </c>
      <c r="F14" s="5" t="n">
        <f aca="false">MAX(0,E14-D14)</f>
        <v>4</v>
      </c>
      <c r="G14" s="5" t="str">
        <f aca="false">IF(D14&gt;=$B$5,"Meta cumplida",IF(D14&gt;=$B$6,"Mínimo alcanzado","Insuficiente"))</f>
        <v>Insuficiente</v>
      </c>
    </row>
    <row r="15" customFormat="false" ht="15" hidden="false" customHeight="false" outlineLevel="0" collapsed="false">
      <c r="A15" s="4" t="s">
        <v>83</v>
      </c>
      <c r="B15" s="6" t="n">
        <f aca="false">INDEX(Formularios!$B$2:$B$6,MATCH(A15,Formularios!$A$2:$A$6,0))</f>
        <v>11</v>
      </c>
      <c r="C15" s="6" t="n">
        <f aca="false">COUNTIF(Participantes!$B$4:$B$28,A15)</f>
        <v>5</v>
      </c>
      <c r="D15" s="6" t="n">
        <f aca="false">COUNTIFS(Participantes!$B$4:$B$28,A15,Participantes!$I$4:$I$28,"Transcrito")</f>
        <v>0</v>
      </c>
      <c r="E15" s="5" t="n">
        <f aca="false">$B$5</f>
        <v>4</v>
      </c>
      <c r="F15" s="5" t="n">
        <f aca="false">MAX(0,E15-D15)</f>
        <v>4</v>
      </c>
      <c r="G15" s="5" t="str">
        <f aca="false">IF(D15&gt;=$B$5,"Meta cumplida",IF(D15&gt;=$B$6,"Mínimo alcanzado","Insuficiente"))</f>
        <v>Insuficiente</v>
      </c>
    </row>
    <row r="16" customFormat="false" ht="15" hidden="false" customHeight="false" outlineLevel="0" collapsed="false">
      <c r="A16" s="4" t="s">
        <v>84</v>
      </c>
      <c r="B16" s="6" t="n">
        <f aca="false">INDEX(Formularios!$B$2:$B$6,MATCH(A16,Formularios!$A$2:$A$6,0))</f>
        <v>11</v>
      </c>
      <c r="C16" s="6" t="n">
        <f aca="false">COUNTIF(Participantes!$B$4:$B$28,A16)</f>
        <v>5</v>
      </c>
      <c r="D16" s="6" t="n">
        <f aca="false">COUNTIFS(Participantes!$B$4:$B$28,A16,Participantes!$I$4:$I$28,"Transcrito")</f>
        <v>0</v>
      </c>
      <c r="E16" s="5" t="n">
        <f aca="false">$B$5</f>
        <v>4</v>
      </c>
      <c r="F16" s="5" t="n">
        <f aca="false">MAX(0,E16-D16)</f>
        <v>4</v>
      </c>
      <c r="G16" s="5" t="str">
        <f aca="false">IF(D16&gt;=$B$5,"Meta cumplida",IF(D16&gt;=$B$6,"Mínimo alcanzado","Insuficiente"))</f>
        <v>Insuficiente</v>
      </c>
    </row>
    <row r="17" customFormat="false" ht="15" hidden="false" customHeight="false" outlineLevel="0" collapsed="false">
      <c r="A17" s="4" t="s">
        <v>85</v>
      </c>
      <c r="B17" s="4" t="n">
        <f aca="false">SUM(B12:B16)</f>
        <v>56</v>
      </c>
      <c r="C17" s="4" t="n">
        <f aca="false">SUM(C12:C16)</f>
        <v>25</v>
      </c>
      <c r="D17" s="4" t="n">
        <f aca="false">SUM(D12:D16)</f>
        <v>0</v>
      </c>
      <c r="E17" s="4" t="n">
        <f aca="false">SUM(E12:E16)</f>
        <v>20</v>
      </c>
      <c r="F17" s="4" t="n">
        <f aca="false">SUM(F12:F16)</f>
        <v>20</v>
      </c>
      <c r="G17" s="4" t="str">
        <f aca="false">IF(AND(D17&gt;=$B$7,MIN(D12:D16)&gt;=$B$6),"Personas suficientes","Faltan personas")</f>
        <v>Faltan personas</v>
      </c>
    </row>
    <row r="19" customFormat="false" ht="15" hidden="false" customHeight="false" outlineLevel="0" collapsed="false">
      <c r="A19" s="18" t="s">
        <v>86</v>
      </c>
      <c r="B19" s="19"/>
      <c r="C19" s="19"/>
      <c r="D19" s="19"/>
      <c r="E19" s="19"/>
      <c r="F19" s="19"/>
      <c r="G19" s="19"/>
    </row>
    <row r="20" customFormat="false" ht="15" hidden="false" customHeight="true" outlineLevel="0" collapsed="false">
      <c r="A20" s="3" t="s">
        <v>87</v>
      </c>
      <c r="B20" s="3" t="s">
        <v>62</v>
      </c>
      <c r="C20" s="3" t="s">
        <v>88</v>
      </c>
      <c r="D20" s="3"/>
      <c r="E20" s="3"/>
      <c r="F20" s="3"/>
      <c r="G20" s="3"/>
    </row>
    <row r="21" customFormat="false" ht="18" hidden="false" customHeight="true" outlineLevel="0" collapsed="false">
      <c r="A21" s="16" t="s">
        <v>89</v>
      </c>
      <c r="B21" s="6" t="n">
        <f aca="false">COUNTIF(Cobertura!$G$4:$G$57,"Meta cumplida")</f>
        <v>0</v>
      </c>
      <c r="C21" s="17" t="str">
        <f aca="false">"de "&amp;COUNTA(Cobertura!$A$4:$A$57)&amp;" intenciones"</f>
        <v>de 54 intenciones</v>
      </c>
      <c r="D21" s="17"/>
      <c r="E21" s="17"/>
      <c r="F21" s="17"/>
      <c r="G21" s="17"/>
    </row>
    <row r="22" customFormat="false" ht="27" hidden="false" customHeight="true" outlineLevel="0" collapsed="false">
      <c r="A22" s="16" t="s">
        <v>90</v>
      </c>
      <c r="B22" s="6" t="n">
        <f aca="false">COUNTIF(Cobertura!$G$4:$G$57,"Mínimo alcanzado")</f>
        <v>0</v>
      </c>
      <c r="C22" s="17" t="s">
        <v>91</v>
      </c>
      <c r="D22" s="17"/>
      <c r="E22" s="17"/>
      <c r="F22" s="17"/>
      <c r="G22" s="17"/>
    </row>
    <row r="23" customFormat="false" ht="18" hidden="false" customHeight="true" outlineLevel="0" collapsed="false">
      <c r="A23" s="16" t="s">
        <v>92</v>
      </c>
      <c r="B23" s="20" t="n">
        <f aca="false">COUNTIF(Cobertura!$G$4:$G$57,"Insuficiente")</f>
        <v>54</v>
      </c>
      <c r="C23" s="17" t="s">
        <v>93</v>
      </c>
      <c r="D23" s="17"/>
      <c r="E23" s="17"/>
      <c r="F23" s="17"/>
      <c r="G23" s="17"/>
    </row>
    <row r="24" customFormat="false" ht="27" hidden="false" customHeight="true" outlineLevel="0" collapsed="false">
      <c r="A24" s="16" t="s">
        <v>94</v>
      </c>
      <c r="B24" s="6" t="n">
        <f aca="false">MIN(Cobertura!$D$4:$D$57)</f>
        <v>0</v>
      </c>
      <c r="C24" s="17" t="s">
        <v>95</v>
      </c>
      <c r="D24" s="17"/>
      <c r="E24" s="17"/>
      <c r="F24" s="17"/>
      <c r="G24" s="17"/>
    </row>
    <row r="25" customFormat="false" ht="27" hidden="false" customHeight="true" outlineLevel="0" collapsed="false">
      <c r="A25" s="21" t="s">
        <v>96</v>
      </c>
      <c r="B25" s="22" t="str">
        <f aca="false">IF(AND(D17&gt;=$B$7,B24&gt;=$B$6),"Listo para la Parte B","Aún no")</f>
        <v>Aún no</v>
      </c>
      <c r="C25" s="17" t="s">
        <v>97</v>
      </c>
      <c r="D25" s="17"/>
      <c r="E25" s="17"/>
      <c r="F25" s="17"/>
      <c r="G25" s="17"/>
    </row>
    <row r="27" customFormat="false" ht="15" hidden="false" customHeight="false" outlineLevel="0" collapsed="false">
      <c r="A27" s="18" t="s">
        <v>98</v>
      </c>
      <c r="B27" s="19"/>
      <c r="C27" s="19"/>
      <c r="D27" s="19"/>
      <c r="E27" s="19"/>
      <c r="F27" s="19"/>
      <c r="G27" s="19"/>
    </row>
    <row r="28" customFormat="false" ht="30" hidden="false" customHeight="true" outlineLevel="0" collapsed="false">
      <c r="A28" s="3" t="s">
        <v>3</v>
      </c>
      <c r="B28" s="3" t="str">
        <f aca="false">Listas!$A$2</f>
        <v>18–29</v>
      </c>
      <c r="C28" s="3" t="str">
        <f aca="false">Listas!$A$3</f>
        <v>30–44</v>
      </c>
      <c r="D28" s="3" t="str">
        <f aca="false">Listas!$A$4</f>
        <v>45–59</v>
      </c>
      <c r="E28" s="3" t="str">
        <f aca="false">Listas!$A$5</f>
        <v>60 a más</v>
      </c>
      <c r="F28" s="3" t="s">
        <v>99</v>
      </c>
      <c r="G28" s="3" t="s">
        <v>100</v>
      </c>
    </row>
    <row r="29" customFormat="false" ht="15" hidden="false" customHeight="false" outlineLevel="0" collapsed="false">
      <c r="A29" s="4" t="s">
        <v>43</v>
      </c>
      <c r="B29" s="6" t="n">
        <f aca="false">COUNTIFS(Participantes!$B$4:$B$28,$A29,Participantes!$E$4:$E$28,B$28)</f>
        <v>0</v>
      </c>
      <c r="C29" s="6" t="n">
        <f aca="false">COUNTIFS(Participantes!$B$4:$B$28,$A29,Participantes!$E$4:$E$28,C$28)</f>
        <v>0</v>
      </c>
      <c r="D29" s="6" t="n">
        <f aca="false">COUNTIFS(Participantes!$B$4:$B$28,$A29,Participantes!$E$4:$E$28,D$28)</f>
        <v>0</v>
      </c>
      <c r="E29" s="6" t="n">
        <f aca="false">COUNTIFS(Participantes!$B$4:$B$28,$A29,Participantes!$E$4:$E$28,E$28)</f>
        <v>0</v>
      </c>
      <c r="F29" s="5" t="n">
        <f aca="false">SUMPRODUCT(--(B29:E29&gt;0))</f>
        <v>0</v>
      </c>
      <c r="G29" s="5" t="str">
        <f aca="false">IF(SUM(B29:E29)=0,"",IF(F29&gt;=$B$8,"Buena",IF(F29&gt;=$B$8-1,"Media","Baja")))</f>
        <v/>
      </c>
    </row>
    <row r="30" customFormat="false" ht="15" hidden="false" customHeight="false" outlineLevel="0" collapsed="false">
      <c r="A30" s="4" t="s">
        <v>81</v>
      </c>
      <c r="B30" s="6" t="n">
        <f aca="false">COUNTIFS(Participantes!$B$4:$B$28,$A30,Participantes!$E$4:$E$28,B$28)</f>
        <v>0</v>
      </c>
      <c r="C30" s="6" t="n">
        <f aca="false">COUNTIFS(Participantes!$B$4:$B$28,$A30,Participantes!$E$4:$E$28,C$28)</f>
        <v>0</v>
      </c>
      <c r="D30" s="6" t="n">
        <f aca="false">COUNTIFS(Participantes!$B$4:$B$28,$A30,Participantes!$E$4:$E$28,D$28)</f>
        <v>0</v>
      </c>
      <c r="E30" s="6" t="n">
        <f aca="false">COUNTIFS(Participantes!$B$4:$B$28,$A30,Participantes!$E$4:$E$28,E$28)</f>
        <v>0</v>
      </c>
      <c r="F30" s="5" t="n">
        <f aca="false">SUMPRODUCT(--(B30:E30&gt;0))</f>
        <v>0</v>
      </c>
      <c r="G30" s="5" t="str">
        <f aca="false">IF(SUM(B30:E30)=0,"",IF(F30&gt;=$B$8,"Buena",IF(F30&gt;=$B$8-1,"Media","Baja")))</f>
        <v/>
      </c>
    </row>
    <row r="31" customFormat="false" ht="15" hidden="false" customHeight="false" outlineLevel="0" collapsed="false">
      <c r="A31" s="4" t="s">
        <v>82</v>
      </c>
      <c r="B31" s="6" t="n">
        <f aca="false">COUNTIFS(Participantes!$B$4:$B$28,$A31,Participantes!$E$4:$E$28,B$28)</f>
        <v>0</v>
      </c>
      <c r="C31" s="6" t="n">
        <f aca="false">COUNTIFS(Participantes!$B$4:$B$28,$A31,Participantes!$E$4:$E$28,C$28)</f>
        <v>0</v>
      </c>
      <c r="D31" s="6" t="n">
        <f aca="false">COUNTIFS(Participantes!$B$4:$B$28,$A31,Participantes!$E$4:$E$28,D$28)</f>
        <v>0</v>
      </c>
      <c r="E31" s="6" t="n">
        <f aca="false">COUNTIFS(Participantes!$B$4:$B$28,$A31,Participantes!$E$4:$E$28,E$28)</f>
        <v>0</v>
      </c>
      <c r="F31" s="5" t="n">
        <f aca="false">SUMPRODUCT(--(B31:E31&gt;0))</f>
        <v>0</v>
      </c>
      <c r="G31" s="5" t="str">
        <f aca="false">IF(SUM(B31:E31)=0,"",IF(F31&gt;=$B$8,"Buena",IF(F31&gt;=$B$8-1,"Media","Baja")))</f>
        <v/>
      </c>
    </row>
    <row r="32" customFormat="false" ht="15" hidden="false" customHeight="false" outlineLevel="0" collapsed="false">
      <c r="A32" s="4" t="s">
        <v>83</v>
      </c>
      <c r="B32" s="6" t="n">
        <f aca="false">COUNTIFS(Participantes!$B$4:$B$28,$A32,Participantes!$E$4:$E$28,B$28)</f>
        <v>0</v>
      </c>
      <c r="C32" s="6" t="n">
        <f aca="false">COUNTIFS(Participantes!$B$4:$B$28,$A32,Participantes!$E$4:$E$28,C$28)</f>
        <v>0</v>
      </c>
      <c r="D32" s="6" t="n">
        <f aca="false">COUNTIFS(Participantes!$B$4:$B$28,$A32,Participantes!$E$4:$E$28,D$28)</f>
        <v>0</v>
      </c>
      <c r="E32" s="6" t="n">
        <f aca="false">COUNTIFS(Participantes!$B$4:$B$28,$A32,Participantes!$E$4:$E$28,E$28)</f>
        <v>0</v>
      </c>
      <c r="F32" s="5" t="n">
        <f aca="false">SUMPRODUCT(--(B32:E32&gt;0))</f>
        <v>0</v>
      </c>
      <c r="G32" s="5" t="str">
        <f aca="false">IF(SUM(B32:E32)=0,"",IF(F32&gt;=$B$8,"Buena",IF(F32&gt;=$B$8-1,"Media","Baja")))</f>
        <v/>
      </c>
    </row>
    <row r="33" customFormat="false" ht="15" hidden="false" customHeight="false" outlineLevel="0" collapsed="false">
      <c r="A33" s="4" t="s">
        <v>84</v>
      </c>
      <c r="B33" s="6" t="n">
        <f aca="false">COUNTIFS(Participantes!$B$4:$B$28,$A33,Participantes!$E$4:$E$28,B$28)</f>
        <v>0</v>
      </c>
      <c r="C33" s="6" t="n">
        <f aca="false">COUNTIFS(Participantes!$B$4:$B$28,$A33,Participantes!$E$4:$E$28,C$28)</f>
        <v>0</v>
      </c>
      <c r="D33" s="6" t="n">
        <f aca="false">COUNTIFS(Participantes!$B$4:$B$28,$A33,Participantes!$E$4:$E$28,D$28)</f>
        <v>0</v>
      </c>
      <c r="E33" s="6" t="n">
        <f aca="false">COUNTIFS(Participantes!$B$4:$B$28,$A33,Participantes!$E$4:$E$28,E$28)</f>
        <v>0</v>
      </c>
      <c r="F33" s="5" t="n">
        <f aca="false">SUMPRODUCT(--(B33:E33&gt;0))</f>
        <v>0</v>
      </c>
      <c r="G33" s="5" t="str">
        <f aca="false">IF(SUM(B33:E33)=0,"",IF(F33&gt;=$B$8,"Buena",IF(F33&gt;=$B$8-1,"Media","Baja")))</f>
        <v/>
      </c>
    </row>
    <row r="34" customFormat="false" ht="15" hidden="false" customHeight="false" outlineLevel="0" collapsed="false">
      <c r="A34" s="11" t="s">
        <v>101</v>
      </c>
    </row>
  </sheetData>
  <mergeCells count="13">
    <mergeCell ref="A2:G2"/>
    <mergeCell ref="C3:G3"/>
    <mergeCell ref="C4:G4"/>
    <mergeCell ref="C5:G5"/>
    <mergeCell ref="C6:G6"/>
    <mergeCell ref="C7:G7"/>
    <mergeCell ref="C8:G8"/>
    <mergeCell ref="C20:G20"/>
    <mergeCell ref="C21:G21"/>
    <mergeCell ref="C22:G22"/>
    <mergeCell ref="C23:G23"/>
    <mergeCell ref="C24:G24"/>
    <mergeCell ref="C25:G25"/>
  </mergeCells>
  <conditionalFormatting sqref="G12:G16">
    <cfRule type="cellIs" priority="2" operator="equal" aboveAverage="0" equalAverage="0" bottom="0" percent="0" rank="0" text="" dxfId="0">
      <formula>"Meta cumplida"</formula>
    </cfRule>
    <cfRule type="cellIs" priority="3" operator="equal" aboveAverage="0" equalAverage="0" bottom="0" percent="0" rank="0" text="" dxfId="1">
      <formula>"Mínimo alcanzado"</formula>
    </cfRule>
    <cfRule type="cellIs" priority="4" operator="equal" aboveAverage="0" equalAverage="0" bottom="0" percent="0" rank="0" text="" dxfId="2">
      <formula>"Insuficiente"</formula>
    </cfRule>
  </conditionalFormatting>
  <conditionalFormatting sqref="G17">
    <cfRule type="cellIs" priority="5" operator="equal" aboveAverage="0" equalAverage="0" bottom="0" percent="0" rank="0" text="" dxfId="0">
      <formula>"Personas suficientes"</formula>
    </cfRule>
    <cfRule type="cellIs" priority="6" operator="equal" aboveAverage="0" equalAverage="0" bottom="0" percent="0" rank="0" text="" dxfId="1">
      <formula>"Faltan personas"</formula>
    </cfRule>
  </conditionalFormatting>
  <conditionalFormatting sqref="B25">
    <cfRule type="cellIs" priority="7" operator="equal" aboveAverage="0" equalAverage="0" bottom="0" percent="0" rank="0" text="" dxfId="0">
      <formula>"Listo para la Parte B"</formula>
    </cfRule>
    <cfRule type="cellIs" priority="8" operator="equal" aboveAverage="0" equalAverage="0" bottom="0" percent="0" rank="0" text="" dxfId="1">
      <formula>"Aún no"</formula>
    </cfRule>
  </conditionalFormatting>
  <conditionalFormatting sqref="B23">
    <cfRule type="cellIs" priority="9" operator="greaterThan" aboveAverage="0" equalAverage="0" bottom="0" percent="0" rank="0" text="" dxfId="2">
      <formula>0</formula>
    </cfRule>
  </conditionalFormatting>
  <conditionalFormatting sqref="G29:G33">
    <cfRule type="cellIs" priority="10" operator="equal" aboveAverage="0" equalAverage="0" bottom="0" percent="0" rank="0" text="" dxfId="0">
      <formula>"Buena"</formula>
    </cfRule>
    <cfRule type="cellIs" priority="11" operator="equal" aboveAverage="0" equalAverage="0" bottom="0" percent="0" rank="0" text="" dxfId="1">
      <formula>"Media"</formula>
    </cfRule>
    <cfRule type="cellIs" priority="12" operator="equal" aboveAverage="0" equalAverage="0" bottom="0" percent="0" rank="0" text="" dxfId="2">
      <formula>"Baja"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6"/>
    <col collapsed="false" customWidth="true" hidden="false" outlineLevel="0" max="4" min="3" style="0" width="12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102</v>
      </c>
    </row>
    <row r="2" customFormat="false" ht="30" hidden="false" customHeight="true" outlineLevel="0" collapsed="false">
      <c r="A2" s="2" t="s">
        <v>103</v>
      </c>
      <c r="B2" s="2"/>
      <c r="C2" s="2"/>
      <c r="D2" s="2"/>
      <c r="E2" s="2"/>
      <c r="F2" s="2"/>
      <c r="G2" s="2"/>
    </row>
    <row r="3" customFormat="false" ht="31.5" hidden="false" customHeight="true" outlineLevel="0" collapsed="false">
      <c r="A3" s="3" t="s">
        <v>104</v>
      </c>
      <c r="B3" s="3" t="s">
        <v>105</v>
      </c>
      <c r="C3" s="3" t="s">
        <v>75</v>
      </c>
      <c r="D3" s="3" t="s">
        <v>106</v>
      </c>
      <c r="E3" s="3" t="s">
        <v>107</v>
      </c>
      <c r="F3" s="3" t="s">
        <v>79</v>
      </c>
      <c r="G3" s="3" t="s">
        <v>10</v>
      </c>
    </row>
    <row r="4" customFormat="false" ht="15" hidden="false" customHeight="false" outlineLevel="0" collapsed="false">
      <c r="A4" s="23" t="s">
        <v>108</v>
      </c>
      <c r="B4" s="23" t="s">
        <v>109</v>
      </c>
      <c r="C4" s="6" t="n">
        <f aca="false">COUNTIF(Situaciones!$C$4:$C$59,A4)</f>
        <v>1</v>
      </c>
      <c r="D4" s="6" t="n">
        <f aca="false">SUMIF(Situaciones!$C$4:$C$59,A4,Situaciones!$F$4:$F$59)</f>
        <v>0</v>
      </c>
      <c r="E4" s="6" t="n">
        <f aca="false">Resumen!$B$5</f>
        <v>4</v>
      </c>
      <c r="F4" s="5" t="n">
        <f aca="false">MAX(0,E4-D4)</f>
        <v>4</v>
      </c>
      <c r="G4" s="6" t="str">
        <f aca="false">IF(D4&gt;=E4,"Meta cumplida",IF(D4&gt;=Resumen!$B$6,"Mínimo alcanzado","Insuficiente"))</f>
        <v>Insuficiente</v>
      </c>
    </row>
    <row r="5" customFormat="false" ht="15" hidden="false" customHeight="false" outlineLevel="0" collapsed="false">
      <c r="A5" s="23" t="s">
        <v>110</v>
      </c>
      <c r="B5" s="23" t="s">
        <v>109</v>
      </c>
      <c r="C5" s="6" t="n">
        <f aca="false">COUNTIF(Situaciones!$C$4:$C$59,A5)</f>
        <v>1</v>
      </c>
      <c r="D5" s="6" t="n">
        <f aca="false">SUMIF(Situaciones!$C$4:$C$59,A5,Situaciones!$F$4:$F$59)</f>
        <v>0</v>
      </c>
      <c r="E5" s="6" t="n">
        <f aca="false">Resumen!$B$5</f>
        <v>4</v>
      </c>
      <c r="F5" s="5" t="n">
        <f aca="false">MAX(0,E5-D5)</f>
        <v>4</v>
      </c>
      <c r="G5" s="6" t="str">
        <f aca="false">IF(D5&gt;=E5,"Meta cumplida",IF(D5&gt;=Resumen!$B$6,"Mínimo alcanzado","Insuficiente"))</f>
        <v>Insuficiente</v>
      </c>
    </row>
    <row r="6" customFormat="false" ht="15" hidden="false" customHeight="false" outlineLevel="0" collapsed="false">
      <c r="A6" s="23" t="s">
        <v>111</v>
      </c>
      <c r="B6" s="23" t="s">
        <v>109</v>
      </c>
      <c r="C6" s="6" t="n">
        <f aca="false">COUNTIF(Situaciones!$C$4:$C$59,A6)</f>
        <v>1</v>
      </c>
      <c r="D6" s="6" t="n">
        <f aca="false">SUMIF(Situaciones!$C$4:$C$59,A6,Situaciones!$F$4:$F$59)</f>
        <v>0</v>
      </c>
      <c r="E6" s="6" t="n">
        <f aca="false">Resumen!$B$5</f>
        <v>4</v>
      </c>
      <c r="F6" s="5" t="n">
        <f aca="false">MAX(0,E6-D6)</f>
        <v>4</v>
      </c>
      <c r="G6" s="6" t="str">
        <f aca="false">IF(D6&gt;=E6,"Meta cumplida",IF(D6&gt;=Resumen!$B$6,"Mínimo alcanzado","Insuficiente"))</f>
        <v>Insuficiente</v>
      </c>
    </row>
    <row r="7" customFormat="false" ht="15" hidden="false" customHeight="false" outlineLevel="0" collapsed="false">
      <c r="A7" s="23" t="s">
        <v>112</v>
      </c>
      <c r="B7" s="23" t="s">
        <v>109</v>
      </c>
      <c r="C7" s="6" t="n">
        <f aca="false">COUNTIF(Situaciones!$C$4:$C$59,A7)</f>
        <v>1</v>
      </c>
      <c r="D7" s="6" t="n">
        <f aca="false">SUMIF(Situaciones!$C$4:$C$59,A7,Situaciones!$F$4:$F$59)</f>
        <v>0</v>
      </c>
      <c r="E7" s="6" t="n">
        <f aca="false">Resumen!$B$5</f>
        <v>4</v>
      </c>
      <c r="F7" s="5" t="n">
        <f aca="false">MAX(0,E7-D7)</f>
        <v>4</v>
      </c>
      <c r="G7" s="6" t="str">
        <f aca="false">IF(D7&gt;=E7,"Meta cumplida",IF(D7&gt;=Resumen!$B$6,"Mínimo alcanzado","Insuficiente"))</f>
        <v>Insuficiente</v>
      </c>
    </row>
    <row r="8" customFormat="false" ht="15" hidden="false" customHeight="false" outlineLevel="0" collapsed="false">
      <c r="A8" s="23" t="s">
        <v>113</v>
      </c>
      <c r="B8" s="23" t="s">
        <v>109</v>
      </c>
      <c r="C8" s="6" t="n">
        <f aca="false">COUNTIF(Situaciones!$C$4:$C$59,A8)</f>
        <v>1</v>
      </c>
      <c r="D8" s="6" t="n">
        <f aca="false">SUMIF(Situaciones!$C$4:$C$59,A8,Situaciones!$F$4:$F$59)</f>
        <v>0</v>
      </c>
      <c r="E8" s="6" t="n">
        <f aca="false">Resumen!$B$5</f>
        <v>4</v>
      </c>
      <c r="F8" s="5" t="n">
        <f aca="false">MAX(0,E8-D8)</f>
        <v>4</v>
      </c>
      <c r="G8" s="6" t="str">
        <f aca="false">IF(D8&gt;=E8,"Meta cumplida",IF(D8&gt;=Resumen!$B$6,"Mínimo alcanzado","Insuficiente"))</f>
        <v>Insuficiente</v>
      </c>
    </row>
    <row r="9" customFormat="false" ht="15" hidden="false" customHeight="false" outlineLevel="0" collapsed="false">
      <c r="A9" s="23" t="s">
        <v>114</v>
      </c>
      <c r="B9" s="23" t="s">
        <v>109</v>
      </c>
      <c r="C9" s="6" t="n">
        <f aca="false">COUNTIF(Situaciones!$C$4:$C$59,A9)</f>
        <v>1</v>
      </c>
      <c r="D9" s="6" t="n">
        <f aca="false">SUMIF(Situaciones!$C$4:$C$59,A9,Situaciones!$F$4:$F$59)</f>
        <v>0</v>
      </c>
      <c r="E9" s="6" t="n">
        <f aca="false">Resumen!$B$5</f>
        <v>4</v>
      </c>
      <c r="F9" s="5" t="n">
        <f aca="false">MAX(0,E9-D9)</f>
        <v>4</v>
      </c>
      <c r="G9" s="6" t="str">
        <f aca="false">IF(D9&gt;=E9,"Meta cumplida",IF(D9&gt;=Resumen!$B$6,"Mínimo alcanzado","Insuficiente"))</f>
        <v>Insuficiente</v>
      </c>
    </row>
    <row r="10" customFormat="false" ht="15" hidden="false" customHeight="false" outlineLevel="0" collapsed="false">
      <c r="A10" s="23" t="s">
        <v>115</v>
      </c>
      <c r="B10" s="23" t="s">
        <v>116</v>
      </c>
      <c r="C10" s="6" t="n">
        <f aca="false">COUNTIF(Situaciones!$C$4:$C$59,A10)</f>
        <v>1</v>
      </c>
      <c r="D10" s="6" t="n">
        <f aca="false">SUMIF(Situaciones!$C$4:$C$59,A10,Situaciones!$F$4:$F$59)</f>
        <v>0</v>
      </c>
      <c r="E10" s="6" t="n">
        <f aca="false">Resumen!$B$5</f>
        <v>4</v>
      </c>
      <c r="F10" s="5" t="n">
        <f aca="false">MAX(0,E10-D10)</f>
        <v>4</v>
      </c>
      <c r="G10" s="6" t="str">
        <f aca="false">IF(D10&gt;=E10,"Meta cumplida",IF(D10&gt;=Resumen!$B$6,"Mínimo alcanzado","Insuficiente"))</f>
        <v>Insuficiente</v>
      </c>
    </row>
    <row r="11" customFormat="false" ht="15" hidden="false" customHeight="false" outlineLevel="0" collapsed="false">
      <c r="A11" s="23" t="s">
        <v>117</v>
      </c>
      <c r="B11" s="23" t="s">
        <v>116</v>
      </c>
      <c r="C11" s="6" t="n">
        <f aca="false">COUNTIF(Situaciones!$C$4:$C$59,A11)</f>
        <v>1</v>
      </c>
      <c r="D11" s="6" t="n">
        <f aca="false">SUMIF(Situaciones!$C$4:$C$59,A11,Situaciones!$F$4:$F$59)</f>
        <v>0</v>
      </c>
      <c r="E11" s="6" t="n">
        <f aca="false">Resumen!$B$5</f>
        <v>4</v>
      </c>
      <c r="F11" s="5" t="n">
        <f aca="false">MAX(0,E11-D11)</f>
        <v>4</v>
      </c>
      <c r="G11" s="6" t="str">
        <f aca="false">IF(D11&gt;=E11,"Meta cumplida",IF(D11&gt;=Resumen!$B$6,"Mínimo alcanzado","Insuficiente"))</f>
        <v>Insuficiente</v>
      </c>
    </row>
    <row r="12" customFormat="false" ht="15" hidden="false" customHeight="false" outlineLevel="0" collapsed="false">
      <c r="A12" s="23" t="s">
        <v>118</v>
      </c>
      <c r="B12" s="23" t="s">
        <v>116</v>
      </c>
      <c r="C12" s="6" t="n">
        <f aca="false">COUNTIF(Situaciones!$C$4:$C$59,A12)</f>
        <v>1</v>
      </c>
      <c r="D12" s="6" t="n">
        <f aca="false">SUMIF(Situaciones!$C$4:$C$59,A12,Situaciones!$F$4:$F$59)</f>
        <v>0</v>
      </c>
      <c r="E12" s="6" t="n">
        <f aca="false">Resumen!$B$5</f>
        <v>4</v>
      </c>
      <c r="F12" s="5" t="n">
        <f aca="false">MAX(0,E12-D12)</f>
        <v>4</v>
      </c>
      <c r="G12" s="6" t="str">
        <f aca="false">IF(D12&gt;=E12,"Meta cumplida",IF(D12&gt;=Resumen!$B$6,"Mínimo alcanzado","Insuficiente"))</f>
        <v>Insuficiente</v>
      </c>
    </row>
    <row r="13" customFormat="false" ht="15" hidden="false" customHeight="false" outlineLevel="0" collapsed="false">
      <c r="A13" s="23" t="s">
        <v>119</v>
      </c>
      <c r="B13" s="23" t="s">
        <v>116</v>
      </c>
      <c r="C13" s="6" t="n">
        <f aca="false">COUNTIF(Situaciones!$C$4:$C$59,A13)</f>
        <v>1</v>
      </c>
      <c r="D13" s="6" t="n">
        <f aca="false">SUMIF(Situaciones!$C$4:$C$59,A13,Situaciones!$F$4:$F$59)</f>
        <v>0</v>
      </c>
      <c r="E13" s="6" t="n">
        <f aca="false">Resumen!$B$5</f>
        <v>4</v>
      </c>
      <c r="F13" s="5" t="n">
        <f aca="false">MAX(0,E13-D13)</f>
        <v>4</v>
      </c>
      <c r="G13" s="6" t="str">
        <f aca="false">IF(D13&gt;=E13,"Meta cumplida",IF(D13&gt;=Resumen!$B$6,"Mínimo alcanzado","Insuficiente"))</f>
        <v>Insuficiente</v>
      </c>
    </row>
    <row r="14" customFormat="false" ht="15" hidden="false" customHeight="false" outlineLevel="0" collapsed="false">
      <c r="A14" s="23" t="s">
        <v>120</v>
      </c>
      <c r="B14" s="23" t="s">
        <v>116</v>
      </c>
      <c r="C14" s="6" t="n">
        <f aca="false">COUNTIF(Situaciones!$C$4:$C$59,A14)</f>
        <v>1</v>
      </c>
      <c r="D14" s="6" t="n">
        <f aca="false">SUMIF(Situaciones!$C$4:$C$59,A14,Situaciones!$F$4:$F$59)</f>
        <v>0</v>
      </c>
      <c r="E14" s="6" t="n">
        <f aca="false">Resumen!$B$5</f>
        <v>4</v>
      </c>
      <c r="F14" s="5" t="n">
        <f aca="false">MAX(0,E14-D14)</f>
        <v>4</v>
      </c>
      <c r="G14" s="6" t="str">
        <f aca="false">IF(D14&gt;=E14,"Meta cumplida",IF(D14&gt;=Resumen!$B$6,"Mínimo alcanzado","Insuficiente"))</f>
        <v>Insuficiente</v>
      </c>
    </row>
    <row r="15" customFormat="false" ht="15" hidden="false" customHeight="false" outlineLevel="0" collapsed="false">
      <c r="A15" s="23" t="s">
        <v>121</v>
      </c>
      <c r="B15" s="23" t="s">
        <v>116</v>
      </c>
      <c r="C15" s="6" t="n">
        <f aca="false">COUNTIF(Situaciones!$C$4:$C$59,A15)</f>
        <v>1</v>
      </c>
      <c r="D15" s="6" t="n">
        <f aca="false">SUMIF(Situaciones!$C$4:$C$59,A15,Situaciones!$F$4:$F$59)</f>
        <v>0</v>
      </c>
      <c r="E15" s="6" t="n">
        <f aca="false">Resumen!$B$5</f>
        <v>4</v>
      </c>
      <c r="F15" s="5" t="n">
        <f aca="false">MAX(0,E15-D15)</f>
        <v>4</v>
      </c>
      <c r="G15" s="6" t="str">
        <f aca="false">IF(D15&gt;=E15,"Meta cumplida",IF(D15&gt;=Resumen!$B$6,"Mínimo alcanzado","Insuficiente"))</f>
        <v>Insuficiente</v>
      </c>
    </row>
    <row r="16" customFormat="false" ht="15" hidden="false" customHeight="false" outlineLevel="0" collapsed="false">
      <c r="A16" s="23" t="s">
        <v>122</v>
      </c>
      <c r="B16" s="23" t="s">
        <v>123</v>
      </c>
      <c r="C16" s="6" t="n">
        <f aca="false">COUNTIF(Situaciones!$C$4:$C$59,A16)</f>
        <v>1</v>
      </c>
      <c r="D16" s="6" t="n">
        <f aca="false">SUMIF(Situaciones!$C$4:$C$59,A16,Situaciones!$F$4:$F$59)</f>
        <v>0</v>
      </c>
      <c r="E16" s="6" t="n">
        <f aca="false">Resumen!$B$5</f>
        <v>4</v>
      </c>
      <c r="F16" s="5" t="n">
        <f aca="false">MAX(0,E16-D16)</f>
        <v>4</v>
      </c>
      <c r="G16" s="6" t="str">
        <f aca="false">IF(D16&gt;=E16,"Meta cumplida",IF(D16&gt;=Resumen!$B$6,"Mínimo alcanzado","Insuficiente"))</f>
        <v>Insuficiente</v>
      </c>
    </row>
    <row r="17" customFormat="false" ht="15" hidden="false" customHeight="false" outlineLevel="0" collapsed="false">
      <c r="A17" s="23" t="s">
        <v>124</v>
      </c>
      <c r="B17" s="23" t="s">
        <v>123</v>
      </c>
      <c r="C17" s="6" t="n">
        <f aca="false">COUNTIF(Situaciones!$C$4:$C$59,A17)</f>
        <v>1</v>
      </c>
      <c r="D17" s="6" t="n">
        <f aca="false">SUMIF(Situaciones!$C$4:$C$59,A17,Situaciones!$F$4:$F$59)</f>
        <v>0</v>
      </c>
      <c r="E17" s="6" t="n">
        <f aca="false">Resumen!$B$5</f>
        <v>4</v>
      </c>
      <c r="F17" s="5" t="n">
        <f aca="false">MAX(0,E17-D17)</f>
        <v>4</v>
      </c>
      <c r="G17" s="6" t="str">
        <f aca="false">IF(D17&gt;=E17,"Meta cumplida",IF(D17&gt;=Resumen!$B$6,"Mínimo alcanzado","Insuficiente"))</f>
        <v>Insuficiente</v>
      </c>
    </row>
    <row r="18" customFormat="false" ht="15" hidden="false" customHeight="false" outlineLevel="0" collapsed="false">
      <c r="A18" s="23" t="s">
        <v>125</v>
      </c>
      <c r="B18" s="23" t="s">
        <v>123</v>
      </c>
      <c r="C18" s="6" t="n">
        <f aca="false">COUNTIF(Situaciones!$C$4:$C$59,A18)</f>
        <v>1</v>
      </c>
      <c r="D18" s="6" t="n">
        <f aca="false">SUMIF(Situaciones!$C$4:$C$59,A18,Situaciones!$F$4:$F$59)</f>
        <v>0</v>
      </c>
      <c r="E18" s="6" t="n">
        <f aca="false">Resumen!$B$5</f>
        <v>4</v>
      </c>
      <c r="F18" s="5" t="n">
        <f aca="false">MAX(0,E18-D18)</f>
        <v>4</v>
      </c>
      <c r="G18" s="6" t="str">
        <f aca="false">IF(D18&gt;=E18,"Meta cumplida",IF(D18&gt;=Resumen!$B$6,"Mínimo alcanzado","Insuficiente"))</f>
        <v>Insuficiente</v>
      </c>
    </row>
    <row r="19" customFormat="false" ht="15" hidden="false" customHeight="false" outlineLevel="0" collapsed="false">
      <c r="A19" s="23" t="s">
        <v>126</v>
      </c>
      <c r="B19" s="23" t="s">
        <v>123</v>
      </c>
      <c r="C19" s="6" t="n">
        <f aca="false">COUNTIF(Situaciones!$C$4:$C$59,A19)</f>
        <v>1</v>
      </c>
      <c r="D19" s="6" t="n">
        <f aca="false">SUMIF(Situaciones!$C$4:$C$59,A19,Situaciones!$F$4:$F$59)</f>
        <v>0</v>
      </c>
      <c r="E19" s="6" t="n">
        <f aca="false">Resumen!$B$5</f>
        <v>4</v>
      </c>
      <c r="F19" s="5" t="n">
        <f aca="false">MAX(0,E19-D19)</f>
        <v>4</v>
      </c>
      <c r="G19" s="6" t="str">
        <f aca="false">IF(D19&gt;=E19,"Meta cumplida",IF(D19&gt;=Resumen!$B$6,"Mínimo alcanzado","Insuficiente"))</f>
        <v>Insuficiente</v>
      </c>
    </row>
    <row r="20" customFormat="false" ht="15" hidden="false" customHeight="false" outlineLevel="0" collapsed="false">
      <c r="A20" s="23" t="s">
        <v>127</v>
      </c>
      <c r="B20" s="23" t="s">
        <v>123</v>
      </c>
      <c r="C20" s="6" t="n">
        <f aca="false">COUNTIF(Situaciones!$C$4:$C$59,A20)</f>
        <v>1</v>
      </c>
      <c r="D20" s="6" t="n">
        <f aca="false">SUMIF(Situaciones!$C$4:$C$59,A20,Situaciones!$F$4:$F$59)</f>
        <v>0</v>
      </c>
      <c r="E20" s="6" t="n">
        <f aca="false">Resumen!$B$5</f>
        <v>4</v>
      </c>
      <c r="F20" s="5" t="n">
        <f aca="false">MAX(0,E20-D20)</f>
        <v>4</v>
      </c>
      <c r="G20" s="6" t="str">
        <f aca="false">IF(D20&gt;=E20,"Meta cumplida",IF(D20&gt;=Resumen!$B$6,"Mínimo alcanzado","Insuficiente"))</f>
        <v>Insuficiente</v>
      </c>
    </row>
    <row r="21" customFormat="false" ht="15" hidden="false" customHeight="false" outlineLevel="0" collapsed="false">
      <c r="A21" s="23" t="s">
        <v>128</v>
      </c>
      <c r="B21" s="23" t="s">
        <v>123</v>
      </c>
      <c r="C21" s="6" t="n">
        <f aca="false">COUNTIF(Situaciones!$C$4:$C$59,A21)</f>
        <v>1</v>
      </c>
      <c r="D21" s="6" t="n">
        <f aca="false">SUMIF(Situaciones!$C$4:$C$59,A21,Situaciones!$F$4:$F$59)</f>
        <v>0</v>
      </c>
      <c r="E21" s="6" t="n">
        <f aca="false">Resumen!$B$5</f>
        <v>4</v>
      </c>
      <c r="F21" s="5" t="n">
        <f aca="false">MAX(0,E21-D21)</f>
        <v>4</v>
      </c>
      <c r="G21" s="6" t="str">
        <f aca="false">IF(D21&gt;=E21,"Meta cumplida",IF(D21&gt;=Resumen!$B$6,"Mínimo alcanzado","Insuficiente"))</f>
        <v>Insuficiente</v>
      </c>
    </row>
    <row r="22" customFormat="false" ht="15" hidden="false" customHeight="false" outlineLevel="0" collapsed="false">
      <c r="A22" s="23" t="s">
        <v>129</v>
      </c>
      <c r="B22" s="23" t="s">
        <v>130</v>
      </c>
      <c r="C22" s="6" t="n">
        <f aca="false">COUNTIF(Situaciones!$C$4:$C$59,A22)</f>
        <v>1</v>
      </c>
      <c r="D22" s="6" t="n">
        <f aca="false">SUMIF(Situaciones!$C$4:$C$59,A22,Situaciones!$F$4:$F$59)</f>
        <v>0</v>
      </c>
      <c r="E22" s="6" t="n">
        <f aca="false">Resumen!$B$5</f>
        <v>4</v>
      </c>
      <c r="F22" s="5" t="n">
        <f aca="false">MAX(0,E22-D22)</f>
        <v>4</v>
      </c>
      <c r="G22" s="6" t="str">
        <f aca="false">IF(D22&gt;=E22,"Meta cumplida",IF(D22&gt;=Resumen!$B$6,"Mínimo alcanzado","Insuficiente"))</f>
        <v>Insuficiente</v>
      </c>
    </row>
    <row r="23" customFormat="false" ht="15" hidden="false" customHeight="false" outlineLevel="0" collapsed="false">
      <c r="A23" s="23" t="s">
        <v>131</v>
      </c>
      <c r="B23" s="23" t="s">
        <v>130</v>
      </c>
      <c r="C23" s="6" t="n">
        <f aca="false">COUNTIF(Situaciones!$C$4:$C$59,A23)</f>
        <v>1</v>
      </c>
      <c r="D23" s="6" t="n">
        <f aca="false">SUMIF(Situaciones!$C$4:$C$59,A23,Situaciones!$F$4:$F$59)</f>
        <v>0</v>
      </c>
      <c r="E23" s="6" t="n">
        <f aca="false">Resumen!$B$5</f>
        <v>4</v>
      </c>
      <c r="F23" s="5" t="n">
        <f aca="false">MAX(0,E23-D23)</f>
        <v>4</v>
      </c>
      <c r="G23" s="6" t="str">
        <f aca="false">IF(D23&gt;=E23,"Meta cumplida",IF(D23&gt;=Resumen!$B$6,"Mínimo alcanzado","Insuficiente"))</f>
        <v>Insuficiente</v>
      </c>
    </row>
    <row r="24" customFormat="false" ht="15" hidden="false" customHeight="false" outlineLevel="0" collapsed="false">
      <c r="A24" s="23" t="s">
        <v>132</v>
      </c>
      <c r="B24" s="23" t="s">
        <v>130</v>
      </c>
      <c r="C24" s="6" t="n">
        <f aca="false">COUNTIF(Situaciones!$C$4:$C$59,A24)</f>
        <v>1</v>
      </c>
      <c r="D24" s="6" t="n">
        <f aca="false">SUMIF(Situaciones!$C$4:$C$59,A24,Situaciones!$F$4:$F$59)</f>
        <v>0</v>
      </c>
      <c r="E24" s="6" t="n">
        <f aca="false">Resumen!$B$5</f>
        <v>4</v>
      </c>
      <c r="F24" s="5" t="n">
        <f aca="false">MAX(0,E24-D24)</f>
        <v>4</v>
      </c>
      <c r="G24" s="6" t="str">
        <f aca="false">IF(D24&gt;=E24,"Meta cumplida",IF(D24&gt;=Resumen!$B$6,"Mínimo alcanzado","Insuficiente"))</f>
        <v>Insuficiente</v>
      </c>
    </row>
    <row r="25" customFormat="false" ht="15" hidden="false" customHeight="false" outlineLevel="0" collapsed="false">
      <c r="A25" s="23" t="s">
        <v>133</v>
      </c>
      <c r="B25" s="23" t="s">
        <v>130</v>
      </c>
      <c r="C25" s="6" t="n">
        <f aca="false">COUNTIF(Situaciones!$C$4:$C$59,A25)</f>
        <v>1</v>
      </c>
      <c r="D25" s="6" t="n">
        <f aca="false">SUMIF(Situaciones!$C$4:$C$59,A25,Situaciones!$F$4:$F$59)</f>
        <v>0</v>
      </c>
      <c r="E25" s="6" t="n">
        <f aca="false">Resumen!$B$5</f>
        <v>4</v>
      </c>
      <c r="F25" s="5" t="n">
        <f aca="false">MAX(0,E25-D25)</f>
        <v>4</v>
      </c>
      <c r="G25" s="6" t="str">
        <f aca="false">IF(D25&gt;=E25,"Meta cumplida",IF(D25&gt;=Resumen!$B$6,"Mínimo alcanzado","Insuficiente"))</f>
        <v>Insuficiente</v>
      </c>
    </row>
    <row r="26" customFormat="false" ht="15" hidden="false" customHeight="false" outlineLevel="0" collapsed="false">
      <c r="A26" s="23" t="s">
        <v>134</v>
      </c>
      <c r="B26" s="23" t="s">
        <v>130</v>
      </c>
      <c r="C26" s="6" t="n">
        <f aca="false">COUNTIF(Situaciones!$C$4:$C$59,A26)</f>
        <v>1</v>
      </c>
      <c r="D26" s="6" t="n">
        <f aca="false">SUMIF(Situaciones!$C$4:$C$59,A26,Situaciones!$F$4:$F$59)</f>
        <v>0</v>
      </c>
      <c r="E26" s="6" t="n">
        <f aca="false">Resumen!$B$5</f>
        <v>4</v>
      </c>
      <c r="F26" s="5" t="n">
        <f aca="false">MAX(0,E26-D26)</f>
        <v>4</v>
      </c>
      <c r="G26" s="6" t="str">
        <f aca="false">IF(D26&gt;=E26,"Meta cumplida",IF(D26&gt;=Resumen!$B$6,"Mínimo alcanzado","Insuficiente"))</f>
        <v>Insuficiente</v>
      </c>
    </row>
    <row r="27" customFormat="false" ht="15" hidden="false" customHeight="false" outlineLevel="0" collapsed="false">
      <c r="A27" s="23" t="s">
        <v>135</v>
      </c>
      <c r="B27" s="23" t="s">
        <v>136</v>
      </c>
      <c r="C27" s="6" t="n">
        <f aca="false">COUNTIF(Situaciones!$C$4:$C$59,A27)</f>
        <v>1</v>
      </c>
      <c r="D27" s="6" t="n">
        <f aca="false">SUMIF(Situaciones!$C$4:$C$59,A27,Situaciones!$F$4:$F$59)</f>
        <v>0</v>
      </c>
      <c r="E27" s="6" t="n">
        <f aca="false">Resumen!$B$5</f>
        <v>4</v>
      </c>
      <c r="F27" s="5" t="n">
        <f aca="false">MAX(0,E27-D27)</f>
        <v>4</v>
      </c>
      <c r="G27" s="6" t="str">
        <f aca="false">IF(D27&gt;=E27,"Meta cumplida",IF(D27&gt;=Resumen!$B$6,"Mínimo alcanzado","Insuficiente"))</f>
        <v>Insuficiente</v>
      </c>
    </row>
    <row r="28" customFormat="false" ht="15" hidden="false" customHeight="false" outlineLevel="0" collapsed="false">
      <c r="A28" s="23" t="s">
        <v>137</v>
      </c>
      <c r="B28" s="23" t="s">
        <v>136</v>
      </c>
      <c r="C28" s="6" t="n">
        <f aca="false">COUNTIF(Situaciones!$C$4:$C$59,A28)</f>
        <v>1</v>
      </c>
      <c r="D28" s="6" t="n">
        <f aca="false">SUMIF(Situaciones!$C$4:$C$59,A28,Situaciones!$F$4:$F$59)</f>
        <v>0</v>
      </c>
      <c r="E28" s="6" t="n">
        <f aca="false">Resumen!$B$5</f>
        <v>4</v>
      </c>
      <c r="F28" s="5" t="n">
        <f aca="false">MAX(0,E28-D28)</f>
        <v>4</v>
      </c>
      <c r="G28" s="6" t="str">
        <f aca="false">IF(D28&gt;=E28,"Meta cumplida",IF(D28&gt;=Resumen!$B$6,"Mínimo alcanzado","Insuficiente"))</f>
        <v>Insuficiente</v>
      </c>
    </row>
    <row r="29" customFormat="false" ht="15" hidden="false" customHeight="false" outlineLevel="0" collapsed="false">
      <c r="A29" s="23" t="s">
        <v>138</v>
      </c>
      <c r="B29" s="23" t="s">
        <v>136</v>
      </c>
      <c r="C29" s="6" t="n">
        <f aca="false">COUNTIF(Situaciones!$C$4:$C$59,A29)</f>
        <v>1</v>
      </c>
      <c r="D29" s="6" t="n">
        <f aca="false">SUMIF(Situaciones!$C$4:$C$59,A29,Situaciones!$F$4:$F$59)</f>
        <v>0</v>
      </c>
      <c r="E29" s="6" t="n">
        <f aca="false">Resumen!$B$5</f>
        <v>4</v>
      </c>
      <c r="F29" s="5" t="n">
        <f aca="false">MAX(0,E29-D29)</f>
        <v>4</v>
      </c>
      <c r="G29" s="6" t="str">
        <f aca="false">IF(D29&gt;=E29,"Meta cumplida",IF(D29&gt;=Resumen!$B$6,"Mínimo alcanzado","Insuficiente"))</f>
        <v>Insuficiente</v>
      </c>
    </row>
    <row r="30" customFormat="false" ht="15" hidden="false" customHeight="false" outlineLevel="0" collapsed="false">
      <c r="A30" s="23" t="s">
        <v>139</v>
      </c>
      <c r="B30" s="23" t="s">
        <v>136</v>
      </c>
      <c r="C30" s="6" t="n">
        <f aca="false">COUNTIF(Situaciones!$C$4:$C$59,A30)</f>
        <v>1</v>
      </c>
      <c r="D30" s="6" t="n">
        <f aca="false">SUMIF(Situaciones!$C$4:$C$59,A30,Situaciones!$F$4:$F$59)</f>
        <v>0</v>
      </c>
      <c r="E30" s="6" t="n">
        <f aca="false">Resumen!$B$5</f>
        <v>4</v>
      </c>
      <c r="F30" s="5" t="n">
        <f aca="false">MAX(0,E30-D30)</f>
        <v>4</v>
      </c>
      <c r="G30" s="6" t="str">
        <f aca="false">IF(D30&gt;=E30,"Meta cumplida",IF(D30&gt;=Resumen!$B$6,"Mínimo alcanzado","Insuficiente"))</f>
        <v>Insuficiente</v>
      </c>
    </row>
    <row r="31" customFormat="false" ht="15" hidden="false" customHeight="false" outlineLevel="0" collapsed="false">
      <c r="A31" s="23" t="s">
        <v>140</v>
      </c>
      <c r="B31" s="23" t="s">
        <v>136</v>
      </c>
      <c r="C31" s="6" t="n">
        <f aca="false">COUNTIF(Situaciones!$C$4:$C$59,A31)</f>
        <v>1</v>
      </c>
      <c r="D31" s="6" t="n">
        <f aca="false">SUMIF(Situaciones!$C$4:$C$59,A31,Situaciones!$F$4:$F$59)</f>
        <v>0</v>
      </c>
      <c r="E31" s="6" t="n">
        <f aca="false">Resumen!$B$5</f>
        <v>4</v>
      </c>
      <c r="F31" s="5" t="n">
        <f aca="false">MAX(0,E31-D31)</f>
        <v>4</v>
      </c>
      <c r="G31" s="6" t="str">
        <f aca="false">IF(D31&gt;=E31,"Meta cumplida",IF(D31&gt;=Resumen!$B$6,"Mínimo alcanzado","Insuficiente"))</f>
        <v>Insuficiente</v>
      </c>
    </row>
    <row r="32" customFormat="false" ht="15" hidden="false" customHeight="false" outlineLevel="0" collapsed="false">
      <c r="A32" s="23" t="s">
        <v>141</v>
      </c>
      <c r="B32" s="23" t="s">
        <v>142</v>
      </c>
      <c r="C32" s="6" t="n">
        <f aca="false">COUNTIF(Situaciones!$C$4:$C$59,A32)</f>
        <v>1</v>
      </c>
      <c r="D32" s="6" t="n">
        <f aca="false">SUMIF(Situaciones!$C$4:$C$59,A32,Situaciones!$F$4:$F$59)</f>
        <v>0</v>
      </c>
      <c r="E32" s="6" t="n">
        <f aca="false">Resumen!$B$5</f>
        <v>4</v>
      </c>
      <c r="F32" s="5" t="n">
        <f aca="false">MAX(0,E32-D32)</f>
        <v>4</v>
      </c>
      <c r="G32" s="6" t="str">
        <f aca="false">IF(D32&gt;=E32,"Meta cumplida",IF(D32&gt;=Resumen!$B$6,"Mínimo alcanzado","Insuficiente"))</f>
        <v>Insuficiente</v>
      </c>
    </row>
    <row r="33" customFormat="false" ht="15" hidden="false" customHeight="false" outlineLevel="0" collapsed="false">
      <c r="A33" s="23" t="s">
        <v>143</v>
      </c>
      <c r="B33" s="23" t="s">
        <v>142</v>
      </c>
      <c r="C33" s="6" t="n">
        <f aca="false">COUNTIF(Situaciones!$C$4:$C$59,A33)</f>
        <v>1</v>
      </c>
      <c r="D33" s="6" t="n">
        <f aca="false">SUMIF(Situaciones!$C$4:$C$59,A33,Situaciones!$F$4:$F$59)</f>
        <v>0</v>
      </c>
      <c r="E33" s="6" t="n">
        <f aca="false">Resumen!$B$5</f>
        <v>4</v>
      </c>
      <c r="F33" s="5" t="n">
        <f aca="false">MAX(0,E33-D33)</f>
        <v>4</v>
      </c>
      <c r="G33" s="6" t="str">
        <f aca="false">IF(D33&gt;=E33,"Meta cumplida",IF(D33&gt;=Resumen!$B$6,"Mínimo alcanzado","Insuficiente"))</f>
        <v>Insuficiente</v>
      </c>
    </row>
    <row r="34" customFormat="false" ht="15" hidden="false" customHeight="false" outlineLevel="0" collapsed="false">
      <c r="A34" s="23" t="s">
        <v>144</v>
      </c>
      <c r="B34" s="23" t="s">
        <v>142</v>
      </c>
      <c r="C34" s="6" t="n">
        <f aca="false">COUNTIF(Situaciones!$C$4:$C$59,A34)</f>
        <v>1</v>
      </c>
      <c r="D34" s="6" t="n">
        <f aca="false">SUMIF(Situaciones!$C$4:$C$59,A34,Situaciones!$F$4:$F$59)</f>
        <v>0</v>
      </c>
      <c r="E34" s="6" t="n">
        <f aca="false">Resumen!$B$5</f>
        <v>4</v>
      </c>
      <c r="F34" s="5" t="n">
        <f aca="false">MAX(0,E34-D34)</f>
        <v>4</v>
      </c>
      <c r="G34" s="6" t="str">
        <f aca="false">IF(D34&gt;=E34,"Meta cumplida",IF(D34&gt;=Resumen!$B$6,"Mínimo alcanzado","Insuficiente"))</f>
        <v>Insuficiente</v>
      </c>
    </row>
    <row r="35" customFormat="false" ht="15" hidden="false" customHeight="false" outlineLevel="0" collapsed="false">
      <c r="A35" s="23" t="s">
        <v>145</v>
      </c>
      <c r="B35" s="23" t="s">
        <v>142</v>
      </c>
      <c r="C35" s="6" t="n">
        <f aca="false">COUNTIF(Situaciones!$C$4:$C$59,A35)</f>
        <v>1</v>
      </c>
      <c r="D35" s="6" t="n">
        <f aca="false">SUMIF(Situaciones!$C$4:$C$59,A35,Situaciones!$F$4:$F$59)</f>
        <v>0</v>
      </c>
      <c r="E35" s="6" t="n">
        <f aca="false">Resumen!$B$5</f>
        <v>4</v>
      </c>
      <c r="F35" s="5" t="n">
        <f aca="false">MAX(0,E35-D35)</f>
        <v>4</v>
      </c>
      <c r="G35" s="6" t="str">
        <f aca="false">IF(D35&gt;=E35,"Meta cumplida",IF(D35&gt;=Resumen!$B$6,"Mínimo alcanzado","Insuficiente"))</f>
        <v>Insuficiente</v>
      </c>
    </row>
    <row r="36" customFormat="false" ht="15" hidden="false" customHeight="false" outlineLevel="0" collapsed="false">
      <c r="A36" s="23" t="s">
        <v>146</v>
      </c>
      <c r="B36" s="23" t="s">
        <v>142</v>
      </c>
      <c r="C36" s="6" t="n">
        <f aca="false">COUNTIF(Situaciones!$C$4:$C$59,A36)</f>
        <v>1</v>
      </c>
      <c r="D36" s="6" t="n">
        <f aca="false">SUMIF(Situaciones!$C$4:$C$59,A36,Situaciones!$F$4:$F$59)</f>
        <v>0</v>
      </c>
      <c r="E36" s="6" t="n">
        <f aca="false">Resumen!$B$5</f>
        <v>4</v>
      </c>
      <c r="F36" s="5" t="n">
        <f aca="false">MAX(0,E36-D36)</f>
        <v>4</v>
      </c>
      <c r="G36" s="6" t="str">
        <f aca="false">IF(D36&gt;=E36,"Meta cumplida",IF(D36&gt;=Resumen!$B$6,"Mínimo alcanzado","Insuficiente"))</f>
        <v>Insuficiente</v>
      </c>
    </row>
    <row r="37" customFormat="false" ht="15" hidden="false" customHeight="false" outlineLevel="0" collapsed="false">
      <c r="A37" s="23" t="s">
        <v>147</v>
      </c>
      <c r="B37" s="23" t="s">
        <v>148</v>
      </c>
      <c r="C37" s="6" t="n">
        <f aca="false">COUNTIF(Situaciones!$C$4:$C$59,A37)</f>
        <v>1</v>
      </c>
      <c r="D37" s="6" t="n">
        <f aca="false">SUMIF(Situaciones!$C$4:$C$59,A37,Situaciones!$F$4:$F$59)</f>
        <v>0</v>
      </c>
      <c r="E37" s="6" t="n">
        <f aca="false">Resumen!$B$5</f>
        <v>4</v>
      </c>
      <c r="F37" s="5" t="n">
        <f aca="false">MAX(0,E37-D37)</f>
        <v>4</v>
      </c>
      <c r="G37" s="6" t="str">
        <f aca="false">IF(D37&gt;=E37,"Meta cumplida",IF(D37&gt;=Resumen!$B$6,"Mínimo alcanzado","Insuficiente"))</f>
        <v>Insuficiente</v>
      </c>
    </row>
    <row r="38" customFormat="false" ht="15" hidden="false" customHeight="false" outlineLevel="0" collapsed="false">
      <c r="A38" s="23" t="s">
        <v>149</v>
      </c>
      <c r="B38" s="23" t="s">
        <v>148</v>
      </c>
      <c r="C38" s="6" t="n">
        <f aca="false">COUNTIF(Situaciones!$C$4:$C$59,A38)</f>
        <v>1</v>
      </c>
      <c r="D38" s="6" t="n">
        <f aca="false">SUMIF(Situaciones!$C$4:$C$59,A38,Situaciones!$F$4:$F$59)</f>
        <v>0</v>
      </c>
      <c r="E38" s="6" t="n">
        <f aca="false">Resumen!$B$5</f>
        <v>4</v>
      </c>
      <c r="F38" s="5" t="n">
        <f aca="false">MAX(0,E38-D38)</f>
        <v>4</v>
      </c>
      <c r="G38" s="6" t="str">
        <f aca="false">IF(D38&gt;=E38,"Meta cumplida",IF(D38&gt;=Resumen!$B$6,"Mínimo alcanzado","Insuficiente"))</f>
        <v>Insuficiente</v>
      </c>
    </row>
    <row r="39" customFormat="false" ht="15" hidden="false" customHeight="false" outlineLevel="0" collapsed="false">
      <c r="A39" s="23" t="s">
        <v>150</v>
      </c>
      <c r="B39" s="23" t="s">
        <v>148</v>
      </c>
      <c r="C39" s="6" t="n">
        <f aca="false">COUNTIF(Situaciones!$C$4:$C$59,A39)</f>
        <v>1</v>
      </c>
      <c r="D39" s="6" t="n">
        <f aca="false">SUMIF(Situaciones!$C$4:$C$59,A39,Situaciones!$F$4:$F$59)</f>
        <v>0</v>
      </c>
      <c r="E39" s="6" t="n">
        <f aca="false">Resumen!$B$5</f>
        <v>4</v>
      </c>
      <c r="F39" s="5" t="n">
        <f aca="false">MAX(0,E39-D39)</f>
        <v>4</v>
      </c>
      <c r="G39" s="6" t="str">
        <f aca="false">IF(D39&gt;=E39,"Meta cumplida",IF(D39&gt;=Resumen!$B$6,"Mínimo alcanzado","Insuficiente"))</f>
        <v>Insuficiente</v>
      </c>
    </row>
    <row r="40" customFormat="false" ht="15" hidden="false" customHeight="false" outlineLevel="0" collapsed="false">
      <c r="A40" s="23" t="s">
        <v>151</v>
      </c>
      <c r="B40" s="23" t="s">
        <v>148</v>
      </c>
      <c r="C40" s="6" t="n">
        <f aca="false">COUNTIF(Situaciones!$C$4:$C$59,A40)</f>
        <v>1</v>
      </c>
      <c r="D40" s="6" t="n">
        <f aca="false">SUMIF(Situaciones!$C$4:$C$59,A40,Situaciones!$F$4:$F$59)</f>
        <v>0</v>
      </c>
      <c r="E40" s="6" t="n">
        <f aca="false">Resumen!$B$5</f>
        <v>4</v>
      </c>
      <c r="F40" s="5" t="n">
        <f aca="false">MAX(0,E40-D40)</f>
        <v>4</v>
      </c>
      <c r="G40" s="6" t="str">
        <f aca="false">IF(D40&gt;=E40,"Meta cumplida",IF(D40&gt;=Resumen!$B$6,"Mínimo alcanzado","Insuficiente"))</f>
        <v>Insuficiente</v>
      </c>
    </row>
    <row r="41" customFormat="false" ht="15" hidden="false" customHeight="false" outlineLevel="0" collapsed="false">
      <c r="A41" s="23" t="s">
        <v>152</v>
      </c>
      <c r="B41" s="23" t="s">
        <v>148</v>
      </c>
      <c r="C41" s="6" t="n">
        <f aca="false">COUNTIF(Situaciones!$C$4:$C$59,A41)</f>
        <v>1</v>
      </c>
      <c r="D41" s="6" t="n">
        <f aca="false">SUMIF(Situaciones!$C$4:$C$59,A41,Situaciones!$F$4:$F$59)</f>
        <v>0</v>
      </c>
      <c r="E41" s="6" t="n">
        <f aca="false">Resumen!$B$5</f>
        <v>4</v>
      </c>
      <c r="F41" s="5" t="n">
        <f aca="false">MAX(0,E41-D41)</f>
        <v>4</v>
      </c>
      <c r="G41" s="6" t="str">
        <f aca="false">IF(D41&gt;=E41,"Meta cumplida",IF(D41&gt;=Resumen!$B$6,"Mínimo alcanzado","Insuficiente"))</f>
        <v>Insuficiente</v>
      </c>
    </row>
    <row r="42" customFormat="false" ht="15" hidden="false" customHeight="false" outlineLevel="0" collapsed="false">
      <c r="A42" s="23" t="s">
        <v>153</v>
      </c>
      <c r="B42" s="23" t="s">
        <v>154</v>
      </c>
      <c r="C42" s="6" t="n">
        <f aca="false">COUNTIF(Situaciones!$C$4:$C$59,A42)</f>
        <v>1</v>
      </c>
      <c r="D42" s="6" t="n">
        <f aca="false">SUMIF(Situaciones!$C$4:$C$59,A42,Situaciones!$F$4:$F$59)</f>
        <v>0</v>
      </c>
      <c r="E42" s="6" t="n">
        <f aca="false">Resumen!$B$5</f>
        <v>4</v>
      </c>
      <c r="F42" s="5" t="n">
        <f aca="false">MAX(0,E42-D42)</f>
        <v>4</v>
      </c>
      <c r="G42" s="6" t="str">
        <f aca="false">IF(D42&gt;=E42,"Meta cumplida",IF(D42&gt;=Resumen!$B$6,"Mínimo alcanzado","Insuficiente"))</f>
        <v>Insuficiente</v>
      </c>
    </row>
    <row r="43" customFormat="false" ht="15" hidden="false" customHeight="false" outlineLevel="0" collapsed="false">
      <c r="A43" s="23" t="s">
        <v>155</v>
      </c>
      <c r="B43" s="23" t="s">
        <v>154</v>
      </c>
      <c r="C43" s="6" t="n">
        <f aca="false">COUNTIF(Situaciones!$C$4:$C$59,A43)</f>
        <v>1</v>
      </c>
      <c r="D43" s="6" t="n">
        <f aca="false">SUMIF(Situaciones!$C$4:$C$59,A43,Situaciones!$F$4:$F$59)</f>
        <v>0</v>
      </c>
      <c r="E43" s="6" t="n">
        <f aca="false">Resumen!$B$5</f>
        <v>4</v>
      </c>
      <c r="F43" s="5" t="n">
        <f aca="false">MAX(0,E43-D43)</f>
        <v>4</v>
      </c>
      <c r="G43" s="6" t="str">
        <f aca="false">IF(D43&gt;=E43,"Meta cumplida",IF(D43&gt;=Resumen!$B$6,"Mínimo alcanzado","Insuficiente"))</f>
        <v>Insuficiente</v>
      </c>
    </row>
    <row r="44" customFormat="false" ht="15" hidden="false" customHeight="false" outlineLevel="0" collapsed="false">
      <c r="A44" s="23" t="s">
        <v>156</v>
      </c>
      <c r="B44" s="23" t="s">
        <v>154</v>
      </c>
      <c r="C44" s="6" t="n">
        <f aca="false">COUNTIF(Situaciones!$C$4:$C$59,A44)</f>
        <v>1</v>
      </c>
      <c r="D44" s="6" t="n">
        <f aca="false">SUMIF(Situaciones!$C$4:$C$59,A44,Situaciones!$F$4:$F$59)</f>
        <v>0</v>
      </c>
      <c r="E44" s="6" t="n">
        <f aca="false">Resumen!$B$5</f>
        <v>4</v>
      </c>
      <c r="F44" s="5" t="n">
        <f aca="false">MAX(0,E44-D44)</f>
        <v>4</v>
      </c>
      <c r="G44" s="6" t="str">
        <f aca="false">IF(D44&gt;=E44,"Meta cumplida",IF(D44&gt;=Resumen!$B$6,"Mínimo alcanzado","Insuficiente"))</f>
        <v>Insuficiente</v>
      </c>
    </row>
    <row r="45" customFormat="false" ht="15" hidden="false" customHeight="false" outlineLevel="0" collapsed="false">
      <c r="A45" s="23" t="s">
        <v>157</v>
      </c>
      <c r="B45" s="23" t="s">
        <v>154</v>
      </c>
      <c r="C45" s="6" t="n">
        <f aca="false">COUNTIF(Situaciones!$C$4:$C$59,A45)</f>
        <v>1</v>
      </c>
      <c r="D45" s="6" t="n">
        <f aca="false">SUMIF(Situaciones!$C$4:$C$59,A45,Situaciones!$F$4:$F$59)</f>
        <v>0</v>
      </c>
      <c r="E45" s="6" t="n">
        <f aca="false">Resumen!$B$5</f>
        <v>4</v>
      </c>
      <c r="F45" s="5" t="n">
        <f aca="false">MAX(0,E45-D45)</f>
        <v>4</v>
      </c>
      <c r="G45" s="6" t="str">
        <f aca="false">IF(D45&gt;=E45,"Meta cumplida",IF(D45&gt;=Resumen!$B$6,"Mínimo alcanzado","Insuficiente"))</f>
        <v>Insuficiente</v>
      </c>
    </row>
    <row r="46" customFormat="false" ht="15" hidden="false" customHeight="false" outlineLevel="0" collapsed="false">
      <c r="A46" s="23" t="s">
        <v>158</v>
      </c>
      <c r="B46" s="23" t="s">
        <v>154</v>
      </c>
      <c r="C46" s="6" t="n">
        <f aca="false">COUNTIF(Situaciones!$C$4:$C$59,A46)</f>
        <v>1</v>
      </c>
      <c r="D46" s="6" t="n">
        <f aca="false">SUMIF(Situaciones!$C$4:$C$59,A46,Situaciones!$F$4:$F$59)</f>
        <v>0</v>
      </c>
      <c r="E46" s="6" t="n">
        <f aca="false">Resumen!$B$5</f>
        <v>4</v>
      </c>
      <c r="F46" s="5" t="n">
        <f aca="false">MAX(0,E46-D46)</f>
        <v>4</v>
      </c>
      <c r="G46" s="6" t="str">
        <f aca="false">IF(D46&gt;=E46,"Meta cumplida",IF(D46&gt;=Resumen!$B$6,"Mínimo alcanzado","Insuficiente"))</f>
        <v>Insuficiente</v>
      </c>
    </row>
    <row r="47" customFormat="false" ht="15" hidden="false" customHeight="false" outlineLevel="0" collapsed="false">
      <c r="A47" s="23" t="s">
        <v>159</v>
      </c>
      <c r="B47" s="23" t="s">
        <v>154</v>
      </c>
      <c r="C47" s="6" t="n">
        <f aca="false">COUNTIF(Situaciones!$C$4:$C$59,A47)</f>
        <v>1</v>
      </c>
      <c r="D47" s="6" t="n">
        <f aca="false">SUMIF(Situaciones!$C$4:$C$59,A47,Situaciones!$F$4:$F$59)</f>
        <v>0</v>
      </c>
      <c r="E47" s="6" t="n">
        <f aca="false">Resumen!$B$5</f>
        <v>4</v>
      </c>
      <c r="F47" s="5" t="n">
        <f aca="false">MAX(0,E47-D47)</f>
        <v>4</v>
      </c>
      <c r="G47" s="6" t="str">
        <f aca="false">IF(D47&gt;=E47,"Meta cumplida",IF(D47&gt;=Resumen!$B$6,"Mínimo alcanzado","Insuficiente"))</f>
        <v>Insuficiente</v>
      </c>
    </row>
    <row r="48" customFormat="false" ht="15" hidden="false" customHeight="false" outlineLevel="0" collapsed="false">
      <c r="A48" s="23" t="s">
        <v>160</v>
      </c>
      <c r="B48" s="23" t="s">
        <v>161</v>
      </c>
      <c r="C48" s="6" t="n">
        <f aca="false">COUNTIF(Situaciones!$C$4:$C$59,A48)</f>
        <v>1</v>
      </c>
      <c r="D48" s="6" t="n">
        <f aca="false">SUMIF(Situaciones!$C$4:$C$59,A48,Situaciones!$F$4:$F$59)</f>
        <v>0</v>
      </c>
      <c r="E48" s="6" t="n">
        <f aca="false">Resumen!$B$5</f>
        <v>4</v>
      </c>
      <c r="F48" s="5" t="n">
        <f aca="false">MAX(0,E48-D48)</f>
        <v>4</v>
      </c>
      <c r="G48" s="6" t="str">
        <f aca="false">IF(D48&gt;=E48,"Meta cumplida",IF(D48&gt;=Resumen!$B$6,"Mínimo alcanzado","Insuficiente"))</f>
        <v>Insuficiente</v>
      </c>
    </row>
    <row r="49" customFormat="false" ht="15" hidden="false" customHeight="false" outlineLevel="0" collapsed="false">
      <c r="A49" s="23" t="s">
        <v>162</v>
      </c>
      <c r="B49" s="23" t="s">
        <v>161</v>
      </c>
      <c r="C49" s="6" t="n">
        <f aca="false">COUNTIF(Situaciones!$C$4:$C$59,A49)</f>
        <v>1</v>
      </c>
      <c r="D49" s="6" t="n">
        <f aca="false">SUMIF(Situaciones!$C$4:$C$59,A49,Situaciones!$F$4:$F$59)</f>
        <v>0</v>
      </c>
      <c r="E49" s="6" t="n">
        <f aca="false">Resumen!$B$5</f>
        <v>4</v>
      </c>
      <c r="F49" s="5" t="n">
        <f aca="false">MAX(0,E49-D49)</f>
        <v>4</v>
      </c>
      <c r="G49" s="6" t="str">
        <f aca="false">IF(D49&gt;=E49,"Meta cumplida",IF(D49&gt;=Resumen!$B$6,"Mínimo alcanzado","Insuficiente"))</f>
        <v>Insuficiente</v>
      </c>
    </row>
    <row r="50" customFormat="false" ht="15" hidden="false" customHeight="false" outlineLevel="0" collapsed="false">
      <c r="A50" s="23" t="s">
        <v>163</v>
      </c>
      <c r="B50" s="23" t="s">
        <v>161</v>
      </c>
      <c r="C50" s="6" t="n">
        <f aca="false">COUNTIF(Situaciones!$C$4:$C$59,A50)</f>
        <v>1</v>
      </c>
      <c r="D50" s="6" t="n">
        <f aca="false">SUMIF(Situaciones!$C$4:$C$59,A50,Situaciones!$F$4:$F$59)</f>
        <v>0</v>
      </c>
      <c r="E50" s="6" t="n">
        <f aca="false">Resumen!$B$5</f>
        <v>4</v>
      </c>
      <c r="F50" s="5" t="n">
        <f aca="false">MAX(0,E50-D50)</f>
        <v>4</v>
      </c>
      <c r="G50" s="6" t="str">
        <f aca="false">IF(D50&gt;=E50,"Meta cumplida",IF(D50&gt;=Resumen!$B$6,"Mínimo alcanzado","Insuficiente"))</f>
        <v>Insuficiente</v>
      </c>
    </row>
    <row r="51" customFormat="false" ht="15" hidden="false" customHeight="false" outlineLevel="0" collapsed="false">
      <c r="A51" s="23" t="s">
        <v>164</v>
      </c>
      <c r="B51" s="23" t="s">
        <v>161</v>
      </c>
      <c r="C51" s="6" t="n">
        <f aca="false">COUNTIF(Situaciones!$C$4:$C$59,A51)</f>
        <v>1</v>
      </c>
      <c r="D51" s="6" t="n">
        <f aca="false">SUMIF(Situaciones!$C$4:$C$59,A51,Situaciones!$F$4:$F$59)</f>
        <v>0</v>
      </c>
      <c r="E51" s="6" t="n">
        <f aca="false">Resumen!$B$5</f>
        <v>4</v>
      </c>
      <c r="F51" s="5" t="n">
        <f aca="false">MAX(0,E51-D51)</f>
        <v>4</v>
      </c>
      <c r="G51" s="6" t="str">
        <f aca="false">IF(D51&gt;=E51,"Meta cumplida",IF(D51&gt;=Resumen!$B$6,"Mínimo alcanzado","Insuficiente"))</f>
        <v>Insuficiente</v>
      </c>
    </row>
    <row r="52" customFormat="false" ht="15" hidden="false" customHeight="false" outlineLevel="0" collapsed="false">
      <c r="A52" s="23" t="s">
        <v>165</v>
      </c>
      <c r="B52" s="23" t="s">
        <v>161</v>
      </c>
      <c r="C52" s="6" t="n">
        <f aca="false">COUNTIF(Situaciones!$C$4:$C$59,A52)</f>
        <v>1</v>
      </c>
      <c r="D52" s="6" t="n">
        <f aca="false">SUMIF(Situaciones!$C$4:$C$59,A52,Situaciones!$F$4:$F$59)</f>
        <v>0</v>
      </c>
      <c r="E52" s="6" t="n">
        <f aca="false">Resumen!$B$5</f>
        <v>4</v>
      </c>
      <c r="F52" s="5" t="n">
        <f aca="false">MAX(0,E52-D52)</f>
        <v>4</v>
      </c>
      <c r="G52" s="6" t="str">
        <f aca="false">IF(D52&gt;=E52,"Meta cumplida",IF(D52&gt;=Resumen!$B$6,"Mínimo alcanzado","Insuficiente"))</f>
        <v>Insuficiente</v>
      </c>
    </row>
    <row r="53" customFormat="false" ht="15" hidden="false" customHeight="false" outlineLevel="0" collapsed="false">
      <c r="A53" s="23" t="s">
        <v>166</v>
      </c>
      <c r="B53" s="23" t="s">
        <v>161</v>
      </c>
      <c r="C53" s="6" t="n">
        <f aca="false">COUNTIF(Situaciones!$C$4:$C$59,A53)</f>
        <v>3</v>
      </c>
      <c r="D53" s="6" t="n">
        <f aca="false">SUMIF(Situaciones!$C$4:$C$59,A53,Situaciones!$F$4:$F$59)</f>
        <v>0</v>
      </c>
      <c r="E53" s="6" t="n">
        <f aca="false">Resumen!$B$5</f>
        <v>4</v>
      </c>
      <c r="F53" s="5" t="n">
        <f aca="false">MAX(0,E53-D53)</f>
        <v>4</v>
      </c>
      <c r="G53" s="6" t="str">
        <f aca="false">IF(D53&gt;=E53,"Meta cumplida",IF(D53&gt;=Resumen!$B$6,"Mínimo alcanzado","Insuficiente"))</f>
        <v>Insuficiente</v>
      </c>
    </row>
    <row r="54" customFormat="false" ht="15" hidden="false" customHeight="false" outlineLevel="0" collapsed="false">
      <c r="A54" s="23" t="s">
        <v>167</v>
      </c>
      <c r="B54" s="23" t="s">
        <v>161</v>
      </c>
      <c r="C54" s="6" t="n">
        <f aca="false">COUNTIF(Situaciones!$C$4:$C$59,A54)</f>
        <v>1</v>
      </c>
      <c r="D54" s="6" t="n">
        <f aca="false">SUMIF(Situaciones!$C$4:$C$59,A54,Situaciones!$F$4:$F$59)</f>
        <v>0</v>
      </c>
      <c r="E54" s="6" t="n">
        <f aca="false">Resumen!$B$5</f>
        <v>4</v>
      </c>
      <c r="F54" s="5" t="n">
        <f aca="false">MAX(0,E54-D54)</f>
        <v>4</v>
      </c>
      <c r="G54" s="6" t="str">
        <f aca="false">IF(D54&gt;=E54,"Meta cumplida",IF(D54&gt;=Resumen!$B$6,"Mínimo alcanzado","Insuficiente"))</f>
        <v>Insuficiente</v>
      </c>
    </row>
    <row r="55" customFormat="false" ht="15" hidden="false" customHeight="false" outlineLevel="0" collapsed="false">
      <c r="A55" s="23" t="s">
        <v>168</v>
      </c>
      <c r="B55" s="23" t="s">
        <v>161</v>
      </c>
      <c r="C55" s="6" t="n">
        <f aca="false">COUNTIF(Situaciones!$C$4:$C$59,A55)</f>
        <v>1</v>
      </c>
      <c r="D55" s="6" t="n">
        <f aca="false">SUMIF(Situaciones!$C$4:$C$59,A55,Situaciones!$F$4:$F$59)</f>
        <v>0</v>
      </c>
      <c r="E55" s="6" t="n">
        <f aca="false">Resumen!$B$5</f>
        <v>4</v>
      </c>
      <c r="F55" s="5" t="n">
        <f aca="false">MAX(0,E55-D55)</f>
        <v>4</v>
      </c>
      <c r="G55" s="6" t="str">
        <f aca="false">IF(D55&gt;=E55,"Meta cumplida",IF(D55&gt;=Resumen!$B$6,"Mínimo alcanzado","Insuficiente"))</f>
        <v>Insuficiente</v>
      </c>
    </row>
    <row r="56" customFormat="false" ht="15" hidden="false" customHeight="false" outlineLevel="0" collapsed="false">
      <c r="A56" s="23" t="s">
        <v>169</v>
      </c>
      <c r="B56" s="23" t="s">
        <v>161</v>
      </c>
      <c r="C56" s="6" t="n">
        <f aca="false">COUNTIF(Situaciones!$C$4:$C$59,A56)</f>
        <v>1</v>
      </c>
      <c r="D56" s="6" t="n">
        <f aca="false">SUMIF(Situaciones!$C$4:$C$59,A56,Situaciones!$F$4:$F$59)</f>
        <v>0</v>
      </c>
      <c r="E56" s="6" t="n">
        <f aca="false">Resumen!$B$5</f>
        <v>4</v>
      </c>
      <c r="F56" s="5" t="n">
        <f aca="false">MAX(0,E56-D56)</f>
        <v>4</v>
      </c>
      <c r="G56" s="6" t="str">
        <f aca="false">IF(D56&gt;=E56,"Meta cumplida",IF(D56&gt;=Resumen!$B$6,"Mínimo alcanzado","Insuficiente"))</f>
        <v>Insuficiente</v>
      </c>
    </row>
    <row r="57" customFormat="false" ht="15" hidden="false" customHeight="false" outlineLevel="0" collapsed="false">
      <c r="A57" s="23" t="s">
        <v>170</v>
      </c>
      <c r="B57" s="23" t="s">
        <v>161</v>
      </c>
      <c r="C57" s="6" t="n">
        <f aca="false">COUNTIF(Situaciones!$C$4:$C$59,A57)</f>
        <v>1</v>
      </c>
      <c r="D57" s="6" t="n">
        <f aca="false">SUMIF(Situaciones!$C$4:$C$59,A57,Situaciones!$F$4:$F$59)</f>
        <v>0</v>
      </c>
      <c r="E57" s="6" t="n">
        <f aca="false">Resumen!$B$5</f>
        <v>4</v>
      </c>
      <c r="F57" s="5" t="n">
        <f aca="false">MAX(0,E57-D57)</f>
        <v>4</v>
      </c>
      <c r="G57" s="6" t="str">
        <f aca="false">IF(D57&gt;=E57,"Meta cumplida",IF(D57&gt;=Resumen!$B$6,"Mínimo alcanzado","Insuficiente"))</f>
        <v>Insuficiente</v>
      </c>
    </row>
    <row r="59" customFormat="false" ht="27.75" hidden="false" customHeight="true" outlineLevel="0" collapsed="false">
      <c r="A59" s="24" t="s">
        <v>171</v>
      </c>
      <c r="B59" s="24"/>
      <c r="C59" s="24"/>
      <c r="D59" s="24"/>
      <c r="E59" s="24"/>
      <c r="F59" s="24"/>
      <c r="G59" s="24"/>
    </row>
  </sheetData>
  <mergeCells count="2">
    <mergeCell ref="A2:G2"/>
    <mergeCell ref="A59:G59"/>
  </mergeCells>
  <conditionalFormatting sqref="G4:G57">
    <cfRule type="cellIs" priority="2" operator="equal" aboveAverage="0" equalAverage="0" bottom="0" percent="0" rank="0" text="" dxfId="0">
      <formula>"Meta cumplida"</formula>
    </cfRule>
    <cfRule type="cellIs" priority="3" operator="equal" aboveAverage="0" equalAverage="0" bottom="0" percent="0" rank="0" text="" dxfId="1">
      <formula>"Mínimo alcanzado"</formula>
    </cfRule>
    <cfRule type="cellIs" priority="4" operator="equal" aboveAverage="0" equalAverage="0" bottom="0" percent="0" rank="0" text="" dxfId="2">
      <formula>"Insuficiente"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" t="s">
        <v>172</v>
      </c>
    </row>
    <row r="2" customFormat="false" ht="30" hidden="false" customHeight="true" outlineLevel="0" collapsed="false">
      <c r="A2" s="2" t="s">
        <v>173</v>
      </c>
      <c r="B2" s="2"/>
      <c r="C2" s="2"/>
      <c r="D2" s="2"/>
      <c r="E2" s="2"/>
      <c r="F2" s="2"/>
      <c r="G2" s="2"/>
    </row>
    <row r="3" customFormat="false" ht="42" hidden="false" customHeight="true" outlineLevel="0" collapsed="false">
      <c r="A3" s="3" t="s">
        <v>53</v>
      </c>
      <c r="B3" s="3" t="s">
        <v>3</v>
      </c>
      <c r="C3" s="3" t="s">
        <v>174</v>
      </c>
      <c r="D3" s="3" t="s">
        <v>175</v>
      </c>
      <c r="E3" s="3" t="s">
        <v>176</v>
      </c>
      <c r="F3" s="3" t="s">
        <v>106</v>
      </c>
      <c r="G3" s="3" t="s">
        <v>177</v>
      </c>
    </row>
    <row r="4" customFormat="false" ht="15" hidden="false" customHeight="false" outlineLevel="0" collapsed="false">
      <c r="A4" s="25" t="s">
        <v>178</v>
      </c>
      <c r="B4" s="25" t="s">
        <v>43</v>
      </c>
      <c r="C4" s="23" t="s">
        <v>108</v>
      </c>
      <c r="D4" s="6" t="n">
        <f aca="false">COUNTIFS(Participantes!$B$4:$B$28,B4,Participantes!$I$4:$I$28,"Transcrito")</f>
        <v>0</v>
      </c>
      <c r="E4" s="6" t="n">
        <f aca="false">COUNTIFS(Blancos!$B$4:$B$83,A4,Blancos!$E$4:$E$83,"Transcrito",Blancos!$F$4:$F$83,"OK")</f>
        <v>0</v>
      </c>
      <c r="F4" s="5" t="n">
        <f aca="false">D4-E4</f>
        <v>0</v>
      </c>
      <c r="G4" s="26" t="s">
        <v>179</v>
      </c>
    </row>
    <row r="5" customFormat="false" ht="15" hidden="false" customHeight="false" outlineLevel="0" collapsed="false">
      <c r="A5" s="25" t="s">
        <v>180</v>
      </c>
      <c r="B5" s="25" t="s">
        <v>81</v>
      </c>
      <c r="C5" s="23" t="s">
        <v>110</v>
      </c>
      <c r="D5" s="6" t="n">
        <f aca="false">COUNTIFS(Participantes!$B$4:$B$28,B5,Participantes!$I$4:$I$28,"Transcrito")</f>
        <v>0</v>
      </c>
      <c r="E5" s="6" t="n">
        <f aca="false">COUNTIFS(Blancos!$B$4:$B$83,A5,Blancos!$E$4:$E$83,"Transcrito",Blancos!$F$4:$F$83,"OK")</f>
        <v>0</v>
      </c>
      <c r="F5" s="5" t="n">
        <f aca="false">D5-E5</f>
        <v>0</v>
      </c>
      <c r="G5" s="26" t="s">
        <v>181</v>
      </c>
    </row>
    <row r="6" customFormat="false" ht="15" hidden="false" customHeight="false" outlineLevel="0" collapsed="false">
      <c r="A6" s="25" t="s">
        <v>182</v>
      </c>
      <c r="B6" s="25" t="s">
        <v>82</v>
      </c>
      <c r="C6" s="23" t="s">
        <v>111</v>
      </c>
      <c r="D6" s="6" t="n">
        <f aca="false">COUNTIFS(Participantes!$B$4:$B$28,B6,Participantes!$I$4:$I$28,"Transcrito")</f>
        <v>0</v>
      </c>
      <c r="E6" s="6" t="n">
        <f aca="false">COUNTIFS(Blancos!$B$4:$B$83,A6,Blancos!$E$4:$E$83,"Transcrito",Blancos!$F$4:$F$83,"OK")</f>
        <v>0</v>
      </c>
      <c r="F6" s="5" t="n">
        <f aca="false">D6-E6</f>
        <v>0</v>
      </c>
      <c r="G6" s="26" t="s">
        <v>183</v>
      </c>
    </row>
    <row r="7" customFormat="false" ht="15" hidden="false" customHeight="false" outlineLevel="0" collapsed="false">
      <c r="A7" s="25" t="s">
        <v>184</v>
      </c>
      <c r="B7" s="25" t="s">
        <v>83</v>
      </c>
      <c r="C7" s="23" t="s">
        <v>112</v>
      </c>
      <c r="D7" s="6" t="n">
        <f aca="false">COUNTIFS(Participantes!$B$4:$B$28,B7,Participantes!$I$4:$I$28,"Transcrito")</f>
        <v>0</v>
      </c>
      <c r="E7" s="6" t="n">
        <f aca="false">COUNTIFS(Blancos!$B$4:$B$83,A7,Blancos!$E$4:$E$83,"Transcrito",Blancos!$F$4:$F$83,"OK")</f>
        <v>0</v>
      </c>
      <c r="F7" s="5" t="n">
        <f aca="false">D7-E7</f>
        <v>0</v>
      </c>
      <c r="G7" s="26" t="s">
        <v>185</v>
      </c>
    </row>
    <row r="8" customFormat="false" ht="15" hidden="false" customHeight="false" outlineLevel="0" collapsed="false">
      <c r="A8" s="25" t="s">
        <v>186</v>
      </c>
      <c r="B8" s="25" t="s">
        <v>84</v>
      </c>
      <c r="C8" s="23" t="s">
        <v>113</v>
      </c>
      <c r="D8" s="6" t="n">
        <f aca="false">COUNTIFS(Participantes!$B$4:$B$28,B8,Participantes!$I$4:$I$28,"Transcrito")</f>
        <v>0</v>
      </c>
      <c r="E8" s="6" t="n">
        <f aca="false">COUNTIFS(Blancos!$B$4:$B$83,A8,Blancos!$E$4:$E$83,"Transcrito",Blancos!$F$4:$F$83,"OK")</f>
        <v>0</v>
      </c>
      <c r="F8" s="5" t="n">
        <f aca="false">D8-E8</f>
        <v>0</v>
      </c>
      <c r="G8" s="26" t="s">
        <v>187</v>
      </c>
    </row>
    <row r="9" customFormat="false" ht="15" hidden="false" customHeight="false" outlineLevel="0" collapsed="false">
      <c r="A9" s="25" t="s">
        <v>188</v>
      </c>
      <c r="B9" s="25" t="s">
        <v>43</v>
      </c>
      <c r="C9" s="23" t="s">
        <v>114</v>
      </c>
      <c r="D9" s="6" t="n">
        <f aca="false">COUNTIFS(Participantes!$B$4:$B$28,B9,Participantes!$I$4:$I$28,"Transcrito")</f>
        <v>0</v>
      </c>
      <c r="E9" s="6" t="n">
        <f aca="false">COUNTIFS(Blancos!$B$4:$B$83,A9,Blancos!$E$4:$E$83,"Transcrito",Blancos!$F$4:$F$83,"OK")</f>
        <v>0</v>
      </c>
      <c r="F9" s="5" t="n">
        <f aca="false">D9-E9</f>
        <v>0</v>
      </c>
      <c r="G9" s="26" t="s">
        <v>189</v>
      </c>
    </row>
    <row r="10" customFormat="false" ht="15" hidden="false" customHeight="false" outlineLevel="0" collapsed="false">
      <c r="A10" s="25" t="s">
        <v>190</v>
      </c>
      <c r="B10" s="25" t="s">
        <v>81</v>
      </c>
      <c r="C10" s="23" t="s">
        <v>115</v>
      </c>
      <c r="D10" s="6" t="n">
        <f aca="false">COUNTIFS(Participantes!$B$4:$B$28,B10,Participantes!$I$4:$I$28,"Transcrito")</f>
        <v>0</v>
      </c>
      <c r="E10" s="6" t="n">
        <f aca="false">COUNTIFS(Blancos!$B$4:$B$83,A10,Blancos!$E$4:$E$83,"Transcrito",Blancos!$F$4:$F$83,"OK")</f>
        <v>0</v>
      </c>
      <c r="F10" s="5" t="n">
        <f aca="false">D10-E10</f>
        <v>0</v>
      </c>
      <c r="G10" s="26" t="s">
        <v>191</v>
      </c>
    </row>
    <row r="11" customFormat="false" ht="15" hidden="false" customHeight="false" outlineLevel="0" collapsed="false">
      <c r="A11" s="25" t="s">
        <v>192</v>
      </c>
      <c r="B11" s="25" t="s">
        <v>82</v>
      </c>
      <c r="C11" s="23" t="s">
        <v>117</v>
      </c>
      <c r="D11" s="6" t="n">
        <f aca="false">COUNTIFS(Participantes!$B$4:$B$28,B11,Participantes!$I$4:$I$28,"Transcrito")</f>
        <v>0</v>
      </c>
      <c r="E11" s="6" t="n">
        <f aca="false">COUNTIFS(Blancos!$B$4:$B$83,A11,Blancos!$E$4:$E$83,"Transcrito",Blancos!$F$4:$F$83,"OK")</f>
        <v>0</v>
      </c>
      <c r="F11" s="5" t="n">
        <f aca="false">D11-E11</f>
        <v>0</v>
      </c>
      <c r="G11" s="26" t="s">
        <v>193</v>
      </c>
    </row>
    <row r="12" customFormat="false" ht="15" hidden="false" customHeight="false" outlineLevel="0" collapsed="false">
      <c r="A12" s="25" t="s">
        <v>194</v>
      </c>
      <c r="B12" s="25" t="s">
        <v>83</v>
      </c>
      <c r="C12" s="23" t="s">
        <v>118</v>
      </c>
      <c r="D12" s="6" t="n">
        <f aca="false">COUNTIFS(Participantes!$B$4:$B$28,B12,Participantes!$I$4:$I$28,"Transcrito")</f>
        <v>0</v>
      </c>
      <c r="E12" s="6" t="n">
        <f aca="false">COUNTIFS(Blancos!$B$4:$B$83,A12,Blancos!$E$4:$E$83,"Transcrito",Blancos!$F$4:$F$83,"OK")</f>
        <v>0</v>
      </c>
      <c r="F12" s="5" t="n">
        <f aca="false">D12-E12</f>
        <v>0</v>
      </c>
      <c r="G12" s="26" t="s">
        <v>195</v>
      </c>
    </row>
    <row r="13" customFormat="false" ht="15" hidden="false" customHeight="false" outlineLevel="0" collapsed="false">
      <c r="A13" s="25" t="s">
        <v>196</v>
      </c>
      <c r="B13" s="25" t="s">
        <v>84</v>
      </c>
      <c r="C13" s="23" t="s">
        <v>119</v>
      </c>
      <c r="D13" s="6" t="n">
        <f aca="false">COUNTIFS(Participantes!$B$4:$B$28,B13,Participantes!$I$4:$I$28,"Transcrito")</f>
        <v>0</v>
      </c>
      <c r="E13" s="6" t="n">
        <f aca="false">COUNTIFS(Blancos!$B$4:$B$83,A13,Blancos!$E$4:$E$83,"Transcrito",Blancos!$F$4:$F$83,"OK")</f>
        <v>0</v>
      </c>
      <c r="F13" s="5" t="n">
        <f aca="false">D13-E13</f>
        <v>0</v>
      </c>
      <c r="G13" s="26" t="s">
        <v>197</v>
      </c>
    </row>
    <row r="14" customFormat="false" ht="15" hidden="false" customHeight="false" outlineLevel="0" collapsed="false">
      <c r="A14" s="25" t="s">
        <v>198</v>
      </c>
      <c r="B14" s="25" t="s">
        <v>43</v>
      </c>
      <c r="C14" s="23" t="s">
        <v>120</v>
      </c>
      <c r="D14" s="6" t="n">
        <f aca="false">COUNTIFS(Participantes!$B$4:$B$28,B14,Participantes!$I$4:$I$28,"Transcrito")</f>
        <v>0</v>
      </c>
      <c r="E14" s="6" t="n">
        <f aca="false">COUNTIFS(Blancos!$B$4:$B$83,A14,Blancos!$E$4:$E$83,"Transcrito",Blancos!$F$4:$F$83,"OK")</f>
        <v>0</v>
      </c>
      <c r="F14" s="5" t="n">
        <f aca="false">D14-E14</f>
        <v>0</v>
      </c>
      <c r="G14" s="26" t="s">
        <v>199</v>
      </c>
    </row>
    <row r="15" customFormat="false" ht="15" hidden="false" customHeight="false" outlineLevel="0" collapsed="false">
      <c r="A15" s="25" t="s">
        <v>200</v>
      </c>
      <c r="B15" s="25" t="s">
        <v>81</v>
      </c>
      <c r="C15" s="23" t="s">
        <v>121</v>
      </c>
      <c r="D15" s="6" t="n">
        <f aca="false">COUNTIFS(Participantes!$B$4:$B$28,B15,Participantes!$I$4:$I$28,"Transcrito")</f>
        <v>0</v>
      </c>
      <c r="E15" s="6" t="n">
        <f aca="false">COUNTIFS(Blancos!$B$4:$B$83,A15,Blancos!$E$4:$E$83,"Transcrito",Blancos!$F$4:$F$83,"OK")</f>
        <v>0</v>
      </c>
      <c r="F15" s="5" t="n">
        <f aca="false">D15-E15</f>
        <v>0</v>
      </c>
      <c r="G15" s="26" t="s">
        <v>201</v>
      </c>
    </row>
    <row r="16" customFormat="false" ht="15" hidden="false" customHeight="false" outlineLevel="0" collapsed="false">
      <c r="A16" s="25" t="s">
        <v>202</v>
      </c>
      <c r="B16" s="25" t="s">
        <v>82</v>
      </c>
      <c r="C16" s="23" t="s">
        <v>122</v>
      </c>
      <c r="D16" s="6" t="n">
        <f aca="false">COUNTIFS(Participantes!$B$4:$B$28,B16,Participantes!$I$4:$I$28,"Transcrito")</f>
        <v>0</v>
      </c>
      <c r="E16" s="6" t="n">
        <f aca="false">COUNTIFS(Blancos!$B$4:$B$83,A16,Blancos!$E$4:$E$83,"Transcrito",Blancos!$F$4:$F$83,"OK")</f>
        <v>0</v>
      </c>
      <c r="F16" s="5" t="n">
        <f aca="false">D16-E16</f>
        <v>0</v>
      </c>
      <c r="G16" s="26" t="s">
        <v>203</v>
      </c>
    </row>
    <row r="17" customFormat="false" ht="15" hidden="false" customHeight="false" outlineLevel="0" collapsed="false">
      <c r="A17" s="25" t="s">
        <v>204</v>
      </c>
      <c r="B17" s="25" t="s">
        <v>83</v>
      </c>
      <c r="C17" s="23" t="s">
        <v>124</v>
      </c>
      <c r="D17" s="6" t="n">
        <f aca="false">COUNTIFS(Participantes!$B$4:$B$28,B17,Participantes!$I$4:$I$28,"Transcrito")</f>
        <v>0</v>
      </c>
      <c r="E17" s="6" t="n">
        <f aca="false">COUNTIFS(Blancos!$B$4:$B$83,A17,Blancos!$E$4:$E$83,"Transcrito",Blancos!$F$4:$F$83,"OK")</f>
        <v>0</v>
      </c>
      <c r="F17" s="5" t="n">
        <f aca="false">D17-E17</f>
        <v>0</v>
      </c>
      <c r="G17" s="26" t="s">
        <v>205</v>
      </c>
    </row>
    <row r="18" customFormat="false" ht="15" hidden="false" customHeight="false" outlineLevel="0" collapsed="false">
      <c r="A18" s="25" t="s">
        <v>206</v>
      </c>
      <c r="B18" s="25" t="s">
        <v>84</v>
      </c>
      <c r="C18" s="23" t="s">
        <v>125</v>
      </c>
      <c r="D18" s="6" t="n">
        <f aca="false">COUNTIFS(Participantes!$B$4:$B$28,B18,Participantes!$I$4:$I$28,"Transcrito")</f>
        <v>0</v>
      </c>
      <c r="E18" s="6" t="n">
        <f aca="false">COUNTIFS(Blancos!$B$4:$B$83,A18,Blancos!$E$4:$E$83,"Transcrito",Blancos!$F$4:$F$83,"OK")</f>
        <v>0</v>
      </c>
      <c r="F18" s="5" t="n">
        <f aca="false">D18-E18</f>
        <v>0</v>
      </c>
      <c r="G18" s="26" t="s">
        <v>207</v>
      </c>
    </row>
    <row r="19" customFormat="false" ht="15" hidden="false" customHeight="false" outlineLevel="0" collapsed="false">
      <c r="A19" s="25" t="s">
        <v>208</v>
      </c>
      <c r="B19" s="25" t="s">
        <v>43</v>
      </c>
      <c r="C19" s="23" t="s">
        <v>126</v>
      </c>
      <c r="D19" s="6" t="n">
        <f aca="false">COUNTIFS(Participantes!$B$4:$B$28,B19,Participantes!$I$4:$I$28,"Transcrito")</f>
        <v>0</v>
      </c>
      <c r="E19" s="6" t="n">
        <f aca="false">COUNTIFS(Blancos!$B$4:$B$83,A19,Blancos!$E$4:$E$83,"Transcrito",Blancos!$F$4:$F$83,"OK")</f>
        <v>0</v>
      </c>
      <c r="F19" s="5" t="n">
        <f aca="false">D19-E19</f>
        <v>0</v>
      </c>
      <c r="G19" s="26" t="s">
        <v>209</v>
      </c>
    </row>
    <row r="20" customFormat="false" ht="15" hidden="false" customHeight="false" outlineLevel="0" collapsed="false">
      <c r="A20" s="25" t="s">
        <v>210</v>
      </c>
      <c r="B20" s="25" t="s">
        <v>81</v>
      </c>
      <c r="C20" s="23" t="s">
        <v>127</v>
      </c>
      <c r="D20" s="6" t="n">
        <f aca="false">COUNTIFS(Participantes!$B$4:$B$28,B20,Participantes!$I$4:$I$28,"Transcrito")</f>
        <v>0</v>
      </c>
      <c r="E20" s="6" t="n">
        <f aca="false">COUNTIFS(Blancos!$B$4:$B$83,A20,Blancos!$E$4:$E$83,"Transcrito",Blancos!$F$4:$F$83,"OK")</f>
        <v>0</v>
      </c>
      <c r="F20" s="5" t="n">
        <f aca="false">D20-E20</f>
        <v>0</v>
      </c>
      <c r="G20" s="26" t="s">
        <v>211</v>
      </c>
    </row>
    <row r="21" customFormat="false" ht="15" hidden="false" customHeight="false" outlineLevel="0" collapsed="false">
      <c r="A21" s="25" t="s">
        <v>212</v>
      </c>
      <c r="B21" s="25" t="s">
        <v>82</v>
      </c>
      <c r="C21" s="23" t="s">
        <v>128</v>
      </c>
      <c r="D21" s="6" t="n">
        <f aca="false">COUNTIFS(Participantes!$B$4:$B$28,B21,Participantes!$I$4:$I$28,"Transcrito")</f>
        <v>0</v>
      </c>
      <c r="E21" s="6" t="n">
        <f aca="false">COUNTIFS(Blancos!$B$4:$B$83,A21,Blancos!$E$4:$E$83,"Transcrito",Blancos!$F$4:$F$83,"OK")</f>
        <v>0</v>
      </c>
      <c r="F21" s="5" t="n">
        <f aca="false">D21-E21</f>
        <v>0</v>
      </c>
      <c r="G21" s="26" t="s">
        <v>213</v>
      </c>
    </row>
    <row r="22" customFormat="false" ht="15" hidden="false" customHeight="false" outlineLevel="0" collapsed="false">
      <c r="A22" s="25" t="s">
        <v>214</v>
      </c>
      <c r="B22" s="25" t="s">
        <v>83</v>
      </c>
      <c r="C22" s="23" t="s">
        <v>129</v>
      </c>
      <c r="D22" s="6" t="n">
        <f aca="false">COUNTIFS(Participantes!$B$4:$B$28,B22,Participantes!$I$4:$I$28,"Transcrito")</f>
        <v>0</v>
      </c>
      <c r="E22" s="6" t="n">
        <f aca="false">COUNTIFS(Blancos!$B$4:$B$83,A22,Blancos!$E$4:$E$83,"Transcrito",Blancos!$F$4:$F$83,"OK")</f>
        <v>0</v>
      </c>
      <c r="F22" s="5" t="n">
        <f aca="false">D22-E22</f>
        <v>0</v>
      </c>
      <c r="G22" s="26" t="s">
        <v>215</v>
      </c>
    </row>
    <row r="23" customFormat="false" ht="15" hidden="false" customHeight="false" outlineLevel="0" collapsed="false">
      <c r="A23" s="25" t="s">
        <v>216</v>
      </c>
      <c r="B23" s="25" t="s">
        <v>84</v>
      </c>
      <c r="C23" s="23" t="s">
        <v>131</v>
      </c>
      <c r="D23" s="6" t="n">
        <f aca="false">COUNTIFS(Participantes!$B$4:$B$28,B23,Participantes!$I$4:$I$28,"Transcrito")</f>
        <v>0</v>
      </c>
      <c r="E23" s="6" t="n">
        <f aca="false">COUNTIFS(Blancos!$B$4:$B$83,A23,Blancos!$E$4:$E$83,"Transcrito",Blancos!$F$4:$F$83,"OK")</f>
        <v>0</v>
      </c>
      <c r="F23" s="5" t="n">
        <f aca="false">D23-E23</f>
        <v>0</v>
      </c>
      <c r="G23" s="26" t="s">
        <v>217</v>
      </c>
    </row>
    <row r="24" customFormat="false" ht="15" hidden="false" customHeight="false" outlineLevel="0" collapsed="false">
      <c r="A24" s="25" t="s">
        <v>218</v>
      </c>
      <c r="B24" s="25" t="s">
        <v>43</v>
      </c>
      <c r="C24" s="23" t="s">
        <v>132</v>
      </c>
      <c r="D24" s="6" t="n">
        <f aca="false">COUNTIFS(Participantes!$B$4:$B$28,B24,Participantes!$I$4:$I$28,"Transcrito")</f>
        <v>0</v>
      </c>
      <c r="E24" s="6" t="n">
        <f aca="false">COUNTIFS(Blancos!$B$4:$B$83,A24,Blancos!$E$4:$E$83,"Transcrito",Blancos!$F$4:$F$83,"OK")</f>
        <v>0</v>
      </c>
      <c r="F24" s="5" t="n">
        <f aca="false">D24-E24</f>
        <v>0</v>
      </c>
      <c r="G24" s="26" t="s">
        <v>219</v>
      </c>
    </row>
    <row r="25" customFormat="false" ht="15" hidden="false" customHeight="false" outlineLevel="0" collapsed="false">
      <c r="A25" s="25" t="s">
        <v>220</v>
      </c>
      <c r="B25" s="25" t="s">
        <v>81</v>
      </c>
      <c r="C25" s="23" t="s">
        <v>133</v>
      </c>
      <c r="D25" s="6" t="n">
        <f aca="false">COUNTIFS(Participantes!$B$4:$B$28,B25,Participantes!$I$4:$I$28,"Transcrito")</f>
        <v>0</v>
      </c>
      <c r="E25" s="6" t="n">
        <f aca="false">COUNTIFS(Blancos!$B$4:$B$83,A25,Blancos!$E$4:$E$83,"Transcrito",Blancos!$F$4:$F$83,"OK")</f>
        <v>0</v>
      </c>
      <c r="F25" s="5" t="n">
        <f aca="false">D25-E25</f>
        <v>0</v>
      </c>
      <c r="G25" s="26" t="s">
        <v>221</v>
      </c>
    </row>
    <row r="26" customFormat="false" ht="15" hidden="false" customHeight="false" outlineLevel="0" collapsed="false">
      <c r="A26" s="25" t="s">
        <v>222</v>
      </c>
      <c r="B26" s="25" t="s">
        <v>82</v>
      </c>
      <c r="C26" s="23" t="s">
        <v>134</v>
      </c>
      <c r="D26" s="6" t="n">
        <f aca="false">COUNTIFS(Participantes!$B$4:$B$28,B26,Participantes!$I$4:$I$28,"Transcrito")</f>
        <v>0</v>
      </c>
      <c r="E26" s="6" t="n">
        <f aca="false">COUNTIFS(Blancos!$B$4:$B$83,A26,Blancos!$E$4:$E$83,"Transcrito",Blancos!$F$4:$F$83,"OK")</f>
        <v>0</v>
      </c>
      <c r="F26" s="5" t="n">
        <f aca="false">D26-E26</f>
        <v>0</v>
      </c>
      <c r="G26" s="26" t="s">
        <v>223</v>
      </c>
    </row>
    <row r="27" customFormat="false" ht="15" hidden="false" customHeight="false" outlineLevel="0" collapsed="false">
      <c r="A27" s="25" t="s">
        <v>224</v>
      </c>
      <c r="B27" s="25" t="s">
        <v>83</v>
      </c>
      <c r="C27" s="23" t="s">
        <v>135</v>
      </c>
      <c r="D27" s="6" t="n">
        <f aca="false">COUNTIFS(Participantes!$B$4:$B$28,B27,Participantes!$I$4:$I$28,"Transcrito")</f>
        <v>0</v>
      </c>
      <c r="E27" s="6" t="n">
        <f aca="false">COUNTIFS(Blancos!$B$4:$B$83,A27,Blancos!$E$4:$E$83,"Transcrito",Blancos!$F$4:$F$83,"OK")</f>
        <v>0</v>
      </c>
      <c r="F27" s="5" t="n">
        <f aca="false">D27-E27</f>
        <v>0</v>
      </c>
      <c r="G27" s="26" t="s">
        <v>225</v>
      </c>
    </row>
    <row r="28" customFormat="false" ht="15" hidden="false" customHeight="false" outlineLevel="0" collapsed="false">
      <c r="A28" s="25" t="s">
        <v>226</v>
      </c>
      <c r="B28" s="25" t="s">
        <v>84</v>
      </c>
      <c r="C28" s="23" t="s">
        <v>137</v>
      </c>
      <c r="D28" s="6" t="n">
        <f aca="false">COUNTIFS(Participantes!$B$4:$B$28,B28,Participantes!$I$4:$I$28,"Transcrito")</f>
        <v>0</v>
      </c>
      <c r="E28" s="6" t="n">
        <f aca="false">COUNTIFS(Blancos!$B$4:$B$83,A28,Blancos!$E$4:$E$83,"Transcrito",Blancos!$F$4:$F$83,"OK")</f>
        <v>0</v>
      </c>
      <c r="F28" s="5" t="n">
        <f aca="false">D28-E28</f>
        <v>0</v>
      </c>
      <c r="G28" s="26" t="s">
        <v>227</v>
      </c>
    </row>
    <row r="29" customFormat="false" ht="15" hidden="false" customHeight="false" outlineLevel="0" collapsed="false">
      <c r="A29" s="25" t="s">
        <v>228</v>
      </c>
      <c r="B29" s="25" t="s">
        <v>43</v>
      </c>
      <c r="C29" s="23" t="s">
        <v>138</v>
      </c>
      <c r="D29" s="6" t="n">
        <f aca="false">COUNTIFS(Participantes!$B$4:$B$28,B29,Participantes!$I$4:$I$28,"Transcrito")</f>
        <v>0</v>
      </c>
      <c r="E29" s="6" t="n">
        <f aca="false">COUNTIFS(Blancos!$B$4:$B$83,A29,Blancos!$E$4:$E$83,"Transcrito",Blancos!$F$4:$F$83,"OK")</f>
        <v>0</v>
      </c>
      <c r="F29" s="5" t="n">
        <f aca="false">D29-E29</f>
        <v>0</v>
      </c>
      <c r="G29" s="26" t="s">
        <v>229</v>
      </c>
    </row>
    <row r="30" customFormat="false" ht="15" hidden="false" customHeight="false" outlineLevel="0" collapsed="false">
      <c r="A30" s="25" t="s">
        <v>230</v>
      </c>
      <c r="B30" s="25" t="s">
        <v>81</v>
      </c>
      <c r="C30" s="23" t="s">
        <v>139</v>
      </c>
      <c r="D30" s="6" t="n">
        <f aca="false">COUNTIFS(Participantes!$B$4:$B$28,B30,Participantes!$I$4:$I$28,"Transcrito")</f>
        <v>0</v>
      </c>
      <c r="E30" s="6" t="n">
        <f aca="false">COUNTIFS(Blancos!$B$4:$B$83,A30,Blancos!$E$4:$E$83,"Transcrito",Blancos!$F$4:$F$83,"OK")</f>
        <v>0</v>
      </c>
      <c r="F30" s="5" t="n">
        <f aca="false">D30-E30</f>
        <v>0</v>
      </c>
      <c r="G30" s="26" t="s">
        <v>231</v>
      </c>
    </row>
    <row r="31" customFormat="false" ht="15" hidden="false" customHeight="false" outlineLevel="0" collapsed="false">
      <c r="A31" s="25" t="s">
        <v>232</v>
      </c>
      <c r="B31" s="25" t="s">
        <v>82</v>
      </c>
      <c r="C31" s="23" t="s">
        <v>140</v>
      </c>
      <c r="D31" s="6" t="n">
        <f aca="false">COUNTIFS(Participantes!$B$4:$B$28,B31,Participantes!$I$4:$I$28,"Transcrito")</f>
        <v>0</v>
      </c>
      <c r="E31" s="6" t="n">
        <f aca="false">COUNTIFS(Blancos!$B$4:$B$83,A31,Blancos!$E$4:$E$83,"Transcrito",Blancos!$F$4:$F$83,"OK")</f>
        <v>0</v>
      </c>
      <c r="F31" s="5" t="n">
        <f aca="false">D31-E31</f>
        <v>0</v>
      </c>
      <c r="G31" s="26" t="s">
        <v>233</v>
      </c>
    </row>
    <row r="32" customFormat="false" ht="15" hidden="false" customHeight="false" outlineLevel="0" collapsed="false">
      <c r="A32" s="25" t="s">
        <v>234</v>
      </c>
      <c r="B32" s="25" t="s">
        <v>83</v>
      </c>
      <c r="C32" s="23" t="s">
        <v>141</v>
      </c>
      <c r="D32" s="6" t="n">
        <f aca="false">COUNTIFS(Participantes!$B$4:$B$28,B32,Participantes!$I$4:$I$28,"Transcrito")</f>
        <v>0</v>
      </c>
      <c r="E32" s="6" t="n">
        <f aca="false">COUNTIFS(Blancos!$B$4:$B$83,A32,Blancos!$E$4:$E$83,"Transcrito",Blancos!$F$4:$F$83,"OK")</f>
        <v>0</v>
      </c>
      <c r="F32" s="5" t="n">
        <f aca="false">D32-E32</f>
        <v>0</v>
      </c>
      <c r="G32" s="26" t="s">
        <v>235</v>
      </c>
    </row>
    <row r="33" customFormat="false" ht="15" hidden="false" customHeight="false" outlineLevel="0" collapsed="false">
      <c r="A33" s="25" t="s">
        <v>236</v>
      </c>
      <c r="B33" s="25" t="s">
        <v>84</v>
      </c>
      <c r="C33" s="23" t="s">
        <v>143</v>
      </c>
      <c r="D33" s="6" t="n">
        <f aca="false">COUNTIFS(Participantes!$B$4:$B$28,B33,Participantes!$I$4:$I$28,"Transcrito")</f>
        <v>0</v>
      </c>
      <c r="E33" s="6" t="n">
        <f aca="false">COUNTIFS(Blancos!$B$4:$B$83,A33,Blancos!$E$4:$E$83,"Transcrito",Blancos!$F$4:$F$83,"OK")</f>
        <v>0</v>
      </c>
      <c r="F33" s="5" t="n">
        <f aca="false">D33-E33</f>
        <v>0</v>
      </c>
      <c r="G33" s="26" t="s">
        <v>237</v>
      </c>
    </row>
    <row r="34" customFormat="false" ht="15" hidden="false" customHeight="false" outlineLevel="0" collapsed="false">
      <c r="A34" s="25" t="s">
        <v>238</v>
      </c>
      <c r="B34" s="25" t="s">
        <v>43</v>
      </c>
      <c r="C34" s="23" t="s">
        <v>144</v>
      </c>
      <c r="D34" s="6" t="n">
        <f aca="false">COUNTIFS(Participantes!$B$4:$B$28,B34,Participantes!$I$4:$I$28,"Transcrito")</f>
        <v>0</v>
      </c>
      <c r="E34" s="6" t="n">
        <f aca="false">COUNTIFS(Blancos!$B$4:$B$83,A34,Blancos!$E$4:$E$83,"Transcrito",Blancos!$F$4:$F$83,"OK")</f>
        <v>0</v>
      </c>
      <c r="F34" s="5" t="n">
        <f aca="false">D34-E34</f>
        <v>0</v>
      </c>
      <c r="G34" s="26" t="s">
        <v>239</v>
      </c>
    </row>
    <row r="35" customFormat="false" ht="15" hidden="false" customHeight="false" outlineLevel="0" collapsed="false">
      <c r="A35" s="25" t="s">
        <v>240</v>
      </c>
      <c r="B35" s="25" t="s">
        <v>81</v>
      </c>
      <c r="C35" s="23" t="s">
        <v>145</v>
      </c>
      <c r="D35" s="6" t="n">
        <f aca="false">COUNTIFS(Participantes!$B$4:$B$28,B35,Participantes!$I$4:$I$28,"Transcrito")</f>
        <v>0</v>
      </c>
      <c r="E35" s="6" t="n">
        <f aca="false">COUNTIFS(Blancos!$B$4:$B$83,A35,Blancos!$E$4:$E$83,"Transcrito",Blancos!$F$4:$F$83,"OK")</f>
        <v>0</v>
      </c>
      <c r="F35" s="5" t="n">
        <f aca="false">D35-E35</f>
        <v>0</v>
      </c>
      <c r="G35" s="26" t="s">
        <v>241</v>
      </c>
    </row>
    <row r="36" customFormat="false" ht="15" hidden="false" customHeight="false" outlineLevel="0" collapsed="false">
      <c r="A36" s="25" t="s">
        <v>242</v>
      </c>
      <c r="B36" s="25" t="s">
        <v>82</v>
      </c>
      <c r="C36" s="23" t="s">
        <v>146</v>
      </c>
      <c r="D36" s="6" t="n">
        <f aca="false">COUNTIFS(Participantes!$B$4:$B$28,B36,Participantes!$I$4:$I$28,"Transcrito")</f>
        <v>0</v>
      </c>
      <c r="E36" s="6" t="n">
        <f aca="false">COUNTIFS(Blancos!$B$4:$B$83,A36,Blancos!$E$4:$E$83,"Transcrito",Blancos!$F$4:$F$83,"OK")</f>
        <v>0</v>
      </c>
      <c r="F36" s="5" t="n">
        <f aca="false">D36-E36</f>
        <v>0</v>
      </c>
      <c r="G36" s="26" t="s">
        <v>243</v>
      </c>
    </row>
    <row r="37" customFormat="false" ht="15" hidden="false" customHeight="false" outlineLevel="0" collapsed="false">
      <c r="A37" s="25" t="s">
        <v>244</v>
      </c>
      <c r="B37" s="25" t="s">
        <v>83</v>
      </c>
      <c r="C37" s="23" t="s">
        <v>147</v>
      </c>
      <c r="D37" s="6" t="n">
        <f aca="false">COUNTIFS(Participantes!$B$4:$B$28,B37,Participantes!$I$4:$I$28,"Transcrito")</f>
        <v>0</v>
      </c>
      <c r="E37" s="6" t="n">
        <f aca="false">COUNTIFS(Blancos!$B$4:$B$83,A37,Blancos!$E$4:$E$83,"Transcrito",Blancos!$F$4:$F$83,"OK")</f>
        <v>0</v>
      </c>
      <c r="F37" s="5" t="n">
        <f aca="false">D37-E37</f>
        <v>0</v>
      </c>
      <c r="G37" s="26" t="s">
        <v>245</v>
      </c>
    </row>
    <row r="38" customFormat="false" ht="15" hidden="false" customHeight="false" outlineLevel="0" collapsed="false">
      <c r="A38" s="25" t="s">
        <v>246</v>
      </c>
      <c r="B38" s="25" t="s">
        <v>84</v>
      </c>
      <c r="C38" s="23" t="s">
        <v>149</v>
      </c>
      <c r="D38" s="6" t="n">
        <f aca="false">COUNTIFS(Participantes!$B$4:$B$28,B38,Participantes!$I$4:$I$28,"Transcrito")</f>
        <v>0</v>
      </c>
      <c r="E38" s="6" t="n">
        <f aca="false">COUNTIFS(Blancos!$B$4:$B$83,A38,Blancos!$E$4:$E$83,"Transcrito",Blancos!$F$4:$F$83,"OK")</f>
        <v>0</v>
      </c>
      <c r="F38" s="5" t="n">
        <f aca="false">D38-E38</f>
        <v>0</v>
      </c>
      <c r="G38" s="26" t="s">
        <v>247</v>
      </c>
    </row>
    <row r="39" customFormat="false" ht="15" hidden="false" customHeight="false" outlineLevel="0" collapsed="false">
      <c r="A39" s="25" t="s">
        <v>248</v>
      </c>
      <c r="B39" s="25" t="s">
        <v>43</v>
      </c>
      <c r="C39" s="23" t="s">
        <v>150</v>
      </c>
      <c r="D39" s="6" t="n">
        <f aca="false">COUNTIFS(Participantes!$B$4:$B$28,B39,Participantes!$I$4:$I$28,"Transcrito")</f>
        <v>0</v>
      </c>
      <c r="E39" s="6" t="n">
        <f aca="false">COUNTIFS(Blancos!$B$4:$B$83,A39,Blancos!$E$4:$E$83,"Transcrito",Blancos!$F$4:$F$83,"OK")</f>
        <v>0</v>
      </c>
      <c r="F39" s="5" t="n">
        <f aca="false">D39-E39</f>
        <v>0</v>
      </c>
      <c r="G39" s="26" t="s">
        <v>249</v>
      </c>
    </row>
    <row r="40" customFormat="false" ht="15" hidden="false" customHeight="false" outlineLevel="0" collapsed="false">
      <c r="A40" s="25" t="s">
        <v>250</v>
      </c>
      <c r="B40" s="25" t="s">
        <v>81</v>
      </c>
      <c r="C40" s="23" t="s">
        <v>151</v>
      </c>
      <c r="D40" s="6" t="n">
        <f aca="false">COUNTIFS(Participantes!$B$4:$B$28,B40,Participantes!$I$4:$I$28,"Transcrito")</f>
        <v>0</v>
      </c>
      <c r="E40" s="6" t="n">
        <f aca="false">COUNTIFS(Blancos!$B$4:$B$83,A40,Blancos!$E$4:$E$83,"Transcrito",Blancos!$F$4:$F$83,"OK")</f>
        <v>0</v>
      </c>
      <c r="F40" s="5" t="n">
        <f aca="false">D40-E40</f>
        <v>0</v>
      </c>
      <c r="G40" s="26" t="s">
        <v>251</v>
      </c>
    </row>
    <row r="41" customFormat="false" ht="15" hidden="false" customHeight="false" outlineLevel="0" collapsed="false">
      <c r="A41" s="25" t="s">
        <v>252</v>
      </c>
      <c r="B41" s="25" t="s">
        <v>82</v>
      </c>
      <c r="C41" s="23" t="s">
        <v>152</v>
      </c>
      <c r="D41" s="6" t="n">
        <f aca="false">COUNTIFS(Participantes!$B$4:$B$28,B41,Participantes!$I$4:$I$28,"Transcrito")</f>
        <v>0</v>
      </c>
      <c r="E41" s="6" t="n">
        <f aca="false">COUNTIFS(Blancos!$B$4:$B$83,A41,Blancos!$E$4:$E$83,"Transcrito",Blancos!$F$4:$F$83,"OK")</f>
        <v>0</v>
      </c>
      <c r="F41" s="5" t="n">
        <f aca="false">D41-E41</f>
        <v>0</v>
      </c>
      <c r="G41" s="26" t="s">
        <v>253</v>
      </c>
    </row>
    <row r="42" customFormat="false" ht="15" hidden="false" customHeight="false" outlineLevel="0" collapsed="false">
      <c r="A42" s="25" t="s">
        <v>254</v>
      </c>
      <c r="B42" s="25" t="s">
        <v>83</v>
      </c>
      <c r="C42" s="23" t="s">
        <v>153</v>
      </c>
      <c r="D42" s="6" t="n">
        <f aca="false">COUNTIFS(Participantes!$B$4:$B$28,B42,Participantes!$I$4:$I$28,"Transcrito")</f>
        <v>0</v>
      </c>
      <c r="E42" s="6" t="n">
        <f aca="false">COUNTIFS(Blancos!$B$4:$B$83,A42,Blancos!$E$4:$E$83,"Transcrito",Blancos!$F$4:$F$83,"OK")</f>
        <v>0</v>
      </c>
      <c r="F42" s="5" t="n">
        <f aca="false">D42-E42</f>
        <v>0</v>
      </c>
      <c r="G42" s="26" t="s">
        <v>255</v>
      </c>
    </row>
    <row r="43" customFormat="false" ht="15" hidden="false" customHeight="false" outlineLevel="0" collapsed="false">
      <c r="A43" s="25" t="s">
        <v>256</v>
      </c>
      <c r="B43" s="25" t="s">
        <v>84</v>
      </c>
      <c r="C43" s="23" t="s">
        <v>155</v>
      </c>
      <c r="D43" s="6" t="n">
        <f aca="false">COUNTIFS(Participantes!$B$4:$B$28,B43,Participantes!$I$4:$I$28,"Transcrito")</f>
        <v>0</v>
      </c>
      <c r="E43" s="6" t="n">
        <f aca="false">COUNTIFS(Blancos!$B$4:$B$83,A43,Blancos!$E$4:$E$83,"Transcrito",Blancos!$F$4:$F$83,"OK")</f>
        <v>0</v>
      </c>
      <c r="F43" s="5" t="n">
        <f aca="false">D43-E43</f>
        <v>0</v>
      </c>
      <c r="G43" s="26" t="s">
        <v>257</v>
      </c>
    </row>
    <row r="44" customFormat="false" ht="15" hidden="false" customHeight="false" outlineLevel="0" collapsed="false">
      <c r="A44" s="25" t="s">
        <v>258</v>
      </c>
      <c r="B44" s="25" t="s">
        <v>43</v>
      </c>
      <c r="C44" s="23" t="s">
        <v>156</v>
      </c>
      <c r="D44" s="6" t="n">
        <f aca="false">COUNTIFS(Participantes!$B$4:$B$28,B44,Participantes!$I$4:$I$28,"Transcrito")</f>
        <v>0</v>
      </c>
      <c r="E44" s="6" t="n">
        <f aca="false">COUNTIFS(Blancos!$B$4:$B$83,A44,Blancos!$E$4:$E$83,"Transcrito",Blancos!$F$4:$F$83,"OK")</f>
        <v>0</v>
      </c>
      <c r="F44" s="5" t="n">
        <f aca="false">D44-E44</f>
        <v>0</v>
      </c>
      <c r="G44" s="26" t="s">
        <v>259</v>
      </c>
    </row>
    <row r="45" customFormat="false" ht="15" hidden="false" customHeight="false" outlineLevel="0" collapsed="false">
      <c r="A45" s="25" t="s">
        <v>260</v>
      </c>
      <c r="B45" s="25" t="s">
        <v>81</v>
      </c>
      <c r="C45" s="23" t="s">
        <v>157</v>
      </c>
      <c r="D45" s="6" t="n">
        <f aca="false">COUNTIFS(Participantes!$B$4:$B$28,B45,Participantes!$I$4:$I$28,"Transcrito")</f>
        <v>0</v>
      </c>
      <c r="E45" s="6" t="n">
        <f aca="false">COUNTIFS(Blancos!$B$4:$B$83,A45,Blancos!$E$4:$E$83,"Transcrito",Blancos!$F$4:$F$83,"OK")</f>
        <v>0</v>
      </c>
      <c r="F45" s="5" t="n">
        <f aca="false">D45-E45</f>
        <v>0</v>
      </c>
      <c r="G45" s="26" t="s">
        <v>261</v>
      </c>
    </row>
    <row r="46" customFormat="false" ht="15" hidden="false" customHeight="false" outlineLevel="0" collapsed="false">
      <c r="A46" s="25" t="s">
        <v>262</v>
      </c>
      <c r="B46" s="25" t="s">
        <v>82</v>
      </c>
      <c r="C46" s="23" t="s">
        <v>158</v>
      </c>
      <c r="D46" s="6" t="n">
        <f aca="false">COUNTIFS(Participantes!$B$4:$B$28,B46,Participantes!$I$4:$I$28,"Transcrito")</f>
        <v>0</v>
      </c>
      <c r="E46" s="6" t="n">
        <f aca="false">COUNTIFS(Blancos!$B$4:$B$83,A46,Blancos!$E$4:$E$83,"Transcrito",Blancos!$F$4:$F$83,"OK")</f>
        <v>0</v>
      </c>
      <c r="F46" s="5" t="n">
        <f aca="false">D46-E46</f>
        <v>0</v>
      </c>
      <c r="G46" s="26" t="s">
        <v>263</v>
      </c>
    </row>
    <row r="47" customFormat="false" ht="15" hidden="false" customHeight="false" outlineLevel="0" collapsed="false">
      <c r="A47" s="25" t="s">
        <v>264</v>
      </c>
      <c r="B47" s="25" t="s">
        <v>83</v>
      </c>
      <c r="C47" s="23" t="s">
        <v>159</v>
      </c>
      <c r="D47" s="6" t="n">
        <f aca="false">COUNTIFS(Participantes!$B$4:$B$28,B47,Participantes!$I$4:$I$28,"Transcrito")</f>
        <v>0</v>
      </c>
      <c r="E47" s="6" t="n">
        <f aca="false">COUNTIFS(Blancos!$B$4:$B$83,A47,Blancos!$E$4:$E$83,"Transcrito",Blancos!$F$4:$F$83,"OK")</f>
        <v>0</v>
      </c>
      <c r="F47" s="5" t="n">
        <f aca="false">D47-E47</f>
        <v>0</v>
      </c>
      <c r="G47" s="26" t="s">
        <v>265</v>
      </c>
    </row>
    <row r="48" customFormat="false" ht="15" hidden="false" customHeight="false" outlineLevel="0" collapsed="false">
      <c r="A48" s="25" t="s">
        <v>266</v>
      </c>
      <c r="B48" s="25" t="s">
        <v>84</v>
      </c>
      <c r="C48" s="23" t="s">
        <v>160</v>
      </c>
      <c r="D48" s="6" t="n">
        <f aca="false">COUNTIFS(Participantes!$B$4:$B$28,B48,Participantes!$I$4:$I$28,"Transcrito")</f>
        <v>0</v>
      </c>
      <c r="E48" s="6" t="n">
        <f aca="false">COUNTIFS(Blancos!$B$4:$B$83,A48,Blancos!$E$4:$E$83,"Transcrito",Blancos!$F$4:$F$83,"OK")</f>
        <v>0</v>
      </c>
      <c r="F48" s="5" t="n">
        <f aca="false">D48-E48</f>
        <v>0</v>
      </c>
      <c r="G48" s="26" t="s">
        <v>267</v>
      </c>
    </row>
    <row r="49" customFormat="false" ht="15" hidden="false" customHeight="false" outlineLevel="0" collapsed="false">
      <c r="A49" s="25" t="s">
        <v>268</v>
      </c>
      <c r="B49" s="25" t="s">
        <v>43</v>
      </c>
      <c r="C49" s="23" t="s">
        <v>162</v>
      </c>
      <c r="D49" s="6" t="n">
        <f aca="false">COUNTIFS(Participantes!$B$4:$B$28,B49,Participantes!$I$4:$I$28,"Transcrito")</f>
        <v>0</v>
      </c>
      <c r="E49" s="6" t="n">
        <f aca="false">COUNTIFS(Blancos!$B$4:$B$83,A49,Blancos!$E$4:$E$83,"Transcrito",Blancos!$F$4:$F$83,"OK")</f>
        <v>0</v>
      </c>
      <c r="F49" s="5" t="n">
        <f aca="false">D49-E49</f>
        <v>0</v>
      </c>
      <c r="G49" s="26" t="s">
        <v>269</v>
      </c>
    </row>
    <row r="50" customFormat="false" ht="15" hidden="false" customHeight="false" outlineLevel="0" collapsed="false">
      <c r="A50" s="25" t="s">
        <v>270</v>
      </c>
      <c r="B50" s="25" t="s">
        <v>81</v>
      </c>
      <c r="C50" s="23" t="s">
        <v>163</v>
      </c>
      <c r="D50" s="6" t="n">
        <f aca="false">COUNTIFS(Participantes!$B$4:$B$28,B50,Participantes!$I$4:$I$28,"Transcrito")</f>
        <v>0</v>
      </c>
      <c r="E50" s="6" t="n">
        <f aca="false">COUNTIFS(Blancos!$B$4:$B$83,A50,Blancos!$E$4:$E$83,"Transcrito",Blancos!$F$4:$F$83,"OK")</f>
        <v>0</v>
      </c>
      <c r="F50" s="5" t="n">
        <f aca="false">D50-E50</f>
        <v>0</v>
      </c>
      <c r="G50" s="26" t="s">
        <v>271</v>
      </c>
    </row>
    <row r="51" customFormat="false" ht="15" hidden="false" customHeight="false" outlineLevel="0" collapsed="false">
      <c r="A51" s="25" t="s">
        <v>272</v>
      </c>
      <c r="B51" s="25" t="s">
        <v>82</v>
      </c>
      <c r="C51" s="23" t="s">
        <v>164</v>
      </c>
      <c r="D51" s="6" t="n">
        <f aca="false">COUNTIFS(Participantes!$B$4:$B$28,B51,Participantes!$I$4:$I$28,"Transcrito")</f>
        <v>0</v>
      </c>
      <c r="E51" s="6" t="n">
        <f aca="false">COUNTIFS(Blancos!$B$4:$B$83,A51,Blancos!$E$4:$E$83,"Transcrito",Blancos!$F$4:$F$83,"OK")</f>
        <v>0</v>
      </c>
      <c r="F51" s="5" t="n">
        <f aca="false">D51-E51</f>
        <v>0</v>
      </c>
      <c r="G51" s="26" t="s">
        <v>273</v>
      </c>
    </row>
    <row r="52" customFormat="false" ht="15" hidden="false" customHeight="false" outlineLevel="0" collapsed="false">
      <c r="A52" s="25" t="s">
        <v>274</v>
      </c>
      <c r="B52" s="25" t="s">
        <v>83</v>
      </c>
      <c r="C52" s="23" t="s">
        <v>165</v>
      </c>
      <c r="D52" s="6" t="n">
        <f aca="false">COUNTIFS(Participantes!$B$4:$B$28,B52,Participantes!$I$4:$I$28,"Transcrito")</f>
        <v>0</v>
      </c>
      <c r="E52" s="6" t="n">
        <f aca="false">COUNTIFS(Blancos!$B$4:$B$83,A52,Blancos!$E$4:$E$83,"Transcrito",Blancos!$F$4:$F$83,"OK")</f>
        <v>0</v>
      </c>
      <c r="F52" s="5" t="n">
        <f aca="false">D52-E52</f>
        <v>0</v>
      </c>
      <c r="G52" s="26" t="s">
        <v>275</v>
      </c>
    </row>
    <row r="53" customFormat="false" ht="15" hidden="false" customHeight="false" outlineLevel="0" collapsed="false">
      <c r="A53" s="25" t="s">
        <v>276</v>
      </c>
      <c r="B53" s="25" t="s">
        <v>84</v>
      </c>
      <c r="C53" s="23" t="s">
        <v>166</v>
      </c>
      <c r="D53" s="6" t="n">
        <f aca="false">COUNTIFS(Participantes!$B$4:$B$28,B53,Participantes!$I$4:$I$28,"Transcrito")</f>
        <v>0</v>
      </c>
      <c r="E53" s="6" t="n">
        <f aca="false">COUNTIFS(Blancos!$B$4:$B$83,A53,Blancos!$E$4:$E$83,"Transcrito",Blancos!$F$4:$F$83,"OK")</f>
        <v>0</v>
      </c>
      <c r="F53" s="5" t="n">
        <f aca="false">D53-E53</f>
        <v>0</v>
      </c>
      <c r="G53" s="26" t="s">
        <v>277</v>
      </c>
    </row>
    <row r="54" customFormat="false" ht="15" hidden="false" customHeight="false" outlineLevel="0" collapsed="false">
      <c r="A54" s="25" t="s">
        <v>278</v>
      </c>
      <c r="B54" s="25" t="s">
        <v>43</v>
      </c>
      <c r="C54" s="23" t="s">
        <v>166</v>
      </c>
      <c r="D54" s="6" t="n">
        <f aca="false">COUNTIFS(Participantes!$B$4:$B$28,B54,Participantes!$I$4:$I$28,"Transcrito")</f>
        <v>0</v>
      </c>
      <c r="E54" s="6" t="n">
        <f aca="false">COUNTIFS(Blancos!$B$4:$B$83,A54,Blancos!$E$4:$E$83,"Transcrito",Blancos!$F$4:$F$83,"OK")</f>
        <v>0</v>
      </c>
      <c r="F54" s="5" t="n">
        <f aca="false">D54-E54</f>
        <v>0</v>
      </c>
      <c r="G54" s="26" t="s">
        <v>279</v>
      </c>
    </row>
    <row r="55" customFormat="false" ht="15" hidden="false" customHeight="false" outlineLevel="0" collapsed="false">
      <c r="A55" s="25" t="s">
        <v>280</v>
      </c>
      <c r="B55" s="25" t="s">
        <v>81</v>
      </c>
      <c r="C55" s="23" t="s">
        <v>166</v>
      </c>
      <c r="D55" s="6" t="n">
        <f aca="false">COUNTIFS(Participantes!$B$4:$B$28,B55,Participantes!$I$4:$I$28,"Transcrito")</f>
        <v>0</v>
      </c>
      <c r="E55" s="6" t="n">
        <f aca="false">COUNTIFS(Blancos!$B$4:$B$83,A55,Blancos!$E$4:$E$83,"Transcrito",Blancos!$F$4:$F$83,"OK")</f>
        <v>0</v>
      </c>
      <c r="F55" s="5" t="n">
        <f aca="false">D55-E55</f>
        <v>0</v>
      </c>
      <c r="G55" s="26" t="s">
        <v>281</v>
      </c>
    </row>
    <row r="56" customFormat="false" ht="15" hidden="false" customHeight="false" outlineLevel="0" collapsed="false">
      <c r="A56" s="25" t="s">
        <v>282</v>
      </c>
      <c r="B56" s="25" t="s">
        <v>82</v>
      </c>
      <c r="C56" s="23" t="s">
        <v>167</v>
      </c>
      <c r="D56" s="6" t="n">
        <f aca="false">COUNTIFS(Participantes!$B$4:$B$28,B56,Participantes!$I$4:$I$28,"Transcrito")</f>
        <v>0</v>
      </c>
      <c r="E56" s="6" t="n">
        <f aca="false">COUNTIFS(Blancos!$B$4:$B$83,A56,Blancos!$E$4:$E$83,"Transcrito",Blancos!$F$4:$F$83,"OK")</f>
        <v>0</v>
      </c>
      <c r="F56" s="5" t="n">
        <f aca="false">D56-E56</f>
        <v>0</v>
      </c>
      <c r="G56" s="26" t="s">
        <v>283</v>
      </c>
    </row>
    <row r="57" customFormat="false" ht="15" hidden="false" customHeight="false" outlineLevel="0" collapsed="false">
      <c r="A57" s="25" t="s">
        <v>284</v>
      </c>
      <c r="B57" s="25" t="s">
        <v>83</v>
      </c>
      <c r="C57" s="23" t="s">
        <v>168</v>
      </c>
      <c r="D57" s="6" t="n">
        <f aca="false">COUNTIFS(Participantes!$B$4:$B$28,B57,Participantes!$I$4:$I$28,"Transcrito")</f>
        <v>0</v>
      </c>
      <c r="E57" s="6" t="n">
        <f aca="false">COUNTIFS(Blancos!$B$4:$B$83,A57,Blancos!$E$4:$E$83,"Transcrito",Blancos!$F$4:$F$83,"OK")</f>
        <v>0</v>
      </c>
      <c r="F57" s="5" t="n">
        <f aca="false">D57-E57</f>
        <v>0</v>
      </c>
      <c r="G57" s="26" t="s">
        <v>285</v>
      </c>
    </row>
    <row r="58" customFormat="false" ht="15" hidden="false" customHeight="false" outlineLevel="0" collapsed="false">
      <c r="A58" s="25" t="s">
        <v>286</v>
      </c>
      <c r="B58" s="25" t="s">
        <v>84</v>
      </c>
      <c r="C58" s="23" t="s">
        <v>169</v>
      </c>
      <c r="D58" s="6" t="n">
        <f aca="false">COUNTIFS(Participantes!$B$4:$B$28,B58,Participantes!$I$4:$I$28,"Transcrito")</f>
        <v>0</v>
      </c>
      <c r="E58" s="6" t="n">
        <f aca="false">COUNTIFS(Blancos!$B$4:$B$83,A58,Blancos!$E$4:$E$83,"Transcrito",Blancos!$F$4:$F$83,"OK")</f>
        <v>0</v>
      </c>
      <c r="F58" s="5" t="n">
        <f aca="false">D58-E58</f>
        <v>0</v>
      </c>
      <c r="G58" s="26" t="s">
        <v>287</v>
      </c>
    </row>
    <row r="59" customFormat="false" ht="15" hidden="false" customHeight="false" outlineLevel="0" collapsed="false">
      <c r="A59" s="25" t="s">
        <v>288</v>
      </c>
      <c r="B59" s="25" t="s">
        <v>43</v>
      </c>
      <c r="C59" s="23" t="s">
        <v>170</v>
      </c>
      <c r="D59" s="6" t="n">
        <f aca="false">COUNTIFS(Participantes!$B$4:$B$28,B59,Participantes!$I$4:$I$28,"Transcrito")</f>
        <v>0</v>
      </c>
      <c r="E59" s="6" t="n">
        <f aca="false">COUNTIFS(Blancos!$B$4:$B$83,A59,Blancos!$E$4:$E$83,"Transcrito",Blancos!$F$4:$F$83,"OK")</f>
        <v>0</v>
      </c>
      <c r="F59" s="5" t="n">
        <f aca="false">D59-E59</f>
        <v>0</v>
      </c>
      <c r="G59" s="26" t="s">
        <v>289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3"/>
    <col collapsed="false" customWidth="true" hidden="false" outlineLevel="0" max="5" min="5" style="0" width="18"/>
  </cols>
  <sheetData>
    <row r="1" customFormat="false" ht="30" hidden="false" customHeight="true" outlineLevel="0" collapsed="false">
      <c r="A1" s="3" t="s">
        <v>3</v>
      </c>
      <c r="B1" s="3" t="s">
        <v>75</v>
      </c>
      <c r="C1" s="3" t="s">
        <v>290</v>
      </c>
      <c r="D1" s="3" t="s">
        <v>291</v>
      </c>
      <c r="E1" s="3" t="s">
        <v>4</v>
      </c>
    </row>
    <row r="2" customFormat="false" ht="15" hidden="false" customHeight="false" outlineLevel="0" collapsed="false">
      <c r="A2" s="4" t="s">
        <v>43</v>
      </c>
      <c r="B2" s="25" t="n">
        <v>12</v>
      </c>
      <c r="C2" s="25" t="n">
        <v>2</v>
      </c>
      <c r="D2" s="25" t="n">
        <v>3</v>
      </c>
      <c r="E2" s="5" t="str">
        <f aca="false">C2&amp;"–"&amp;D2</f>
        <v>2–3</v>
      </c>
    </row>
    <row r="3" customFormat="false" ht="15" hidden="false" customHeight="false" outlineLevel="0" collapsed="false">
      <c r="A3" s="4" t="s">
        <v>81</v>
      </c>
      <c r="B3" s="25" t="n">
        <v>11</v>
      </c>
      <c r="C3" s="25" t="n">
        <v>4</v>
      </c>
      <c r="D3" s="25" t="n">
        <v>5</v>
      </c>
      <c r="E3" s="5" t="str">
        <f aca="false">C3&amp;"–"&amp;D3</f>
        <v>4–5</v>
      </c>
    </row>
    <row r="4" customFormat="false" ht="15" hidden="false" customHeight="false" outlineLevel="0" collapsed="false">
      <c r="A4" s="4" t="s">
        <v>82</v>
      </c>
      <c r="B4" s="25" t="n">
        <v>11</v>
      </c>
      <c r="C4" s="25" t="n">
        <v>6</v>
      </c>
      <c r="D4" s="25" t="n">
        <v>7</v>
      </c>
      <c r="E4" s="5" t="str">
        <f aca="false">C4&amp;"–"&amp;D4</f>
        <v>6–7</v>
      </c>
    </row>
    <row r="5" customFormat="false" ht="15" hidden="false" customHeight="false" outlineLevel="0" collapsed="false">
      <c r="A5" s="4" t="s">
        <v>83</v>
      </c>
      <c r="B5" s="25" t="n">
        <v>11</v>
      </c>
      <c r="C5" s="25" t="n">
        <v>8</v>
      </c>
      <c r="D5" s="25" t="n">
        <v>9</v>
      </c>
      <c r="E5" s="5" t="str">
        <f aca="false">C5&amp;"–"&amp;D5</f>
        <v>8–9</v>
      </c>
    </row>
    <row r="6" customFormat="false" ht="15" hidden="false" customHeight="false" outlineLevel="0" collapsed="false">
      <c r="A6" s="4" t="s">
        <v>84</v>
      </c>
      <c r="B6" s="25" t="n">
        <v>11</v>
      </c>
      <c r="C6" s="25" t="n">
        <v>10</v>
      </c>
      <c r="D6" s="25" t="n">
        <v>11</v>
      </c>
      <c r="E6" s="5" t="str">
        <f aca="false">C6&amp;"–"&amp;D6</f>
        <v>10–11</v>
      </c>
    </row>
    <row r="7" customFormat="false" ht="15" hidden="false" customHeight="false" outlineLevel="0" collapsed="false">
      <c r="A7" s="4" t="s">
        <v>85</v>
      </c>
      <c r="B7" s="4" t="n">
        <f aca="false">SUM(B2:B6)</f>
        <v>56</v>
      </c>
    </row>
    <row r="9" customFormat="false" ht="15" hidden="false" customHeight="false" outlineLevel="0" collapsed="false">
      <c r="A9" s="16" t="s">
        <v>292</v>
      </c>
      <c r="B9" s="25" t="n">
        <v>56</v>
      </c>
    </row>
    <row r="10" customFormat="false" ht="15" hidden="false" customHeight="false" outlineLevel="0" collapsed="false">
      <c r="A10" s="16" t="s">
        <v>57</v>
      </c>
      <c r="B10" s="4" t="str">
        <f aca="false">IF(B7=B9,"OK","Revisar")</f>
        <v>OK</v>
      </c>
    </row>
    <row r="12" customFormat="false" ht="15" hidden="false" customHeight="false" outlineLevel="0" collapsed="false">
      <c r="A12" s="11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  <col collapsed="false" customWidth="true" hidden="false" outlineLevel="0" max="5" min="5" style="0" width="14"/>
    <col collapsed="false" customWidth="true" hidden="false" outlineLevel="0" max="6" min="6" style="0" width="56"/>
  </cols>
  <sheetData>
    <row r="1" customFormat="false" ht="15" hidden="false" customHeight="false" outlineLevel="0" collapsed="false">
      <c r="A1" s="27" t="s">
        <v>6</v>
      </c>
      <c r="B1" s="27" t="s">
        <v>294</v>
      </c>
      <c r="C1" s="27" t="s">
        <v>10</v>
      </c>
      <c r="E1" s="28" t="s">
        <v>295</v>
      </c>
    </row>
    <row r="2" customFormat="false" ht="15" hidden="false" customHeight="false" outlineLevel="0" collapsed="false">
      <c r="A2" s="29" t="s">
        <v>296</v>
      </c>
      <c r="B2" s="29" t="s">
        <v>48</v>
      </c>
      <c r="C2" s="29" t="s">
        <v>17</v>
      </c>
      <c r="E2" s="28" t="s">
        <v>17</v>
      </c>
      <c r="F2" s="30" t="s">
        <v>297</v>
      </c>
    </row>
    <row r="3" customFormat="false" ht="15" hidden="false" customHeight="false" outlineLevel="0" collapsed="false">
      <c r="A3" s="29" t="s">
        <v>46</v>
      </c>
      <c r="B3" s="29" t="s">
        <v>298</v>
      </c>
      <c r="C3" s="29" t="s">
        <v>299</v>
      </c>
      <c r="E3" s="28" t="s">
        <v>299</v>
      </c>
      <c r="F3" s="30" t="s">
        <v>300</v>
      </c>
    </row>
    <row r="4" customFormat="false" ht="15" hidden="false" customHeight="false" outlineLevel="0" collapsed="false">
      <c r="A4" s="29" t="s">
        <v>301</v>
      </c>
      <c r="C4" s="29" t="s">
        <v>302</v>
      </c>
      <c r="E4" s="28" t="s">
        <v>302</v>
      </c>
      <c r="F4" s="30" t="s">
        <v>303</v>
      </c>
    </row>
    <row r="5" customFormat="false" ht="15" hidden="false" customHeight="false" outlineLevel="0" collapsed="false">
      <c r="A5" s="29" t="s">
        <v>304</v>
      </c>
      <c r="C5" s="29" t="s">
        <v>49</v>
      </c>
      <c r="E5" s="28" t="s">
        <v>49</v>
      </c>
      <c r="F5" s="30" t="s">
        <v>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7.35" hidden="false" customHeight="false" outlineLevel="0" collapsed="false">
      <c r="A1" s="31" t="s">
        <v>306</v>
      </c>
    </row>
    <row r="2" customFormat="false" ht="15" hidden="false" customHeight="false" outlineLevel="0" collapsed="false">
      <c r="A2" s="32"/>
    </row>
    <row r="3" customFormat="false" ht="15" hidden="false" customHeight="false" outlineLevel="0" collapsed="false">
      <c r="A3" s="33" t="s">
        <v>307</v>
      </c>
    </row>
    <row r="4" customFormat="false" ht="23.85" hidden="false" customHeight="false" outlineLevel="0" collapsed="false">
      <c r="A4" s="32" t="s">
        <v>308</v>
      </c>
    </row>
    <row r="5" customFormat="false" ht="23.85" hidden="false" customHeight="false" outlineLevel="0" collapsed="false">
      <c r="A5" s="32" t="s">
        <v>309</v>
      </c>
    </row>
    <row r="6" customFormat="false" ht="15" hidden="false" customHeight="false" outlineLevel="0" collapsed="false">
      <c r="A6" s="32" t="s">
        <v>310</v>
      </c>
    </row>
    <row r="7" customFormat="false" ht="23.85" hidden="false" customHeight="false" outlineLevel="0" collapsed="false">
      <c r="A7" s="32" t="s">
        <v>311</v>
      </c>
    </row>
    <row r="8" customFormat="false" ht="23.85" hidden="false" customHeight="false" outlineLevel="0" collapsed="false">
      <c r="A8" s="32" t="s">
        <v>312</v>
      </c>
    </row>
    <row r="9" customFormat="false" ht="15" hidden="false" customHeight="false" outlineLevel="0" collapsed="false">
      <c r="A9" s="32"/>
    </row>
    <row r="10" customFormat="false" ht="15" hidden="false" customHeight="false" outlineLevel="0" collapsed="false">
      <c r="A10" s="33" t="s">
        <v>313</v>
      </c>
    </row>
    <row r="11" customFormat="false" ht="23.85" hidden="false" customHeight="false" outlineLevel="0" collapsed="false">
      <c r="A11" s="32" t="s">
        <v>314</v>
      </c>
    </row>
    <row r="12" customFormat="false" ht="23.85" hidden="false" customHeight="false" outlineLevel="0" collapsed="false">
      <c r="A12" s="32" t="s">
        <v>315</v>
      </c>
    </row>
    <row r="13" customFormat="false" ht="15" hidden="false" customHeight="false" outlineLevel="0" collapsed="false">
      <c r="A13" s="32" t="s">
        <v>316</v>
      </c>
    </row>
    <row r="14" customFormat="false" ht="15" hidden="false" customHeight="false" outlineLevel="0" collapsed="false">
      <c r="A14" s="32" t="s">
        <v>317</v>
      </c>
    </row>
    <row r="15" customFormat="false" ht="15" hidden="false" customHeight="false" outlineLevel="0" collapsed="false">
      <c r="A15" s="32"/>
    </row>
    <row r="16" customFormat="false" ht="15" hidden="false" customHeight="false" outlineLevel="0" collapsed="false">
      <c r="A16" s="33" t="s">
        <v>318</v>
      </c>
    </row>
    <row r="17" customFormat="false" ht="15" hidden="false" customHeight="false" outlineLevel="0" collapsed="false">
      <c r="A17" s="32" t="s">
        <v>319</v>
      </c>
    </row>
    <row r="18" customFormat="false" ht="23.85" hidden="false" customHeight="false" outlineLevel="0" collapsed="false">
      <c r="A18" s="32" t="s">
        <v>320</v>
      </c>
    </row>
    <row r="19" customFormat="false" ht="23.85" hidden="false" customHeight="false" outlineLevel="0" collapsed="false">
      <c r="A19" s="32" t="s">
        <v>321</v>
      </c>
    </row>
    <row r="20" customFormat="false" ht="15" hidden="false" customHeight="false" outlineLevel="0" collapsed="false">
      <c r="A20" s="32" t="s">
        <v>322</v>
      </c>
    </row>
    <row r="21" customFormat="false" ht="23.85" hidden="false" customHeight="false" outlineLevel="0" collapsed="false">
      <c r="A21" s="32" t="s">
        <v>323</v>
      </c>
    </row>
    <row r="22" customFormat="false" ht="23.85" hidden="false" customHeight="false" outlineLevel="0" collapsed="false">
      <c r="A22" s="32" t="s"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2026-10-03T16:06:58Z</dcterms:created>
  <dc:creator>openpyxl</dc:creator>
  <dc:description/>
  <dc:language>en-US</dc:language>
  <cp:lastModifiedBy/>
  <dcterms:modified xsi:type="dcterms:W3CDTF">2026-10-03T16:06:58Z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