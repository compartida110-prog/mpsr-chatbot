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ificacion" sheetId="1" state="visible" r:id="rId3"/>
    <sheet name="Resumen" sheetId="2" state="visible" r:id="rId4"/>
    <sheet name="Fuentes" sheetId="3" state="visible" r:id="rId5"/>
    <sheet name="Parametros" sheetId="4" state="visible" r:id="rId6"/>
    <sheet name="Notas" sheetId="5" state="visible" r:id="rId7"/>
  </sheets>
  <definedNames>
    <definedName function="false" hidden="true" localSheetId="0" name="_xlnm._FilterDatabase" vbProcedure="false">Verificacion!$A$3:$T$47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<sst xmlns="http://schemas.openxmlformats.org/spreadsheetml/2006/main" count="610" uniqueCount="385">
  <si>
    <t xml:space="preserve">Verificación de las respuestas del chatbot contra el TUPA y otras fuentes oficiales</t>
  </si>
  <si>
    <t xml:space="preserve">Una fila por respuesta de trámite (44). Compara la respuesta actual con la fuente oficial y llena las celdas amarillas. Si no encuentras el dato, marca «No figura en la fuente» y explica dónde buscaste. No escribas datos de memoria: cada dato lleva su fuente.</t>
  </si>
  <si>
    <t xml:space="preserve">#</t>
  </si>
  <si>
    <t xml:space="preserve">Intención</t>
  </si>
  <si>
    <t xml:space="preserve">Categoría</t>
  </si>
  <si>
    <t xml:space="preserve">Prioridad</t>
  </si>
  <si>
    <t xml:space="preserve">Fuente probable</t>
  </si>
  <si>
    <t xml:space="preserve">Marcada [Verificar] en el repositorio</t>
  </si>
  <si>
    <t xml:space="preserve">Respuesta actual (texto base, sin la marca)</t>
  </si>
  <si>
    <t xml:space="preserve">Datos a comprobar</t>
  </si>
  <si>
    <t xml:space="preserve">Procedimiento o documento en la fuente (nombre, código y página)</t>
  </si>
  <si>
    <t xml:space="preserve">Requisitos según la fuente</t>
  </si>
  <si>
    <t xml:space="preserve">Costo según la fuente</t>
  </si>
  <si>
    <t xml:space="preserve">Plazo según la fuente</t>
  </si>
  <si>
    <t xml:space="preserve">Oficina y canal según la fuente</t>
  </si>
  <si>
    <t xml:space="preserve">Resultado</t>
  </si>
  <si>
    <t xml:space="preserve">Texto corregido para domain.yml</t>
  </si>
  <si>
    <t xml:space="preserve">Fecha de verificación</t>
  </si>
  <si>
    <t xml:space="preserve">Observaciones</t>
  </si>
  <si>
    <t xml:space="preserve">Alerta</t>
  </si>
  <si>
    <t xml:space="preserve">Confirmado por el tesista</t>
  </si>
  <si>
    <t xml:space="preserve">Marco general orientativo (no verificado; confirmar)</t>
  </si>
  <si>
    <t xml:space="preserve">licencia_funcionamiento_requisitos</t>
  </si>
  <si>
    <t xml:space="preserve">Licencias y autorizaciones</t>
  </si>
  <si>
    <t xml:space="preserve">Alta</t>
  </si>
  <si>
    <t xml:space="preserve">TUPA</t>
  </si>
  <si>
    <t xml:space="preserve">Sí</t>
  </si>
  <si>
    <t xml:space="preserve">Para la licencia de funcionamiento necesitas: copia de tu DNI, el certificado de compatibilidad de uso, el certificado de Defensa Civil (ITSE) y el recibo de pago de la tasa correspondiente.</t>
  </si>
  <si>
    <t xml:space="preserve">Lista exacta de requisitos y documentos; si exige certificado de compatibilidad de uso e ITSE; cambia según nivel de riesgo.</t>
  </si>
  <si>
    <t xml:space="preserve">Nota de prensa (no oficial): https://pachamamaradio.org/san-roman-implementa-licencias-de-funcionamiento-digitales-a-partir-del-20-de-agosto/</t>
  </si>
  <si>
    <t xml:space="preserve">Sin lista: la nota dice que los requisitos mantienen las mismas condiciones. Desde el 20 de agosto (2025) la licencia es digital, con código QR y firma electrónica.</t>
  </si>
  <si>
    <t xml:space="preserve">Subgerencia de Fomento a la Inversión Privada (según la nota).</t>
  </si>
  <si>
    <t xml:space="preserve">Pendiente</t>
  </si>
  <si>
    <t xml:space="preserve">Búsqueda asistida (5/10/2026). Fuente de prensa. Falta la lista de requisitos en el TUPA 2025. Si se confirma, conviene mencionar que la licencia se entrega en formato digital.</t>
  </si>
  <si>
    <t xml:space="preserve">Ley N.° 28976 (Ley Marco de Licencia de Funcionamiento): suele pedirse solicitud con carácter de declaración jurada, DNI (o vigencia de poder si es persona jurídica) y la inspección técnica de seguridad según el nivel de riesgo. La lista exacta es la del TUPA.</t>
  </si>
  <si>
    <t xml:space="preserve">licencia_funcionamiento_costo</t>
  </si>
  <si>
    <t xml:space="preserve">El costo de la licencia de funcionamiento depende del giro del negocio y del área del local. Puedes consultar el monto exacto en el TUPA de la MPSR o acercarte a la Plataforma de Atención.</t>
  </si>
  <si>
    <t xml:space="preserve">Derecho de tramitación (en soles o % de la UIT); si varía por giro, área o nivel de riesgo.</t>
  </si>
  <si>
    <t xml:space="preserve">Sin monto: «los costos permanecen inalterados según el TUPA vigente».</t>
  </si>
  <si>
    <t xml:space="preserve">Búsqueda asistida (5/10/2026). Fuente de prensa. Falta el derecho de tramitación en el TUPA 2025 (buscar «licencia de funcionamiento»).</t>
  </si>
  <si>
    <t xml:space="preserve">El monto es un derecho de tramitación que fija la municipalidad en su TUPA. No se asume ningún valor.</t>
  </si>
  <si>
    <t xml:space="preserve">licencia_funcionamiento_plazo</t>
  </si>
  <si>
    <t xml:space="preserve">El trámite de licencia de funcionamiento suele atenderse en un plazo de 10 a 15 días hábiles, según la complejidad del giro del negocio.</t>
  </si>
  <si>
    <t xml:space="preserve">Plazo en días hábiles; tipo de silencio administrativo.</t>
  </si>
  <si>
    <t xml:space="preserve">TUO de la Ley N.° 27444: un procedimiento no puede exceder 30 días hábiles salvo ley especial (la misma regla aparece citada en resoluciones de la MPSR). El plazo propio de este trámite está en el TUPA.</t>
  </si>
  <si>
    <t xml:space="preserve">licencia_edificacion_requisitos</t>
  </si>
  <si>
    <t xml:space="preserve">Para la licencia de edificación necesitas: título de propiedad o documento que acredite posesión, planos de arquitectura firmados por un profesional colegiado, y el pago de la tasa correspondiente.</t>
  </si>
  <si>
    <t xml:space="preserve">Requisitos por modalidad de aprobación (A, B, C, D); documentos técnicos; profesionales que firman.</t>
  </si>
  <si>
    <t xml:space="preserve">Ley N.° 29090: modalidades de aprobación A, B, C y D, con documentos técnicos firmados por profesionales. Requisitos y modalidades exactas: TUPA.</t>
  </si>
  <si>
    <t xml:space="preserve">licencia_edificacion_costo</t>
  </si>
  <si>
    <t xml:space="preserve">El costo de la licencia de edificación varía según el tipo y tamaño de la obra. Puedes consultar el monto exacto en el TUPA de la MPSR.</t>
  </si>
  <si>
    <t xml:space="preserve">Derecho de tramitación por modalidad y por metraje o valor de la obra.</t>
  </si>
  <si>
    <t xml:space="preserve">Derecho de tramitación fijado por la municipalidad según modalidad y metraje. No se asume ningún valor.</t>
  </si>
  <si>
    <t xml:space="preserve">renovacion_licencia</t>
  </si>
  <si>
    <t xml:space="preserve">Para renovar tu licencia de funcionamiento debes presentar tu licencia anterior, DNI vigente y el pago de la tasa de renovación. El trámite se realiza en la Plataforma de Atención.</t>
  </si>
  <si>
    <t xml:space="preserve">Si el TUPA contempla renovación o solo licencias indefinidas y temporales; requisitos, tasa y plazo.</t>
  </si>
  <si>
    <t xml:space="preserve">Nota de prensa (no oficial): https://pachamamaradio.org/san-roman-implementa-licencias-de-funcionamiento-digitales-a-partir-del-20-de-agosto/ ; licencia de 2023 en Studocu (no oficial)</t>
  </si>
  <si>
    <t xml:space="preserve">La nota dice que las licencias digitales tienen validez de un año; una licencia de 2023 dice «vigencia permanente».</t>
  </si>
  <si>
    <t xml:space="preserve">Búsqueda asistida (5/10/2026). Posible corrección importante: si la licencia dura un año, la renovación existe; si es permanente, la respuesta actual puede estar equivocada. Confirmar en el TUPA y con la Subgerencia de Fomento a la Inversión Privada.</t>
  </si>
  <si>
    <t xml:space="preserve">Ley N.° 28976: verificar en el TUPA si las licencias se emiten con vigencia indeterminada o temporal; de eso depende que exista una «renovación».</t>
  </si>
  <si>
    <t xml:space="preserve">consulta_deuda_predial</t>
  </si>
  <si>
    <t xml:space="preserve">Tributos y pagos municipales</t>
  </si>
  <si>
    <t xml:space="preserve">Media</t>
  </si>
  <si>
    <t xml:space="preserve">TUPA o portal</t>
  </si>
  <si>
    <t xml:space="preserve">Puedes consultar tu deuda de impuesto predial presentando tu DNI en la Plataforma de Atención, o a través del número de tu autoavalúo si lo tienes a la mano.</t>
  </si>
  <si>
    <t xml:space="preserve">Canal para consultar la deuda (ventanilla, web o sistema); documentos o datos que piden.</t>
  </si>
  <si>
    <t xml:space="preserve">El impuesto predial lo administra la municipalidad (TUO de la Ley de Tributación Municipal, D.S. N.° 156-2004-EF). La consulta suele hacerse por código de contribuyente o DNI.</t>
  </si>
  <si>
    <t xml:space="preserve">pago_predial_como</t>
  </si>
  <si>
    <t xml:space="preserve">Norma tributaria u ordenanza</t>
  </si>
  <si>
    <t xml:space="preserve">El impuesto predial se puede pagar en caja de la municipalidad o en los bancos autorizados que tengan convenio con la MPSR.</t>
  </si>
  <si>
    <t xml:space="preserve">Canales de pago (caja, bancos con convenio, web); fechas de vencimiento de las cuotas.</t>
  </si>
  <si>
    <t xml:space="preserve">TUO de la Ley de Tributación Municipal: pago al contado hasta el último día hábil de febrero, o en cuotas trimestrales (febrero, mayo, agosto y noviembre). Confirmar canales y si la MPSR fija otra regla.</t>
  </si>
  <si>
    <t xml:space="preserve">pago_arbitrios</t>
  </si>
  <si>
    <t xml:space="preserve">Los arbitrios municipales (limpieza pública, parques y jardines, serenazgo) se pagan junto con el impuesto predial o de forma independiente en caja de la municipalidad.</t>
  </si>
  <si>
    <t xml:space="preserve">Si se cobran junto con el predial; periodicidad; canales de pago; ordenanza de arbitrios vigente.</t>
  </si>
  <si>
    <t xml:space="preserve">Los arbitrios se fijan por ordenanza municipal (limpieza pública, parques y jardines, serenazgo); su periodicidad y forma de pago las define la ordenanza vigente.</t>
  </si>
  <si>
    <t xml:space="preserve">impuesto_alcabala</t>
  </si>
  <si>
    <t xml:space="preserve">El impuesto de alcabala se paga cuando compras un inmueble, y corresponde al 3% del valor de transferencia (con un tramo inicial inafecto equivalente a 10 UIT). Se cancela dentro del mes siguiente a la compra.</t>
  </si>
  <si>
    <t xml:space="preserve">Tasa, monto inafecto (en UIT), plazo de pago y quién paga; documentos que se presentan.</t>
  </si>
  <si>
    <t xml:space="preserve">TUO de la Ley de Tributación Municipal: lo paga el comprador; tasa de 3 % sobre el valor que exceda las primeras 10 UIT; se paga hasta el último día hábil del mes siguiente a la transferencia. Confirmar vigencia.</t>
  </si>
  <si>
    <t xml:space="preserve">fraccionamiento_deuda</t>
  </si>
  <si>
    <t xml:space="preserve">Para fraccionar una deuda tributaria debes presentar una solicitud en mesa de partes, adjuntando tu DNI y el detalle de la deuda. La municipalidad evaluará una cuota inicial y un cronograma de pagos.</t>
  </si>
  <si>
    <t xml:space="preserve">Si existe como procedimiento; requisitos, cuota inicial, plazo máximo e intereses.</t>
  </si>
  <si>
    <t xml:space="preserve">El Código Tributario permite fraccionar según el reglamento de cada municipalidad. Verificar si la MPSR tiene reglamento y procedimiento en su TUPA.</t>
  </si>
  <si>
    <t xml:space="preserve">constancia_no_adeudo</t>
  </si>
  <si>
    <t xml:space="preserve">La constancia de no adeudo se tramita presentando tu DNI en la Plataforma de Atención; se emite una vez verificado que no tienes deudas pendientes por impuesto predial o arbitrios.</t>
  </si>
  <si>
    <t xml:space="preserve">Requisitos, costo, plazo y área que la emite.</t>
  </si>
  <si>
    <t xml:space="preserve">Verificar si figura como procedimiento en el TUPA y qué área certifica (tributos y rentas).</t>
  </si>
  <si>
    <t xml:space="preserve">requisitos_mesa_partes</t>
  </si>
  <si>
    <t xml:space="preserve">Trámites documentarios</t>
  </si>
  <si>
    <t xml:space="preserve">Para presentar un documento en mesa de partes necesitas tu solicitud (puede ser un formato simple), copia de tu DNI, y los anexos que sustenten tu pedido.</t>
  </si>
  <si>
    <t xml:space="preserve">Requisitos para presentar documentos; formato de solicitud; si hay mesa de partes virtual.</t>
  </si>
  <si>
    <t xml:space="preserve">Mesa de partes virtual (aviso posiblemente desactualizado): https://www.mpv.mpsr.pe/</t>
  </si>
  <si>
    <t xml:space="preserve">Según el aviso: documento redactado, firmado, escaneado y enviado en PDF. La mesa de partes virtual no atiende trámites de Registro Civil, Gerencia de Desarrollo Urbano ni Transportes.</t>
  </si>
  <si>
    <t xml:space="preserve">Correo sg_tramite_documentario@munisanroman.gob.pe (según el aviso).</t>
  </si>
  <si>
    <t xml:space="preserve">Búsqueda asistida (5/10/2026). El aviso cita el D.S. 044-2020-PCM (emergencia COVID): confirmar si sigue vigente. Los requisitos formales de mesa de partes están en el TUPA.</t>
  </si>
  <si>
    <t xml:space="preserve">TUO de la Ley N.° 27444 (art. 124): el escrito lleva datos del administrado, hechos, petitorio y firma. Los requisitos operativos de la mesa de partes están en el TUPA.</t>
  </si>
  <si>
    <t xml:space="preserve">estado_tramite</t>
  </si>
  <si>
    <t xml:space="preserve">Portal o directorio institucional</t>
  </si>
  <si>
    <t xml:space="preserve">Puedes consultar el estado de tu trámite presentando tu número de expediente en mesa de partes o en la Plataforma de Atención.</t>
  </si>
  <si>
    <t xml:space="preserve">Cómo se consulta el estado (número de expediente, sistema de seguimiento en línea).</t>
  </si>
  <si>
    <t xml:space="preserve">Portal MPSR-J en gob.pe (enlace «Seguimiento de trámites»): https://www.gob.pe/munisanroman</t>
  </si>
  <si>
    <t xml:space="preserve">Seguimiento de trámites en línea en gob.pe/munisanroman; mesa de partes.</t>
  </si>
  <si>
    <t xml:space="preserve">Corregir</t>
  </si>
  <si>
    <t xml:space="preserve">Puedes consultar el estado de tu trámite con tu número de expediente en la opción «Seguimiento de trámites» del portal de la MPSR en gob.pe (gob.pe/munisanroman) o en mesa de partes.</t>
  </si>
  <si>
    <t xml:space="preserve">Búsqueda asistida (5/10/2026). «Plataforma de Atención» no aparece en las fuentes oficiales vistas: confirmar si la MPSR usa ese nombre.</t>
  </si>
  <si>
    <t xml:space="preserve">horario_mesa_partes</t>
  </si>
  <si>
    <t xml:space="preserve">Mesa de partes atiende de lunes a viernes en el horario de oficina de la municipalidad.</t>
  </si>
  <si>
    <t xml:space="preserve">Horario vigente exacto de atención de mesa de partes.</t>
  </si>
  <si>
    <t xml:space="preserve">Sedes de la MPSR-J en gob.pe: https://www.gob.pe/institucion/munisanroman/sedes</t>
  </si>
  <si>
    <t xml:space="preserve">Horario de mesa de partes: lunes a viernes, 8:00 a. m. a 4:00 p. m. (Sedes en gob.pe). El aviso de mpv.mpsr.pe indica 9:00 a. m.–5:00 p. m. y parece desactualizado (cita el D.S. 044-2020-PCM).</t>
  </si>
  <si>
    <t xml:space="preserve">La mesa de partes atiende de lunes a viernes, de 8:00 a. m. a 4:00 p. m.</t>
  </si>
  <si>
    <t xml:space="preserve">Búsqueda asistida (5/10/2026). Confirmar aparte el horario de la mesa de partes virtual.</t>
  </si>
  <si>
    <t xml:space="preserve">copia_documento</t>
  </si>
  <si>
    <t xml:space="preserve">Para obtener una copia certificada de un documento presentado anteriormente, debes solicitarlo en mesa de partes indicando el número de expediente, y abonar la tasa correspondiente.</t>
  </si>
  <si>
    <t xml:space="preserve">Procedimiento de copia certificada o fedateada; requisitos, costo por folio y plazo.</t>
  </si>
  <si>
    <t xml:space="preserve">TUO de la Ley N.° 27444: el administrado puede obtener copias de lo actuado en su expediente pagando el costo de reproducción que fije el TUPA.</t>
  </si>
  <si>
    <t xml:space="preserve">certificado_posesion</t>
  </si>
  <si>
    <t xml:space="preserve">El certificado de posesión se tramita presentando una declaración jurada, croquis del predio y documentos que acrediten la posesión pacífica del terreno.</t>
  </si>
  <si>
    <t xml:space="preserve">Requisitos, costo, plazo y área responsable.</t>
  </si>
  <si>
    <t xml:space="preserve">Verificar el nombre exacto del procedimiento en el TUPA. En otras municipalidades suele pedir declaración jurada, croquis o plano y verificación en campo.</t>
  </si>
  <si>
    <t xml:space="preserve">constancia_domiciliaria</t>
  </si>
  <si>
    <t xml:space="preserve">La constancia domiciliaria se tramita presentando tu DNI y un recibo de servicio (luz o agua) a tu nombre o de un familiar directo que viva contigo.</t>
  </si>
  <si>
    <t xml:space="preserve">Requisitos, costo y plazo; si la emite la MPSR u otra entidad.</t>
  </si>
  <si>
    <t xml:space="preserve">Verificar si la MPSR ofrece una «constancia de domicilio» o si la emite otra entidad (policía o juez de paz).</t>
  </si>
  <si>
    <t xml:space="preserve">certificado_defensa_civil</t>
  </si>
  <si>
    <t xml:space="preserve">Defensa civil y seguridad ciudadana</t>
  </si>
  <si>
    <t xml:space="preserve">El certificado de Defensa Civil (ITSE) se tramita presentando el plano de distribución del local, el certificado de medidas de seguridad y el pago de la tasa correspondiente.</t>
  </si>
  <si>
    <t xml:space="preserve">Tipos de inspección (básica o detallada), requisitos, costo y plazo.</t>
  </si>
  <si>
    <t xml:space="preserve">Resolución Gerencial N.° 013-2024-MPSR-J/GEMU (caso concreto): https://cdn.www.gob.pe/uploads/document/file/5763090/5119677-resolucion-gerencial-n-013-2024-mpsr-j-gemu.PDF</t>
  </si>
  <si>
    <t xml:space="preserve">La ITSE previa a la licencia tiene vigencia de 2 años desde su expedición (resolución citada).</t>
  </si>
  <si>
    <t xml:space="preserve">Subgerencia de Gestión del Riesgo de Desastres.</t>
  </si>
  <si>
    <t xml:space="preserve">Búsqueda asistida (5/10/2026). Es un caso concreto: confirmar la regla general, los requisitos y el costo en el TUPA.</t>
  </si>
  <si>
    <t xml:space="preserve">D.S. N.° 002-2018-PCM (Reglamento de Inspecciones Técnicas de Seguridad en Edificaciones): ITSE básica, de detalle y multidisciplinaria según el riesgo; el certificado tiene vigencia de 2 años.</t>
  </si>
  <si>
    <t xml:space="preserve">inspeccion_tecnica</t>
  </si>
  <si>
    <t xml:space="preserve">Para solicitar una inspección técnica de seguridad (ITSE) debes presentar tu solicitud en mesa de partes; un inspector de Defensa Civil coordinará una visita al local.</t>
  </si>
  <si>
    <t xml:space="preserve">Cómo se solicita la ITSE, quién inspecciona, costo y plazos.</t>
  </si>
  <si>
    <t xml:space="preserve">La ITSE previa a la licencia tiene vigencia de 2 años desde su expedición (resolución citada, local de riesgo muy alto).</t>
  </si>
  <si>
    <t xml:space="preserve">Inspección acreditada por un inspector de INDECI y la Subgerencia de Gestión del Riesgo de Desastres.</t>
  </si>
  <si>
    <t xml:space="preserve">D.S. N.° 002-2018-PCM: tipos de ITSE según el nivel de riesgo; certificado con vigencia de 2 años. Requisitos y costos: TUPA.</t>
  </si>
  <si>
    <t xml:space="preserve">requisitos_defensa_civil</t>
  </si>
  <si>
    <t xml:space="preserve">Los requisitos de Defensa Civil incluyen: plano de distribución, certificado de medición eléctrica, extintores vigentes y señalización de seguridad, entre otros, según el tipo de establecimiento.</t>
  </si>
  <si>
    <t xml:space="preserve">Lista de requisitos según el nivel de riesgo.</t>
  </si>
  <si>
    <t xml:space="preserve">Los requisitos dependen del nivel de riesgo (bajo, medio, alto, muy alto) y del tipo de ITSE (D.S. N.° 002-2018-PCM y TUPA).</t>
  </si>
  <si>
    <t xml:space="preserve">denuncia_seguridad_ciudadana</t>
  </si>
  <si>
    <t xml:space="preserve">No</t>
  </si>
  <si>
    <t xml:space="preserve">Para reportar un problema de seguridad ciudadana puedes comunicarte con serenazgo o acudir a la comisaría más cercana si se trata de una emergencia.</t>
  </si>
  <si>
    <t xml:space="preserve">Canal de denuncia (serenazgo, teléfono, aplicación) y número vigente.</t>
  </si>
  <si>
    <t xml:space="preserve">Página «Contactos» del portal: https://munisanroman.gob.pe/web/contactos/</t>
  </si>
  <si>
    <t xml:space="preserve">Serenazgo: (051) 329001, (051) 329002 y (051) 329003.</t>
  </si>
  <si>
    <t xml:space="preserve">Para reportar un problema de seguridad ciudadana puedes comunicarte con serenazgo de la MPSR al (051) 329001, (051) 329002 o (051) 329003, o acudir a la comisaría más cercana si se trata de una emergencia.</t>
  </si>
  <si>
    <t xml:space="preserve">Búsqueda asistida (5/10/2026). Esta respuesta no tenía marca [Verificar] en el repositorio. Confirmar que los números siguen activos.</t>
  </si>
  <si>
    <t xml:space="preserve">serenazgo_contacto</t>
  </si>
  <si>
    <t xml:space="preserve">Puedes comunicarte con serenazgo de la MPSR a través de su línea de atención.</t>
  </si>
  <si>
    <t xml:space="preserve">Número telefónico vigente de serenazgo y horario.</t>
  </si>
  <si>
    <t xml:space="preserve">Puedes comunicarte con serenazgo de la MPSR a los teléfonos (051) 329001, (051) 329002 o (051) 329003.</t>
  </si>
  <si>
    <t xml:space="preserve">Búsqueda asistida (5/10/2026). La página no muestra fecha: confirmar con una llamada de prueba que los números siguen activos.</t>
  </si>
  <si>
    <t xml:space="preserve">partida_nacimiento</t>
  </si>
  <si>
    <t xml:space="preserve">Registro civil</t>
  </si>
  <si>
    <t xml:space="preserve">Puedes solicitar una copia de tu partida de nacimiento en la oficina de Registro Civil, presentando tu DNI y abonando la tasa correspondiente.</t>
  </si>
  <si>
    <t xml:space="preserve">Requisitos, costo de la copia certificada y plazo; si se emite en la MPSR.</t>
  </si>
  <si>
    <t xml:space="preserve">gob.pe — «Solicitar partida de nacimiento en San Román - Juliaca»: https://www.gob.pe/17146-solicitar-partida-de-nacimiento-en-san-roman-juliaca ; variante con S/ 6.84: https://www.gob.pe/51225-solicitar-una-partida-de-nacimiento-en-la-municipalidad?child=80860</t>
  </si>
  <si>
    <t xml:space="preserve">Fecha de nacimiento; DNI del padre o madre que hace el trámite (opcional).</t>
  </si>
  <si>
    <t xml:space="preserve">S/ 6.66 (página 17146, la más antigua) o S/ 6.84 por copia certificada (página 51225): los montos difieren.</t>
  </si>
  <si>
    <t xml:space="preserve">Entrega inmediata.</t>
  </si>
  <si>
    <t xml:space="preserve">Caja de la municipalidad y Subgerencia de Registro Civil, Jr. Jáuregui 321; lunes a viernes, 8:30 a. m. a 1:00 p. m.</t>
  </si>
  <si>
    <t xml:space="preserve">Búsqueda asistida (5/10/2026). Falta confirmar el monto en el TUPA 2025 (Anexo 01). Texto propuesto, sin monto: «Puedes solicitar la copia de tu partida de nacimiento en la Subgerencia de Registro Civil (Jr. Jáuregui 321), de lunes a viernes de 8:30 a. m. a 1:00 p. m. Indica la fecha de nacimiento y paga la tasa en caja; la entrega es inmediata.»</t>
  </si>
  <si>
    <t xml:space="preserve">La primera inscripción de nacimiento es gratuita (según una página genérica de gob.pe); las copias certificadas tienen un derecho de trámite que fija el TUPA.</t>
  </si>
  <si>
    <t xml:space="preserve">partida_matrimonio</t>
  </si>
  <si>
    <t xml:space="preserve">La partida de matrimonio se solicita en la oficina de Registro Civil, indicando los datos del matrimonio (fecha, nombres de los contrayentes) y presentando tu DNI.</t>
  </si>
  <si>
    <t xml:space="preserve">Requisitos, costo de la copia certificada y plazo.</t>
  </si>
  <si>
    <t xml:space="preserve">gob.pe lista el servicio «Solicitar copia de partida de matrimonio ante la Municipalidad Provincial de Juliaca» (https://www.gob.pe/institucion/munisanroman/tramites-y-servicios), pero no pude leer su contenido.</t>
  </si>
  <si>
    <t xml:space="preserve">Búsqueda asistida (5/10/2026). El monto de S/ 10.00 que apareció en una página genérica de gob.pe NO se pudo atribuir a la MPSR: no usarlo. Revisar el servicio de la MPSR y el TUPA.</t>
  </si>
  <si>
    <t xml:space="preserve">partida_defuncion</t>
  </si>
  <si>
    <t xml:space="preserve">Para inscribir o solicitar una partida de defunción debes presentar el certificado médico de defunción y el DNI del fallecido, en la oficina de Registro Civil.</t>
  </si>
  <si>
    <t xml:space="preserve">Diferencia entre inscribir y pedir copia; requisitos, costo y plazo.</t>
  </si>
  <si>
    <t xml:space="preserve">gob.pe — «Registrar una defunción en la municipalidad», variante con la Subgerencia de Registro Civil en Jr. Jáuregui 321: https://www.gob.pe/21525-obtener-acta-de-defuncion?child=17256</t>
  </si>
  <si>
    <t xml:space="preserve">Certificado de defunción emitido por un médico; DNI del fallecido y del declarante (si no hay DNI del fallecido, declaración jurada). Si la muerte fue violenta: parte policial.</t>
  </si>
  <si>
    <t xml:space="preserve">Gratuito (primera inscripción).</t>
  </si>
  <si>
    <t xml:space="preserve">Subgerencia de Registro Civil, Jr. Jáuregui 321; lunes a viernes, 8:30 a. m. a 1:00 p. m.; presencial.</t>
  </si>
  <si>
    <t xml:space="preserve">Para inscribir una defunción debes acudir a la Subgerencia de Registro Civil (Jr. Jáuregui 321), de lunes a viernes de 8:30 a. m. a 1:00 p. m., con el certificado de defunción emitido por un médico, tu DNI y el DNI del fallecido. Si la muerte fue violenta, lleva también el parte policial. La primera inscripción es gratuita.</t>
  </si>
  <si>
    <t xml:space="preserve">Búsqueda asistida (5/10/2026). La página es genérica de gob.pe pero trae la dirección y el horario de la MPSR; confirmar en el TUPA. No apareció el costo de una copia de partida de defunción ya inscrita.</t>
  </si>
  <si>
    <t xml:space="preserve">rectificacion_partida</t>
  </si>
  <si>
    <t xml:space="preserve">Para rectificar un dato en una partida debes presentar una solicitud en Registro Civil junto con los documentos que sustenten la corrección (DNI, partida original, entre otros).</t>
  </si>
  <si>
    <t xml:space="preserve">Si es administrativa o judicial; requisitos, costo y plazo.</t>
  </si>
  <si>
    <t xml:space="preserve">La rectificación puede ser administrativa o judicial según el error. Verificar qué rectificaciones admite la oficina de Registro Civil de la MPSR.</t>
  </si>
  <si>
    <t xml:space="preserve">requisitos_matrimonio_civil</t>
  </si>
  <si>
    <t xml:space="preserve">Para matrimonio civil se requiere: DNI de ambos contrayentes, certificados de nacimiento actualizados, y en algunos casos certificado médico prenupcial.</t>
  </si>
  <si>
    <t xml:space="preserve">Requisitos, publicación de edictos, costo, plazo y fechas de celebración.</t>
  </si>
  <si>
    <t xml:space="preserve">Código Civil: dos testigos mayores de edad y publicación de edictos. Los requisitos operativos (certificados, costo, fechas de celebración) están en el TUPA y en Registro Civil.</t>
  </si>
  <si>
    <t xml:space="preserve">horario_recojo_basura</t>
  </si>
  <si>
    <t xml:space="preserve">Servicios públicos</t>
  </si>
  <si>
    <t xml:space="preserve">El horario de recojo de basura varía según el sector de la ciudad. Puedes consultar el cronograma vigente en la municipalidad o en sus redes sociales.</t>
  </si>
  <si>
    <t xml:space="preserve">Cronograma por sector o ruta; canal oficial donde se publica.</t>
  </si>
  <si>
    <t xml:space="preserve">El servicio de limpieza pública se financia con arbitrios; el cronograma por sector suele publicarlo la gerencia de servicios públicos o la oficina de limpieza.</t>
  </si>
  <si>
    <t xml:space="preserve">reporte_alumbrado_publico</t>
  </si>
  <si>
    <t xml:space="preserve">Para reportar una falla de alumbrado público puedes comunicarte con el área de Servicios Públicos de la MPSR, indicando la ubicación exacta del poste o farola.</t>
  </si>
  <si>
    <t xml:space="preserve">Canal de reporte (teléfono, WhatsApp o mesa de partes) y área responsable.</t>
  </si>
  <si>
    <t xml:space="preserve">Verificar el área responsable (servicios públicos) y el canal (teléfono, mesa de partes o WhatsApp) en el portal.</t>
  </si>
  <si>
    <t xml:space="preserve">mantenimiento_parques</t>
  </si>
  <si>
    <t xml:space="preserve">Puedes solicitar el mantenimiento de un parque presentando tu pedido en mesa de partes o comunicándote con el área de Servicios Públicos, indicando la ubicación del parque.</t>
  </si>
  <si>
    <t xml:space="preserve">Procedimiento para pedirlo (si figura como servicio); área responsable.</t>
  </si>
  <si>
    <t xml:space="preserve">Verificar si figura como servicio en el TUPA o solo como solicitud por mesa de partes, y qué subgerencia lo atiende.</t>
  </si>
  <si>
    <t xml:space="preserve">poda_arboles</t>
  </si>
  <si>
    <t xml:space="preserve">La poda de árboles públicos se solicita ante el área de Servicios Públicos de la MPSR, indicando la ubicación exacta del árbol.</t>
  </si>
  <si>
    <t xml:space="preserve">Procedimiento, requisitos y costo si aplica; área responsable.</t>
  </si>
  <si>
    <t xml:space="preserve">La poda en espacios públicos suele pedirse ante la subgerencia de parques y jardines o de medio ambiente; verificar si está en el TUPA.</t>
  </si>
  <si>
    <t xml:space="preserve">limpieza_via_publica</t>
  </si>
  <si>
    <t xml:space="preserve">Para solicitar limpieza de una vía pública puedes comunicarte con el área de limpieza pública de la MPSR, indicando la calle y cuadra exacta.</t>
  </si>
  <si>
    <t xml:space="preserve">Canal y área responsable de limpieza pública.</t>
  </si>
  <si>
    <t xml:space="preserve">Verificar el área responsable de limpieza pública y el canal de pedido.</t>
  </si>
  <si>
    <t xml:space="preserve">presentar_reclamo</t>
  </si>
  <si>
    <t xml:space="preserve">Reclamos y quejas</t>
  </si>
  <si>
    <t xml:space="preserve">Puedes presentar un reclamo en mesa de partes, mediante un escrito simple indicando los hechos y adjuntando tu DNI, o a través del libro de reclamaciones si corresponde.</t>
  </si>
  <si>
    <t xml:space="preserve">Procedimiento, formato, plazo de respuesta y canal virtual si existe.</t>
  </si>
  <si>
    <t xml:space="preserve">D.S. N.° 007-2020-PCM: las entidades públicas deben contar con libro de reclamaciones virtual (citado en la Resolución de Gerencia N.° 008-2023-MPSR-J/GSG). Plazo de respuesta: TUPA.</t>
  </si>
  <si>
    <t xml:space="preserve">estado_reclamo</t>
  </si>
  <si>
    <t xml:space="preserve">El estado de tu reclamo puede consultarse en mesa de partes indicando tu número de expediente.</t>
  </si>
  <si>
    <t xml:space="preserve">Cómo consultar el estado de un reclamo.</t>
  </si>
  <si>
    <t xml:space="preserve">libro_reclamaciones</t>
  </si>
  <si>
    <t xml:space="preserve">El libro de reclamaciones está disponible en la Plataforma de Atención; también puede existir una versión virtual.</t>
  </si>
  <si>
    <t xml:space="preserve">Si existe libro de reclamaciones virtual, su enlace, y dónde está el físico.</t>
  </si>
  <si>
    <t xml:space="preserve">Portal MPSR-J en gob.pe (enlace «Libro de reclamaciones»): https://www.gob.pe/munisanroman ; portal https://munisanroman.gob.pe/web/ ; Resolución de Gerencia N.° 008-2023-MPSR-J/GSG, que menciona el Libro de Reclamaciones Digital: https://cdn.www.gob.pe/uploads/document/file/6752782/5855545-resolucion-de-gerencia-n-008-2023-mpsr-j-gsg.PDF</t>
  </si>
  <si>
    <t xml:space="preserve">Libro de reclamaciones digital, accesible desde el portal.</t>
  </si>
  <si>
    <t xml:space="preserve">La Municipalidad Provincial de San Román cuenta con un Libro de Reclamaciones virtual, al que puedes entrar desde su portal institucional o desde su página en gob.pe (gob.pe/munisanroman).</t>
  </si>
  <si>
    <t xml:space="preserve">Búsqueda asistida (5/10/2026). No encontré si además existe libro físico ni en qué oficina. Se quitó la mención a la «Plataforma de Atención» porque no aparece en ninguna fuente vista.</t>
  </si>
  <si>
    <t xml:space="preserve">queja_atencion</t>
  </si>
  <si>
    <t xml:space="preserve">Si tuviste un problema con la atención recibida, puedes presentar tu queja en mesa de partes o directamente en el libro de reclamaciones, detallando lo ocurrido.</t>
  </si>
  <si>
    <t xml:space="preserve">Procedimiento de queja y plazo de respuesta.</t>
  </si>
  <si>
    <t xml:space="preserve">TUO de la Ley N.° 27444 (art. 169): queja por defectos de tramitación (citado en la Resolución Gerencial N.° 513-2024-MPSR-J/GEMU).</t>
  </si>
  <si>
    <t xml:space="preserve">sugerencia</t>
  </si>
  <si>
    <t xml:space="preserve">Puedes dejar tu sugerencia en mesa de partes mediante un documento simple, o a través de los canales de atención ciudadana de la MPSR.</t>
  </si>
  <si>
    <t xml:space="preserve">Canales para dejar sugerencias.</t>
  </si>
  <si>
    <t xml:space="preserve">horario_atencion_general</t>
  </si>
  <si>
    <t xml:space="preserve">Información general</t>
  </si>
  <si>
    <t xml:space="preserve">La Municipalidad Provincial de San Román atiende de lunes a viernes en horario de oficina.</t>
  </si>
  <si>
    <t xml:space="preserve">Horario vigente exacto de la municipalidad.</t>
  </si>
  <si>
    <t xml:space="preserve">Sedes de la MPSR-J en gob.pe: https://www.gob.pe/institucion/munisanroman/sedes y Página «Contactos» del portal: https://munisanroman.gob.pe/web/contactos/</t>
  </si>
  <si>
    <t xml:space="preserve">Sede Central: lunes a viernes, 8:00 a. m. a 4:00 p. m. (Sedes en gob.pe). La página «Contactos» indica 8:00 a. m.–1:00 p. m. y 2:00–4:00 p. m.</t>
  </si>
  <si>
    <t xml:space="preserve">La Municipalidad Provincial de San Román atiende de lunes a viernes, de 8:00 a. m. a 4:00 p. m. Algunas oficinas, como Registro Civil, tienen un horario distinto (8:30 a. m. a 1:00 p. m.).</t>
  </si>
  <si>
    <t xml:space="preserve">Búsqueda asistida (5/10/2026). Las dos fuentes oficiales difieren en si hay pausa de 1:00 a 2:00 p. m.: confirmar por teléfono. El horario de Registro Civil sale de las páginas de trámites en gob.pe.</t>
  </si>
  <si>
    <t xml:space="preserve">ubicacion_oficinas</t>
  </si>
  <si>
    <t xml:space="preserve">La Municipalidad Provincial de San Román se encuentra en la Plaza de Armas de Juliaca.</t>
  </si>
  <si>
    <t xml:space="preserve">Dirección exacta de la sede y de los anexos.</t>
  </si>
  <si>
    <t xml:space="preserve">Sede Central: Jr. Jáuregui 321, Plaza de Armas S/N, Juliaca.</t>
  </si>
  <si>
    <t xml:space="preserve">La Municipalidad Provincial de San Román está en el Jr. Jáuregui N.° 321, en la Plaza de Armas de Juliaca.</t>
  </si>
  <si>
    <t xml:space="preserve">Búsqueda asistida (5/10/2026). Un aviso antiguo de mesa de partes virtual menciona Jr. Jáuregui 293: se usó 321 (Sedes y Contactos). Si hay anexos o agencias, falta listarlos.</t>
  </si>
  <si>
    <t xml:space="preserve">requisitos_generales</t>
  </si>
  <si>
    <t xml:space="preserve">Para la mayoría de trámites municipales necesitarás presentar tu DNI vigente; algunos trámites piden además documentos adicionales según el caso.</t>
  </si>
  <si>
    <t xml:space="preserve">Si basta el DNI y cuándo se pide representación (carta poder u otros documentos).</t>
  </si>
  <si>
    <t xml:space="preserve">El DNI identifica al administrado; si actúa un representante, se pide poder o carta poder según el trámite (TUO de la Ley N.° 27444 y TUPA).</t>
  </si>
  <si>
    <t xml:space="preserve">costos_generales</t>
  </si>
  <si>
    <t xml:space="preserve">Los costos de los trámites municipales están establecidos en el TUPA (Texto Único de Procedimientos Administrativos), disponible en la municipalidad.</t>
  </si>
  <si>
    <t xml:space="preserve">Cómo se expresan los derechos en el TUPA (soles o % de la UIT) y dónde se consultan.</t>
  </si>
  <si>
    <t xml:space="preserve">Solo pueden cobrarse los derechos que figuran en el TUPA vigente (TUO de la Ley N.° 27444); los montos se expresan en soles o como porcentaje de la UIT.</t>
  </si>
  <si>
    <t xml:space="preserve">contacto_telefonico</t>
  </si>
  <si>
    <t xml:space="preserve">Puedes comunicarte con la Municipalidad Provincial de San Román a través de su central telefónica.</t>
  </si>
  <si>
    <t xml:space="preserve">Central telefónica vigente, correo y WhatsApp si existen.</t>
  </si>
  <si>
    <t xml:space="preserve">Central telefónica (051) 321201. Sede Central: Jr. Jáuregui 321, Plaza de Armas.</t>
  </si>
  <si>
    <t xml:space="preserve">Puedes comunicarte con la Municipalidad Provincial de San Román a través de su central telefónica: (051) 321201.</t>
  </si>
  <si>
    <t xml:space="preserve">Búsqueda asistida (5/10/2026). Dos fuentes oficiales coinciden en el número. Un aviso antiguo de mesa de partes virtual (mpv.mpsr.pe) menciona otro número (951 688201): confirmar llamando.</t>
  </si>
  <si>
    <t xml:space="preserve">redes_sociales_mpsr</t>
  </si>
  <si>
    <t xml:space="preserve">La Municipalidad Provincial de San Román publica información e trámites en su página web institucional y en sus redes sociales oficiales.</t>
  </si>
  <si>
    <t xml:space="preserve">Nombre y enlace de la página web y de las redes oficiales.</t>
  </si>
  <si>
    <t xml:space="preserve">Portal institucional https://munisanroman.gob.pe/web/ ; página en gob.pe https://www.gob.pe/munisanroman ; Facebook «Municipalidad Provincial de San Román - Juliaca»</t>
  </si>
  <si>
    <t xml:space="preserve">Portal, gob.pe y Facebook.</t>
  </si>
  <si>
    <t xml:space="preserve">La Municipalidad Provincial de San Román publica información sobre trámites en su portal institucional (munisanroman.gob.pe), en su página de gob.pe (gob.pe/munisanroman) y en su página de Facebook «Municipalidad Provincial de San Román - Juliaca».</t>
  </si>
  <si>
    <t xml:space="preserve">Búsqueda asistida (5/10/2026). Se corrigió también la redacción original («información e trámites»). Confirmar que son las cuentas oficiales vigentes. Un resultado menciona «muni_san_roman» (posible Instagram), sin confirmar.</t>
  </si>
  <si>
    <t xml:space="preserve">Resumen de la verificación</t>
  </si>
  <si>
    <t xml:space="preserve">Todo son fórmulas sobre la pestaña Verificacion.</t>
  </si>
  <si>
    <t xml:space="preserve">Avance</t>
  </si>
  <si>
    <t xml:space="preserve">Respuestas a verificar</t>
  </si>
  <si>
    <t xml:space="preserve">Coincide</t>
  </si>
  <si>
    <t xml:space="preserve">No figura en la fuente</t>
  </si>
  <si>
    <t xml:space="preserve">Con resultado (propuesto o confirmado)</t>
  </si>
  <si>
    <t xml:space="preserve">Incluye las propuestas de búsqueda asistida: no son verificaciones hasta que las confirmes.</t>
  </si>
  <si>
    <t xml:space="preserve">Avance con resultado</t>
  </si>
  <si>
    <t xml:space="preserve">Confirmadas por el tesista</t>
  </si>
  <si>
    <t xml:space="preserve">Solo estas cuentan como verificadas y solo estas se aplican a domain.yml.</t>
  </si>
  <si>
    <t xml:space="preserve">Pendientes por prioridad</t>
  </si>
  <si>
    <t xml:space="preserve">Prioridad Alta pendientes</t>
  </si>
  <si>
    <t xml:space="preserve">Costos, plazos, requisitos y tasas: lo que más daño hace si está mal.</t>
  </si>
  <si>
    <t xml:space="preserve">Prioridad Media pendientes</t>
  </si>
  <si>
    <t xml:space="preserve">Canales, horarios, teléfonos y cronogramas.</t>
  </si>
  <si>
    <t xml:space="preserve">Calidad del llenado</t>
  </si>
  <si>
    <t xml:space="preserve">Filas con alerta</t>
  </si>
  <si>
    <t xml:space="preserve">Debe ser 0 antes de entregar el archivo.</t>
  </si>
  <si>
    <t xml:space="preserve">Marcadas [Verificar] en el repositorio</t>
  </si>
  <si>
    <t xml:space="preserve">Según el reporte de Claude Code: 40 de 44.</t>
  </si>
  <si>
    <t xml:space="preserve">Corregir o Coincide sin confirmar por el tesista</t>
  </si>
  <si>
    <t xml:space="preserve">Claude Code solo aplica las filas con «Confirmado por el tesista = Sí». Las filas llenadas por búsqueda asistida llegan sin confirmar.</t>
  </si>
  <si>
    <t xml:space="preserve">Estado general</t>
  </si>
  <si>
    <t xml:space="preserve">Por categoría (pendientes / total)</t>
  </si>
  <si>
    <t xml:space="preserve">Fuentes oficiales para verificar</t>
  </si>
  <si>
    <t xml:space="preserve">Encontradas en una búsqueda en octubre de 2026. No pude abrir las páginas desde aquí (la plataforma bloqueó la consulta), así que confirma que abren y que son las versiones vigentes antes de citarlas.</t>
  </si>
  <si>
    <t xml:space="preserve">Fuente</t>
  </si>
  <si>
    <t xml:space="preserve">Enlace</t>
  </si>
  <si>
    <t xml:space="preserve">Qué contiene o para qué sirve</t>
  </si>
  <si>
    <t xml:space="preserve">Nota</t>
  </si>
  <si>
    <t xml:space="preserve">TUPA vigente de la MPSR-J (Ordenanza Municipal N.° 022-2025-CMPSR-J, 29/09/2025)</t>
  </si>
  <si>
    <t xml:space="preserve">https://www.gob.pe/institucion/munisanroman/informes-publicaciones/7272473</t>
  </si>
  <si>
    <t xml:space="preserve">Texto del TUPA (partes 01 a 05), «Anexo 01: resumen de los derechos de tramitación» y los reportes del SUT (25/08/2025 y 03/12/2025).</t>
  </si>
  <si>
    <t xml:space="preserve">Fuente principal. Usa el reporte SUT más reciente.</t>
  </si>
  <si>
    <t xml:space="preserve">Decreto de Alcaldía N.° 011-2025-MPSR-J/A (03/12/2025)</t>
  </si>
  <si>
    <t xml:space="preserve">https://www.gob.pe/institucion/munisanroman/normas-legales/7495467-011-2025-mpsr-j-a</t>
  </si>
  <si>
    <t xml:space="preserve">Modifica el TUPA reduciendo derechos de tramitación en 7 procedimientos.</t>
  </si>
  <si>
    <t xml:space="preserve">Por lo que se alcanza a leer, es en materia de transporte; confirma si alguno de los 7 es de los tuyos.</t>
  </si>
  <si>
    <t xml:space="preserve">Decreto de Alcaldía N.° 011-2025 (PDF)</t>
  </si>
  <si>
    <t xml:space="preserve">https://cdn.www.gob.pe/uploads/document/file/9134774/7495467-decreto-de-alcaldia-n-011-2025-mpsr-j-a.PDF</t>
  </si>
  <si>
    <t xml:space="preserve">Texto completo del decreto y su anexo.</t>
  </si>
  <si>
    <t xml:space="preserve">Normas y documentos legales de la MPSR-J</t>
  </si>
  <si>
    <t xml:space="preserve">https://www.gob.pe/institucion/munisanroman/normas-legales</t>
  </si>
  <si>
    <t xml:space="preserve">Para buscar modificaciones del TUPA posteriores a diciembre de 2025 y las ordenanzas tributarias (arbitrios, predial).</t>
  </si>
  <si>
    <t xml:space="preserve">Revisa si hay decretos u ordenanzas de 2026.</t>
  </si>
  <si>
    <t xml:space="preserve">Portal de la MPSR-J en gob.pe</t>
  </si>
  <si>
    <t xml:space="preserve">https://www.gob.pe/munisanroman</t>
  </si>
  <si>
    <t xml:space="preserve">Mesa de partes, seguimiento de trámites, libro de reclamaciones y enlaces del TUPA.</t>
  </si>
  <si>
    <t xml:space="preserve">Sirve para canales, horarios y direcciones.</t>
  </si>
  <si>
    <t xml:space="preserve">TUPA 2023 con procedimientos estandarizados (histórico)</t>
  </si>
  <si>
    <t xml:space="preserve">https://www.gob.pe/institucion/munisanroman/informes-publicaciones/4275606-texto-unico-de-procedimientos-administrativos-tupa-2023-con-procedimientos-estandarizados</t>
  </si>
  <si>
    <t xml:space="preserve">Versión anterior del TUPA (Ordenanza Municipal N.° 009-2023-CMPSRJ).</t>
  </si>
  <si>
    <t xml:space="preserve">NO usar como vigente; solo para comparar.</t>
  </si>
  <si>
    <t xml:space="preserve">Sedes de la MPSR-J en gob.pe</t>
  </si>
  <si>
    <t xml:space="preserve">https://www.gob.pe/institucion/munisanroman/sedes</t>
  </si>
  <si>
    <t xml:space="preserve">Dirección, central telefónica y horarios de atención y de mesa de partes (8:00 a. m.–4:00 p. m.).</t>
  </si>
  <si>
    <t xml:space="preserve">Oficial.</t>
  </si>
  <si>
    <t xml:space="preserve">Contactos del portal institucional</t>
  </si>
  <si>
    <t xml:space="preserve">https://munisanroman.gob.pe/web/contactos/</t>
  </si>
  <si>
    <t xml:space="preserve">Central (051) 321201, serenazgo (051) 329001/329002/329003 y horario con pausa de 1:00 a 2:00 p. m.</t>
  </si>
  <si>
    <t xml:space="preserve">Oficial; sin fecha.</t>
  </si>
  <si>
    <t xml:space="preserve">gob.pe — Solicitar partida de nacimiento en San Román - Juliaca</t>
  </si>
  <si>
    <t xml:space="preserve">https://www.gob.pe/17146-solicitar-partida-de-nacimiento-en-san-roman-juliaca</t>
  </si>
  <si>
    <t xml:space="preserve">Requisitos, pago de S/ 6.66, entrega inmediata y horario 8:30–1:00.</t>
  </si>
  <si>
    <t xml:space="preserve">Página con varios años de antigüedad.</t>
  </si>
  <si>
    <t xml:space="preserve">gob.pe — Solicitar una partida de nacimiento (variante)</t>
  </si>
  <si>
    <t xml:space="preserve">https://www.gob.pe/51225-solicitar-una-partida-de-nacimiento-en-la-municipalidad?child=80860</t>
  </si>
  <si>
    <t xml:space="preserve">Misma oficina y horario, pero con S/ 6.84 por copia certificada.</t>
  </si>
  <si>
    <t xml:space="preserve">Los dos montos difieren.</t>
  </si>
  <si>
    <t xml:space="preserve">gob.pe — Registrar una defunción en la municipalidad</t>
  </si>
  <si>
    <t xml:space="preserve">https://www.gob.pe/21525-obtener-acta-de-defuncion?child=17256</t>
  </si>
  <si>
    <t xml:space="preserve">Requisitos, gratuidad de la primera inscripción, dirección y horario de Registro Civil.</t>
  </si>
  <si>
    <t xml:space="preserve">Página genérica con datos de la MPSR.</t>
  </si>
  <si>
    <t xml:space="preserve">Nota de prensa sobre licencias de funcionamiento digitales</t>
  </si>
  <si>
    <t xml:space="preserve">https://pachamamaradio.org/san-roman-implementa-licencias-de-funcionamiento-digitales-a-partir-del-20-de-agosto/</t>
  </si>
  <si>
    <t xml:space="preserve">Licencias digitales con QR y firma electrónica desde el 20 de agosto (2025); costos y requisitos sin cambios.</t>
  </si>
  <si>
    <t xml:space="preserve">NO oficial.</t>
  </si>
  <si>
    <t xml:space="preserve">Resolución Gerencial N.° 013-2024-MPSR-J/GEMU</t>
  </si>
  <si>
    <t xml:space="preserve">https://cdn.www.gob.pe/uploads/document/file/5763090/5119677-resolucion-gerencial-n-013-2024-mpsr-j-gemu.PDF</t>
  </si>
  <si>
    <t xml:space="preserve">Caso concreto de ITSE previa a la licencia: vigencia de 2 años; inspección con INDECI y la Subgerencia de Gestión del Riesgo de Desastres.</t>
  </si>
  <si>
    <t xml:space="preserve">Oficial; caso particular.</t>
  </si>
  <si>
    <t xml:space="preserve">Mesa de partes virtual</t>
  </si>
  <si>
    <t xml:space="preserve">https://www.mpv.mpsr.pe/</t>
  </si>
  <si>
    <t xml:space="preserve">Aviso de recepción de documentos escaneados y lista de trámites que no atiende.</t>
  </si>
  <si>
    <t xml:space="preserve">Posiblemente desactualizado (cita el D.S. 044-2020-PCM).</t>
  </si>
  <si>
    <t xml:space="preserve">Listas</t>
  </si>
  <si>
    <t xml:space="preserve">Significado</t>
  </si>
  <si>
    <t xml:space="preserve">Aún no se comparó con la fuente.</t>
  </si>
  <si>
    <t xml:space="preserve">La respuesta actual es correcta según la fuente.</t>
  </si>
  <si>
    <t xml:space="preserve">Hay que cambiar algo: escribe el texto corregido.</t>
  </si>
  <si>
    <t xml:space="preserve">No encontraste el dato en la fuente: explica dónde buscaste.</t>
  </si>
  <si>
    <t xml:space="preserve">Notas de uso</t>
  </si>
  <si>
    <t xml:space="preserve">Cómo usar</t>
  </si>
  <si>
    <t xml:space="preserve">1. Abre el TUPA vigente (pestaña Fuentes) y busca cada trámite por su nombre. Empieza por las filas de prioridad Alta.</t>
  </si>
  <si>
    <t xml:space="preserve">2. Anota en las celdas amarillas lo que dice la fuente: nombre y página del procedimiento, requisitos, costo, plazo, y oficina o canal. Copia los datos tal cual; no los completes de memoria.</t>
  </si>
  <si>
    <t xml:space="preserve">3. Elige el Resultado: «Coincide» si la respuesta actual es correcta; «Corregir» si algo difiere (escribe el texto corregido); «No figura en la fuente» si no lo encuentras (explica dónde buscaste en Observaciones).</t>
  </si>
  <si>
    <t xml:space="preserve">4. El texto corregido va en lenguaje claro, como si se lo dijeras a un ciudadano, y sin la marca [Verificar]. Indica la fecha de la verificación.</t>
  </si>
  <si>
    <t xml:space="preserve">5. Marca «Confirmado por el tesista = Sí» solo en las filas que comprobaste tú contra la fuente. Claude Code aplicará a domain.yml únicamente las confirmadas; las filas llenadas por búsqueda asistida llegan sin confirmar.</t>
  </si>
  <si>
    <t xml:space="preserve">6. Cuando el Resumen diga «Listo para actualizar domain.yml» (sin pendientes, alertas ni filas sin confirmar), guarda el archivo desde Excel y entrégaselo a Claude Code.</t>
  </si>
  <si>
    <t xml:space="preserve">Cosas a tener en cuenta</t>
  </si>
  <si>
    <t xml:space="preserve">• No todo está en el TUPA: impuestos y arbitrios se rigen por ordenanzas tributarias y la ley de tributación municipal; horarios, teléfonos y cronogramas están en el portal institucional. La columna «Fuente probable» orienta dónde mirar.</t>
  </si>
  <si>
    <t xml:space="preserve">• Los derechos de tramitación pueden venir en soles o como porcentaje de la UIT. Anota la unidad tal cual y, si es en UIT, el valor de la UIT que uses.</t>
  </si>
  <si>
    <t xml:space="preserve">• El TUPA se modifica por decreto de alcaldía u ordenanza. Revisa que tu fuente sea la versión más reciente.</t>
  </si>
  <si>
    <t xml:space="preserve">• La columna «Respuesta actual» es el texto base de domain_v2.yml (3 de octubre de 2026). Si el domain.yml del repositorio cambió, la fila F indica si lleva marca [Verificar]; el texto vigente es el del repositorio.</t>
  </si>
  <si>
    <t xml:space="preserve">• Las 4 respuestas sin marca en el repositorio (denuncia_seguridad_ciudadana, horario_recojo_basura, requisitos_generales y costos_generales) también están en la lista: revísalas igual.</t>
  </si>
  <si>
    <t xml:space="preserve">Qué se llenó y cómo (5 de octubre de 2026)</t>
  </si>
  <si>
    <t xml:space="preserve">• Se llenaron las filas que tenían una fuente oficial legible: 10 con propuesta de corrección (contactos, horarios, dirección, libro de reclamaciones, seguimiento de trámites y defunción) y 8 con datos parciales y resultado Pendiente.</t>
  </si>
  <si>
    <t xml:space="preserve">• Todo salió de búsquedas en páginas oficiales (gob.pe y el portal de la MPSR) y de dos fuentes no oficiales marcadas como tales. No pude abrir el PDF del TUPA: los derechos de tramitación y plazos siguen pendientes de confirmar.</t>
  </si>
  <si>
    <t xml:space="preserve">• La columna «Marco general orientativo» (T) da el contexto legal nacional de cada trámite para ubicar rápido el procedimiento en el TUPA. No es un dato del TUPA de la MPSR, no se aplica a domain.yml y no cuenta como verificación: los montos y plazos locales siguen sin asumirse.</t>
  </si>
  <si>
    <t xml:space="preserve">• Ninguna fila viene confirmada: la columna «Confirmado por el tesista» está vacía.</t>
  </si>
  <si>
    <t xml:space="preserve">• Las propuestas de corrección son candidatas: confirma cada una antes de pasarla al chatbot. Dos casos importantes: el monto de la partida de nacimiento (dos páginas dan S/ 6.66 y S/ 6.84) y la vigencia de la licencia de funcionamiento (¿un año o permanente?).</t>
  </si>
  <si>
    <t xml:space="preserve">• Varias respuestas hablan de la «Plataforma de Atención»; no aparece en ninguna fuente oficial vista. Confirma si la MPSR usa ese nombre.</t>
  </si>
  <si>
    <t xml:space="preserve">Fuentes y supuestos</t>
  </si>
  <si>
    <t xml:space="preserve">• Las 44 intenciones de trámites y sus categorías salen del catálogo situaciones_lote1_v1.csv; los textos, de domain_v2.yml. La columna «Datos a comprobar» y la prioridad son orientaciones mías, no datos del TUPA.</t>
  </si>
  <si>
    <t xml:space="preserve">• Que 40 de las 44 respuestas llevan marca [Verificar] en el repositorio viene del reporte de Claude Code; la columna F lo refleja y debe confirmarse contra domain.yml.</t>
  </si>
  <si>
    <t xml:space="preserve">• Colores: azul = valor escrito a mano o dato fijo; negro = fórmula; verde = vínculo a otra hoja.</t>
  </si>
</sst>
</file>

<file path=xl/styles.xml><?xml version="1.0" encoding="utf-8"?>
<styleSheet xmlns="http://schemas.openxmlformats.org/spreadsheetml/2006/main">
  <numFmts count="4">
    <numFmt numFmtId="164" formatCode="General"/>
    <numFmt numFmtId="165" formatCode="dd/mm/yyyy"/>
    <numFmt numFmtId="166" formatCode="General"/>
    <numFmt numFmtId="167" formatCode="0%"/>
  </numFmts>
  <fonts count="13">
    <font>
      <sz val="10"/>
      <name val="Arial"/>
      <family val="0"/>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9"/>
      <color rgb="FF404040"/>
      <name val="Arial"/>
      <family val="0"/>
      <charset val="1"/>
    </font>
    <font>
      <sz val="10"/>
      <color rgb="FF0000FF"/>
      <name val="Arial"/>
      <family val="0"/>
      <charset val="1"/>
    </font>
    <font>
      <sz val="11"/>
      <color theme="1"/>
      <name val="Calibri"/>
      <family val="2"/>
      <charset val="1"/>
    </font>
    <font>
      <sz val="10"/>
      <color rgb="FF008000"/>
      <name val="Arial"/>
      <family val="0"/>
      <charset val="1"/>
    </font>
    <font>
      <u val="single"/>
      <sz val="9"/>
      <color rgb="FF0563C1"/>
      <name val="Arial"/>
      <family val="0"/>
      <charset val="1"/>
    </font>
  </fonts>
  <fills count="5">
    <fill>
      <patternFill patternType="none"/>
    </fill>
    <fill>
      <patternFill patternType="gray125"/>
    </fill>
    <fill>
      <patternFill patternType="solid">
        <fgColor rgb="FF404040"/>
        <bgColor rgb="FF333300"/>
      </patternFill>
    </fill>
    <fill>
      <patternFill patternType="solid">
        <fgColor rgb="FFFFF2CC"/>
        <bgColor rgb="FFFFEB9C"/>
      </patternFill>
    </fill>
    <fill>
      <patternFill patternType="solid">
        <fgColor rgb="FFD9D9D9"/>
        <bgColor rgb="FFC6EF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5" fontId="9" fillId="3"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6" fontId="11" fillId="0"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7" fontId="0"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404040"/>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FFF2CC"/>
          <bgColor rgb="FF000000"/>
        </patternFill>
      </fill>
    </dxf>
    <dxf>
      <fill>
        <patternFill patternType="solid">
          <fgColor rgb="FFFFEB9C"/>
          <bgColor rgb="FF000000"/>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gob.pe/institucion/munisanroman/informes-publicaciones/7272473" TargetMode="External"/><Relationship Id="rId2" Type="http://schemas.openxmlformats.org/officeDocument/2006/relationships/hyperlink" Target="https://www.gob.pe/institucion/munisanroman/normas-legales/7495467-011-2025-mpsr-j-a" TargetMode="External"/><Relationship Id="rId3" Type="http://schemas.openxmlformats.org/officeDocument/2006/relationships/hyperlink" Target="https://cdn.www.gob.pe/uploads/document/file/9134774/7495467-decreto-de-alcaldia-n-011-2025-mpsr-j-a.PDF" TargetMode="External"/><Relationship Id="rId4" Type="http://schemas.openxmlformats.org/officeDocument/2006/relationships/hyperlink" Target="https://www.gob.pe/institucion/munisanroman/normas-legales" TargetMode="External"/><Relationship Id="rId5" Type="http://schemas.openxmlformats.org/officeDocument/2006/relationships/hyperlink" Target="https://www.gob.pe/munisanroman" TargetMode="External"/><Relationship Id="rId6" Type="http://schemas.openxmlformats.org/officeDocument/2006/relationships/hyperlink" Target="https://www.gob.pe/institucion/munisanroman/informes-publicaciones/4275606-texto-unico-de-procedimientos-administrativos-tupa-2023-con-procedimientos-estandarizados" TargetMode="External"/><Relationship Id="rId7" Type="http://schemas.openxmlformats.org/officeDocument/2006/relationships/hyperlink" Target="https://www.gob.pe/institucion/munisanroman/sedes" TargetMode="External"/><Relationship Id="rId8" Type="http://schemas.openxmlformats.org/officeDocument/2006/relationships/hyperlink" Target="https://munisanroman.gob.pe/web/contactos/" TargetMode="External"/><Relationship Id="rId9" Type="http://schemas.openxmlformats.org/officeDocument/2006/relationships/hyperlink" Target="https://www.gob.pe/17146-solicitar-partida-de-nacimiento-en-san-roman-juliaca" TargetMode="External"/><Relationship Id="rId10" Type="http://schemas.openxmlformats.org/officeDocument/2006/relationships/hyperlink" Target="https://www.gob.pe/51225-solicitar-una-partida-de-nacimiento-en-la-municipalidad?child=80860" TargetMode="External"/><Relationship Id="rId11" Type="http://schemas.openxmlformats.org/officeDocument/2006/relationships/hyperlink" Target="https://www.gob.pe/21525-obtener-acta-de-defuncion?child=17256" TargetMode="External"/><Relationship Id="rId12" Type="http://schemas.openxmlformats.org/officeDocument/2006/relationships/hyperlink" Target="https://pachamamaradio.org/san-roman-implementa-licencias-de-funcionamiento-digitales-a-partir-del-20-de-agosto/" TargetMode="External"/><Relationship Id="rId13" Type="http://schemas.openxmlformats.org/officeDocument/2006/relationships/hyperlink" Target="https://cdn.www.gob.pe/uploads/document/file/5763090/5119677-resolucion-gerencial-n-013-2024-mpsr-j-gemu.PDF" TargetMode="External"/><Relationship Id="rId14" Type="http://schemas.openxmlformats.org/officeDocument/2006/relationships/hyperlink" Target="https://www.mpv.mpsr.p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20"/>
    <col collapsed="false" customWidth="true" hidden="false" outlineLevel="0" max="4" min="4" style="0" width="10"/>
    <col collapsed="false" customWidth="true" hidden="false" outlineLevel="0" max="5" min="5" style="0" width="18"/>
    <col collapsed="false" customWidth="true" hidden="false" outlineLevel="0" max="6" min="6" style="0" width="12"/>
    <col collapsed="false" customWidth="true" hidden="false" outlineLevel="0" max="7" min="7" style="0" width="52"/>
    <col collapsed="false" customWidth="true" hidden="false" outlineLevel="0" max="8" min="8" style="0" width="44"/>
    <col collapsed="false" customWidth="true" hidden="false" outlineLevel="0" max="10" min="9" style="0" width="34"/>
    <col collapsed="false" customWidth="true" hidden="false" outlineLevel="0" max="11" min="11" style="0" width="22"/>
    <col collapsed="false" customWidth="true" hidden="false" outlineLevel="0" max="12" min="12" style="0" width="20"/>
    <col collapsed="false" customWidth="true" hidden="false" outlineLevel="0" max="13" min="13" style="0" width="28"/>
    <col collapsed="false" customWidth="true" hidden="false" outlineLevel="0" max="14" min="14" style="0" width="16"/>
    <col collapsed="false" customWidth="true" hidden="false" outlineLevel="0" max="15" min="15" style="0" width="52"/>
    <col collapsed="false" customWidth="true" hidden="false" outlineLevel="0" max="16" min="16" style="0" width="13"/>
    <col collapsed="false" customWidth="true" hidden="false" outlineLevel="0" max="17" min="17" style="0" width="30"/>
    <col collapsed="false" customWidth="true" hidden="false" outlineLevel="0" max="18" min="18" style="0" width="20"/>
    <col collapsed="false" customWidth="true" hidden="false" outlineLevel="0" max="19" min="19" style="0" width="16"/>
    <col collapsed="false" customWidth="true" hidden="false" outlineLevel="0" max="20" min="20" style="0" width="52"/>
  </cols>
  <sheetData>
    <row r="1" customFormat="false" ht="17.35" hidden="false" customHeight="false" outlineLevel="0" collapsed="false">
      <c r="A1" s="1" t="s">
        <v>0</v>
      </c>
    </row>
    <row r="2" customFormat="false" ht="30" hidden="false" customHeight="true" outlineLevel="0" collapsed="false">
      <c r="A2" s="2" t="s">
        <v>1</v>
      </c>
      <c r="B2" s="2"/>
      <c r="C2" s="2"/>
      <c r="D2" s="2"/>
      <c r="E2" s="2"/>
      <c r="F2" s="2"/>
      <c r="G2" s="2"/>
      <c r="H2" s="2"/>
      <c r="I2" s="2"/>
      <c r="J2" s="2"/>
      <c r="K2" s="2"/>
      <c r="L2" s="2"/>
      <c r="M2" s="2"/>
      <c r="N2" s="2"/>
      <c r="O2" s="2"/>
      <c r="P2" s="2"/>
      <c r="Q2" s="2"/>
      <c r="R2" s="2"/>
      <c r="S2" s="2"/>
      <c r="T2" s="2"/>
    </row>
    <row r="3" customFormat="false" ht="60" hidden="false" customHeight="true" outlineLevel="0" collapsed="false">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row>
    <row r="4" customFormat="false" ht="91.5" hidden="false" customHeight="true" outlineLevel="0" collapsed="false">
      <c r="A4" s="4" t="n">
        <v>1</v>
      </c>
      <c r="B4" s="5" t="s">
        <v>22</v>
      </c>
      <c r="C4" s="6" t="s">
        <v>23</v>
      </c>
      <c r="D4" s="7" t="s">
        <v>24</v>
      </c>
      <c r="E4" s="6" t="s">
        <v>25</v>
      </c>
      <c r="F4" s="7" t="s">
        <v>26</v>
      </c>
      <c r="G4" s="8" t="s">
        <v>27</v>
      </c>
      <c r="H4" s="8" t="s">
        <v>28</v>
      </c>
      <c r="I4" s="9" t="s">
        <v>29</v>
      </c>
      <c r="J4" s="9" t="s">
        <v>30</v>
      </c>
      <c r="K4" s="9"/>
      <c r="L4" s="9"/>
      <c r="M4" s="9" t="s">
        <v>31</v>
      </c>
      <c r="N4" s="10" t="s">
        <v>32</v>
      </c>
      <c r="O4" s="9"/>
      <c r="P4" s="11"/>
      <c r="Q4" s="9" t="s">
        <v>33</v>
      </c>
      <c r="R4" s="12" t="str">
        <f aca="false">IF(AND(N4="Corregir",LEN(TRIM(O4))=0),"Falta el texto corregido",IF(AND(OR(N4="Coincide",N4="Corregir"),LEN(TRIM(I4))=0),"Falta citar la fuente",IF(AND(N4="No figura en la fuente",LEN(TRIM(Q4))=0),"Explica dónde buscaste",IF(AND(N4&lt;&gt;"Pendiente",P4=""),"Falta la fecha",""))))</f>
        <v/>
      </c>
      <c r="S4" s="10"/>
      <c r="T4" s="13" t="s">
        <v>34</v>
      </c>
    </row>
    <row r="5" customFormat="false" ht="91.5" hidden="false" customHeight="true" outlineLevel="0" collapsed="false">
      <c r="A5" s="4" t="n">
        <v>2</v>
      </c>
      <c r="B5" s="5" t="s">
        <v>35</v>
      </c>
      <c r="C5" s="6" t="s">
        <v>23</v>
      </c>
      <c r="D5" s="7" t="s">
        <v>24</v>
      </c>
      <c r="E5" s="6" t="s">
        <v>25</v>
      </c>
      <c r="F5" s="7" t="s">
        <v>26</v>
      </c>
      <c r="G5" s="8" t="s">
        <v>36</v>
      </c>
      <c r="H5" s="8" t="s">
        <v>37</v>
      </c>
      <c r="I5" s="9" t="s">
        <v>29</v>
      </c>
      <c r="J5" s="9"/>
      <c r="K5" s="9" t="s">
        <v>38</v>
      </c>
      <c r="L5" s="9"/>
      <c r="M5" s="9" t="s">
        <v>31</v>
      </c>
      <c r="N5" s="10" t="s">
        <v>32</v>
      </c>
      <c r="O5" s="9"/>
      <c r="P5" s="11"/>
      <c r="Q5" s="9" t="s">
        <v>39</v>
      </c>
      <c r="R5" s="12" t="str">
        <f aca="false">IF(AND(N5="Corregir",LEN(TRIM(O5))=0),"Falta el texto corregido",IF(AND(OR(N5="Coincide",N5="Corregir"),LEN(TRIM(I5))=0),"Falta citar la fuente",IF(AND(N5="No figura en la fuente",LEN(TRIM(Q5))=0),"Explica dónde buscaste",IF(AND(N5&lt;&gt;"Pendiente",P5=""),"Falta la fecha",""))))</f>
        <v/>
      </c>
      <c r="S5" s="10"/>
      <c r="T5" s="13" t="s">
        <v>40</v>
      </c>
    </row>
    <row r="6" customFormat="false" ht="91.5" hidden="false" customHeight="true" outlineLevel="0" collapsed="false">
      <c r="A6" s="4" t="n">
        <v>3</v>
      </c>
      <c r="B6" s="5" t="s">
        <v>41</v>
      </c>
      <c r="C6" s="6" t="s">
        <v>23</v>
      </c>
      <c r="D6" s="7" t="s">
        <v>24</v>
      </c>
      <c r="E6" s="6" t="s">
        <v>25</v>
      </c>
      <c r="F6" s="7" t="s">
        <v>26</v>
      </c>
      <c r="G6" s="8" t="s">
        <v>42</v>
      </c>
      <c r="H6" s="8" t="s">
        <v>43</v>
      </c>
      <c r="I6" s="9"/>
      <c r="J6" s="9"/>
      <c r="K6" s="9"/>
      <c r="L6" s="9"/>
      <c r="M6" s="9"/>
      <c r="N6" s="10" t="s">
        <v>32</v>
      </c>
      <c r="O6" s="9"/>
      <c r="P6" s="11"/>
      <c r="Q6" s="9"/>
      <c r="R6" s="12" t="str">
        <f aca="false">IF(AND(N6="Corregir",LEN(TRIM(O6))=0),"Falta el texto corregido",IF(AND(OR(N6="Coincide",N6="Corregir"),LEN(TRIM(I6))=0),"Falta citar la fuente",IF(AND(N6="No figura en la fuente",LEN(TRIM(Q6))=0),"Explica dónde buscaste",IF(AND(N6&lt;&gt;"Pendiente",P6=""),"Falta la fecha",""))))</f>
        <v/>
      </c>
      <c r="S6" s="10"/>
      <c r="T6" s="13" t="s">
        <v>44</v>
      </c>
    </row>
    <row r="7" customFormat="false" ht="91.5" hidden="false" customHeight="true" outlineLevel="0" collapsed="false">
      <c r="A7" s="4" t="n">
        <v>4</v>
      </c>
      <c r="B7" s="5" t="s">
        <v>45</v>
      </c>
      <c r="C7" s="6" t="s">
        <v>23</v>
      </c>
      <c r="D7" s="7" t="s">
        <v>24</v>
      </c>
      <c r="E7" s="6" t="s">
        <v>25</v>
      </c>
      <c r="F7" s="7" t="s">
        <v>26</v>
      </c>
      <c r="G7" s="8" t="s">
        <v>46</v>
      </c>
      <c r="H7" s="8" t="s">
        <v>47</v>
      </c>
      <c r="I7" s="9"/>
      <c r="J7" s="9"/>
      <c r="K7" s="9"/>
      <c r="L7" s="9"/>
      <c r="M7" s="9"/>
      <c r="N7" s="10" t="s">
        <v>32</v>
      </c>
      <c r="O7" s="9"/>
      <c r="P7" s="11"/>
      <c r="Q7" s="9"/>
      <c r="R7" s="12" t="str">
        <f aca="false">IF(AND(N7="Corregir",LEN(TRIM(O7))=0),"Falta el texto corregido",IF(AND(OR(N7="Coincide",N7="Corregir"),LEN(TRIM(I7))=0),"Falta citar la fuente",IF(AND(N7="No figura en la fuente",LEN(TRIM(Q7))=0),"Explica dónde buscaste",IF(AND(N7&lt;&gt;"Pendiente",P7=""),"Falta la fecha",""))))</f>
        <v/>
      </c>
      <c r="S7" s="10"/>
      <c r="T7" s="13" t="s">
        <v>48</v>
      </c>
    </row>
    <row r="8" customFormat="false" ht="91.5" hidden="false" customHeight="true" outlineLevel="0" collapsed="false">
      <c r="A8" s="4" t="n">
        <v>5</v>
      </c>
      <c r="B8" s="5" t="s">
        <v>49</v>
      </c>
      <c r="C8" s="6" t="s">
        <v>23</v>
      </c>
      <c r="D8" s="7" t="s">
        <v>24</v>
      </c>
      <c r="E8" s="6" t="s">
        <v>25</v>
      </c>
      <c r="F8" s="7" t="s">
        <v>26</v>
      </c>
      <c r="G8" s="8" t="s">
        <v>50</v>
      </c>
      <c r="H8" s="8" t="s">
        <v>51</v>
      </c>
      <c r="I8" s="9"/>
      <c r="J8" s="9"/>
      <c r="K8" s="9"/>
      <c r="L8" s="9"/>
      <c r="M8" s="9"/>
      <c r="N8" s="10" t="s">
        <v>32</v>
      </c>
      <c r="O8" s="9"/>
      <c r="P8" s="11"/>
      <c r="Q8" s="9"/>
      <c r="R8" s="12" t="str">
        <f aca="false">IF(AND(N8="Corregir",LEN(TRIM(O8))=0),"Falta el texto corregido",IF(AND(OR(N8="Coincide",N8="Corregir"),LEN(TRIM(I8))=0),"Falta citar la fuente",IF(AND(N8="No figura en la fuente",LEN(TRIM(Q8))=0),"Explica dónde buscaste",IF(AND(N8&lt;&gt;"Pendiente",P8=""),"Falta la fecha",""))))</f>
        <v/>
      </c>
      <c r="S8" s="10"/>
      <c r="T8" s="13" t="s">
        <v>52</v>
      </c>
    </row>
    <row r="9" customFormat="false" ht="91.5" hidden="false" customHeight="true" outlineLevel="0" collapsed="false">
      <c r="A9" s="4" t="n">
        <v>6</v>
      </c>
      <c r="B9" s="5" t="s">
        <v>53</v>
      </c>
      <c r="C9" s="6" t="s">
        <v>23</v>
      </c>
      <c r="D9" s="7" t="s">
        <v>24</v>
      </c>
      <c r="E9" s="6" t="s">
        <v>25</v>
      </c>
      <c r="F9" s="7" t="s">
        <v>26</v>
      </c>
      <c r="G9" s="8" t="s">
        <v>54</v>
      </c>
      <c r="H9" s="8" t="s">
        <v>55</v>
      </c>
      <c r="I9" s="9" t="s">
        <v>56</v>
      </c>
      <c r="J9" s="9"/>
      <c r="K9" s="9"/>
      <c r="L9" s="9" t="s">
        <v>57</v>
      </c>
      <c r="M9" s="9"/>
      <c r="N9" s="10" t="s">
        <v>32</v>
      </c>
      <c r="O9" s="9"/>
      <c r="P9" s="11"/>
      <c r="Q9" s="9" t="s">
        <v>58</v>
      </c>
      <c r="R9" s="12" t="str">
        <f aca="false">IF(AND(N9="Corregir",LEN(TRIM(O9))=0),"Falta el texto corregido",IF(AND(OR(N9="Coincide",N9="Corregir"),LEN(TRIM(I9))=0),"Falta citar la fuente",IF(AND(N9="No figura en la fuente",LEN(TRIM(Q9))=0),"Explica dónde buscaste",IF(AND(N9&lt;&gt;"Pendiente",P9=""),"Falta la fecha",""))))</f>
        <v/>
      </c>
      <c r="S9" s="10"/>
      <c r="T9" s="13" t="s">
        <v>59</v>
      </c>
    </row>
    <row r="10" customFormat="false" ht="91.5" hidden="false" customHeight="true" outlineLevel="0" collapsed="false">
      <c r="A10" s="4" t="n">
        <v>7</v>
      </c>
      <c r="B10" s="5" t="s">
        <v>60</v>
      </c>
      <c r="C10" s="6" t="s">
        <v>61</v>
      </c>
      <c r="D10" s="7" t="s">
        <v>62</v>
      </c>
      <c r="E10" s="6" t="s">
        <v>63</v>
      </c>
      <c r="F10" s="7" t="s">
        <v>26</v>
      </c>
      <c r="G10" s="8" t="s">
        <v>64</v>
      </c>
      <c r="H10" s="8" t="s">
        <v>65</v>
      </c>
      <c r="I10" s="9"/>
      <c r="J10" s="9"/>
      <c r="K10" s="9"/>
      <c r="L10" s="9"/>
      <c r="M10" s="9"/>
      <c r="N10" s="10" t="s">
        <v>32</v>
      </c>
      <c r="O10" s="9"/>
      <c r="P10" s="11"/>
      <c r="Q10" s="9"/>
      <c r="R10" s="12" t="str">
        <f aca="false">IF(AND(N10="Corregir",LEN(TRIM(O10))=0),"Falta el texto corregido",IF(AND(OR(N10="Coincide",N10="Corregir"),LEN(TRIM(I10))=0),"Falta citar la fuente",IF(AND(N10="No figura en la fuente",LEN(TRIM(Q10))=0),"Explica dónde buscaste",IF(AND(N10&lt;&gt;"Pendiente",P10=""),"Falta la fecha",""))))</f>
        <v/>
      </c>
      <c r="S10" s="10"/>
      <c r="T10" s="13" t="s">
        <v>66</v>
      </c>
    </row>
    <row r="11" customFormat="false" ht="91.5" hidden="false" customHeight="true" outlineLevel="0" collapsed="false">
      <c r="A11" s="4" t="n">
        <v>8</v>
      </c>
      <c r="B11" s="5" t="s">
        <v>67</v>
      </c>
      <c r="C11" s="6" t="s">
        <v>61</v>
      </c>
      <c r="D11" s="7" t="s">
        <v>62</v>
      </c>
      <c r="E11" s="6" t="s">
        <v>68</v>
      </c>
      <c r="F11" s="7" t="s">
        <v>26</v>
      </c>
      <c r="G11" s="8" t="s">
        <v>69</v>
      </c>
      <c r="H11" s="8" t="s">
        <v>70</v>
      </c>
      <c r="I11" s="9"/>
      <c r="J11" s="9"/>
      <c r="K11" s="9"/>
      <c r="L11" s="9"/>
      <c r="M11" s="9"/>
      <c r="N11" s="10" t="s">
        <v>32</v>
      </c>
      <c r="O11" s="9"/>
      <c r="P11" s="11"/>
      <c r="Q11" s="9"/>
      <c r="R11" s="12" t="str">
        <f aca="false">IF(AND(N11="Corregir",LEN(TRIM(O11))=0),"Falta el texto corregido",IF(AND(OR(N11="Coincide",N11="Corregir"),LEN(TRIM(I11))=0),"Falta citar la fuente",IF(AND(N11="No figura en la fuente",LEN(TRIM(Q11))=0),"Explica dónde buscaste",IF(AND(N11&lt;&gt;"Pendiente",P11=""),"Falta la fecha",""))))</f>
        <v/>
      </c>
      <c r="S11" s="10"/>
      <c r="T11" s="13" t="s">
        <v>71</v>
      </c>
    </row>
    <row r="12" customFormat="false" ht="91.5" hidden="false" customHeight="true" outlineLevel="0" collapsed="false">
      <c r="A12" s="4" t="n">
        <v>9</v>
      </c>
      <c r="B12" s="5" t="s">
        <v>72</v>
      </c>
      <c r="C12" s="6" t="s">
        <v>61</v>
      </c>
      <c r="D12" s="7" t="s">
        <v>62</v>
      </c>
      <c r="E12" s="6" t="s">
        <v>68</v>
      </c>
      <c r="F12" s="7" t="s">
        <v>26</v>
      </c>
      <c r="G12" s="8" t="s">
        <v>73</v>
      </c>
      <c r="H12" s="8" t="s">
        <v>74</v>
      </c>
      <c r="I12" s="9"/>
      <c r="J12" s="9"/>
      <c r="K12" s="9"/>
      <c r="L12" s="9"/>
      <c r="M12" s="9"/>
      <c r="N12" s="10" t="s">
        <v>32</v>
      </c>
      <c r="O12" s="9"/>
      <c r="P12" s="11"/>
      <c r="Q12" s="9"/>
      <c r="R12" s="12" t="str">
        <f aca="false">IF(AND(N12="Corregir",LEN(TRIM(O12))=0),"Falta el texto corregido",IF(AND(OR(N12="Coincide",N12="Corregir"),LEN(TRIM(I12))=0),"Falta citar la fuente",IF(AND(N12="No figura en la fuente",LEN(TRIM(Q12))=0),"Explica dónde buscaste",IF(AND(N12&lt;&gt;"Pendiente",P12=""),"Falta la fecha",""))))</f>
        <v/>
      </c>
      <c r="S12" s="10"/>
      <c r="T12" s="13" t="s">
        <v>75</v>
      </c>
    </row>
    <row r="13" customFormat="false" ht="91.5" hidden="false" customHeight="true" outlineLevel="0" collapsed="false">
      <c r="A13" s="4" t="n">
        <v>10</v>
      </c>
      <c r="B13" s="5" t="s">
        <v>76</v>
      </c>
      <c r="C13" s="6" t="s">
        <v>61</v>
      </c>
      <c r="D13" s="7" t="s">
        <v>24</v>
      </c>
      <c r="E13" s="6" t="s">
        <v>68</v>
      </c>
      <c r="F13" s="7" t="s">
        <v>26</v>
      </c>
      <c r="G13" s="8" t="s">
        <v>77</v>
      </c>
      <c r="H13" s="8" t="s">
        <v>78</v>
      </c>
      <c r="I13" s="9"/>
      <c r="J13" s="9"/>
      <c r="K13" s="9"/>
      <c r="L13" s="9"/>
      <c r="M13" s="9"/>
      <c r="N13" s="10" t="s">
        <v>32</v>
      </c>
      <c r="O13" s="9"/>
      <c r="P13" s="11"/>
      <c r="Q13" s="9"/>
      <c r="R13" s="12" t="str">
        <f aca="false">IF(AND(N13="Corregir",LEN(TRIM(O13))=0),"Falta el texto corregido",IF(AND(OR(N13="Coincide",N13="Corregir"),LEN(TRIM(I13))=0),"Falta citar la fuente",IF(AND(N13="No figura en la fuente",LEN(TRIM(Q13))=0),"Explica dónde buscaste",IF(AND(N13&lt;&gt;"Pendiente",P13=""),"Falta la fecha",""))))</f>
        <v/>
      </c>
      <c r="S13" s="10"/>
      <c r="T13" s="13" t="s">
        <v>79</v>
      </c>
    </row>
    <row r="14" customFormat="false" ht="91.5" hidden="false" customHeight="true" outlineLevel="0" collapsed="false">
      <c r="A14" s="4" t="n">
        <v>11</v>
      </c>
      <c r="B14" s="5" t="s">
        <v>80</v>
      </c>
      <c r="C14" s="6" t="s">
        <v>61</v>
      </c>
      <c r="D14" s="7" t="s">
        <v>24</v>
      </c>
      <c r="E14" s="6" t="s">
        <v>63</v>
      </c>
      <c r="F14" s="7" t="s">
        <v>26</v>
      </c>
      <c r="G14" s="8" t="s">
        <v>81</v>
      </c>
      <c r="H14" s="8" t="s">
        <v>82</v>
      </c>
      <c r="I14" s="9"/>
      <c r="J14" s="9"/>
      <c r="K14" s="9"/>
      <c r="L14" s="9"/>
      <c r="M14" s="9"/>
      <c r="N14" s="10" t="s">
        <v>32</v>
      </c>
      <c r="O14" s="9"/>
      <c r="P14" s="11"/>
      <c r="Q14" s="9"/>
      <c r="R14" s="12" t="str">
        <f aca="false">IF(AND(N14="Corregir",LEN(TRIM(O14))=0),"Falta el texto corregido",IF(AND(OR(N14="Coincide",N14="Corregir"),LEN(TRIM(I14))=0),"Falta citar la fuente",IF(AND(N14="No figura en la fuente",LEN(TRIM(Q14))=0),"Explica dónde buscaste",IF(AND(N14&lt;&gt;"Pendiente",P14=""),"Falta la fecha",""))))</f>
        <v/>
      </c>
      <c r="S14" s="10"/>
      <c r="T14" s="13" t="s">
        <v>83</v>
      </c>
    </row>
    <row r="15" customFormat="false" ht="91.5" hidden="false" customHeight="true" outlineLevel="0" collapsed="false">
      <c r="A15" s="4" t="n">
        <v>12</v>
      </c>
      <c r="B15" s="5" t="s">
        <v>84</v>
      </c>
      <c r="C15" s="6" t="s">
        <v>61</v>
      </c>
      <c r="D15" s="7" t="s">
        <v>24</v>
      </c>
      <c r="E15" s="6" t="s">
        <v>25</v>
      </c>
      <c r="F15" s="7" t="s">
        <v>26</v>
      </c>
      <c r="G15" s="8" t="s">
        <v>85</v>
      </c>
      <c r="H15" s="8" t="s">
        <v>86</v>
      </c>
      <c r="I15" s="9"/>
      <c r="J15" s="9"/>
      <c r="K15" s="9"/>
      <c r="L15" s="9"/>
      <c r="M15" s="9"/>
      <c r="N15" s="10" t="s">
        <v>32</v>
      </c>
      <c r="O15" s="9"/>
      <c r="P15" s="11"/>
      <c r="Q15" s="9"/>
      <c r="R15" s="12" t="str">
        <f aca="false">IF(AND(N15="Corregir",LEN(TRIM(O15))=0),"Falta el texto corregido",IF(AND(OR(N15="Coincide",N15="Corregir"),LEN(TRIM(I15))=0),"Falta citar la fuente",IF(AND(N15="No figura en la fuente",LEN(TRIM(Q15))=0),"Explica dónde buscaste",IF(AND(N15&lt;&gt;"Pendiente",P15=""),"Falta la fecha",""))))</f>
        <v/>
      </c>
      <c r="S15" s="10"/>
      <c r="T15" s="13" t="s">
        <v>87</v>
      </c>
    </row>
    <row r="16" customFormat="false" ht="91.5" hidden="false" customHeight="true" outlineLevel="0" collapsed="false">
      <c r="A16" s="4" t="n">
        <v>13</v>
      </c>
      <c r="B16" s="5" t="s">
        <v>88</v>
      </c>
      <c r="C16" s="6" t="s">
        <v>89</v>
      </c>
      <c r="D16" s="7" t="s">
        <v>24</v>
      </c>
      <c r="E16" s="6" t="s">
        <v>63</v>
      </c>
      <c r="F16" s="7" t="s">
        <v>26</v>
      </c>
      <c r="G16" s="8" t="s">
        <v>90</v>
      </c>
      <c r="H16" s="8" t="s">
        <v>91</v>
      </c>
      <c r="I16" s="9" t="s">
        <v>92</v>
      </c>
      <c r="J16" s="9" t="s">
        <v>93</v>
      </c>
      <c r="K16" s="9"/>
      <c r="L16" s="9"/>
      <c r="M16" s="9" t="s">
        <v>94</v>
      </c>
      <c r="N16" s="10" t="s">
        <v>32</v>
      </c>
      <c r="O16" s="9"/>
      <c r="P16" s="11"/>
      <c r="Q16" s="9" t="s">
        <v>95</v>
      </c>
      <c r="R16" s="12" t="str">
        <f aca="false">IF(AND(N16="Corregir",LEN(TRIM(O16))=0),"Falta el texto corregido",IF(AND(OR(N16="Coincide",N16="Corregir"),LEN(TRIM(I16))=0),"Falta citar la fuente",IF(AND(N16="No figura en la fuente",LEN(TRIM(Q16))=0),"Explica dónde buscaste",IF(AND(N16&lt;&gt;"Pendiente",P16=""),"Falta la fecha",""))))</f>
        <v/>
      </c>
      <c r="S16" s="10"/>
      <c r="T16" s="13" t="s">
        <v>96</v>
      </c>
    </row>
    <row r="17" customFormat="false" ht="91.5" hidden="false" customHeight="true" outlineLevel="0" collapsed="false">
      <c r="A17" s="4" t="n">
        <v>14</v>
      </c>
      <c r="B17" s="5" t="s">
        <v>97</v>
      </c>
      <c r="C17" s="6" t="s">
        <v>89</v>
      </c>
      <c r="D17" s="7" t="s">
        <v>62</v>
      </c>
      <c r="E17" s="6" t="s">
        <v>98</v>
      </c>
      <c r="F17" s="7" t="s">
        <v>26</v>
      </c>
      <c r="G17" s="8" t="s">
        <v>99</v>
      </c>
      <c r="H17" s="8" t="s">
        <v>100</v>
      </c>
      <c r="I17" s="9" t="s">
        <v>101</v>
      </c>
      <c r="J17" s="9"/>
      <c r="K17" s="9"/>
      <c r="L17" s="9"/>
      <c r="M17" s="9" t="s">
        <v>102</v>
      </c>
      <c r="N17" s="10" t="s">
        <v>103</v>
      </c>
      <c r="O17" s="9" t="s">
        <v>104</v>
      </c>
      <c r="P17" s="11" t="n">
        <v>46300</v>
      </c>
      <c r="Q17" s="9" t="s">
        <v>105</v>
      </c>
      <c r="R17" s="12" t="str">
        <f aca="false">IF(AND(N17="Corregir",LEN(TRIM(O17))=0),"Falta el texto corregido",IF(AND(OR(N17="Coincide",N17="Corregir"),LEN(TRIM(I17))=0),"Falta citar la fuente",IF(AND(N17="No figura en la fuente",LEN(TRIM(Q17))=0),"Explica dónde buscaste",IF(AND(N17&lt;&gt;"Pendiente",P17=""),"Falta la fecha",""))))</f>
        <v/>
      </c>
      <c r="S17" s="10"/>
      <c r="T17" s="13"/>
    </row>
    <row r="18" customFormat="false" ht="91.5" hidden="false" customHeight="true" outlineLevel="0" collapsed="false">
      <c r="A18" s="4" t="n">
        <v>15</v>
      </c>
      <c r="B18" s="5" t="s">
        <v>106</v>
      </c>
      <c r="C18" s="6" t="s">
        <v>89</v>
      </c>
      <c r="D18" s="7" t="s">
        <v>62</v>
      </c>
      <c r="E18" s="6" t="s">
        <v>98</v>
      </c>
      <c r="F18" s="7" t="s">
        <v>26</v>
      </c>
      <c r="G18" s="8" t="s">
        <v>107</v>
      </c>
      <c r="H18" s="8" t="s">
        <v>108</v>
      </c>
      <c r="I18" s="9" t="s">
        <v>109</v>
      </c>
      <c r="J18" s="9"/>
      <c r="K18" s="9"/>
      <c r="L18" s="9"/>
      <c r="M18" s="9" t="s">
        <v>110</v>
      </c>
      <c r="N18" s="10" t="s">
        <v>103</v>
      </c>
      <c r="O18" s="9" t="s">
        <v>111</v>
      </c>
      <c r="P18" s="11" t="n">
        <v>46300</v>
      </c>
      <c r="Q18" s="9" t="s">
        <v>112</v>
      </c>
      <c r="R18" s="12" t="str">
        <f aca="false">IF(AND(N18="Corregir",LEN(TRIM(O18))=0),"Falta el texto corregido",IF(AND(OR(N18="Coincide",N18="Corregir"),LEN(TRIM(I18))=0),"Falta citar la fuente",IF(AND(N18="No figura en la fuente",LEN(TRIM(Q18))=0),"Explica dónde buscaste",IF(AND(N18&lt;&gt;"Pendiente",P18=""),"Falta la fecha",""))))</f>
        <v/>
      </c>
      <c r="S18" s="10"/>
      <c r="T18" s="13"/>
    </row>
    <row r="19" customFormat="false" ht="91.5" hidden="false" customHeight="true" outlineLevel="0" collapsed="false">
      <c r="A19" s="4" t="n">
        <v>16</v>
      </c>
      <c r="B19" s="5" t="s">
        <v>113</v>
      </c>
      <c r="C19" s="6" t="s">
        <v>89</v>
      </c>
      <c r="D19" s="7" t="s">
        <v>24</v>
      </c>
      <c r="E19" s="6" t="s">
        <v>25</v>
      </c>
      <c r="F19" s="7" t="s">
        <v>26</v>
      </c>
      <c r="G19" s="8" t="s">
        <v>114</v>
      </c>
      <c r="H19" s="8" t="s">
        <v>115</v>
      </c>
      <c r="I19" s="9"/>
      <c r="J19" s="9"/>
      <c r="K19" s="9"/>
      <c r="L19" s="9"/>
      <c r="M19" s="9"/>
      <c r="N19" s="10" t="s">
        <v>32</v>
      </c>
      <c r="O19" s="9"/>
      <c r="P19" s="11"/>
      <c r="Q19" s="9"/>
      <c r="R19" s="12" t="str">
        <f aca="false">IF(AND(N19="Corregir",LEN(TRIM(O19))=0),"Falta el texto corregido",IF(AND(OR(N19="Coincide",N19="Corregir"),LEN(TRIM(I19))=0),"Falta citar la fuente",IF(AND(N19="No figura en la fuente",LEN(TRIM(Q19))=0),"Explica dónde buscaste",IF(AND(N19&lt;&gt;"Pendiente",P19=""),"Falta la fecha",""))))</f>
        <v/>
      </c>
      <c r="S19" s="10"/>
      <c r="T19" s="13" t="s">
        <v>116</v>
      </c>
    </row>
    <row r="20" customFormat="false" ht="91.5" hidden="false" customHeight="true" outlineLevel="0" collapsed="false">
      <c r="A20" s="4" t="n">
        <v>17</v>
      </c>
      <c r="B20" s="5" t="s">
        <v>117</v>
      </c>
      <c r="C20" s="6" t="s">
        <v>89</v>
      </c>
      <c r="D20" s="7" t="s">
        <v>24</v>
      </c>
      <c r="E20" s="6" t="s">
        <v>25</v>
      </c>
      <c r="F20" s="7" t="s">
        <v>26</v>
      </c>
      <c r="G20" s="8" t="s">
        <v>118</v>
      </c>
      <c r="H20" s="8" t="s">
        <v>119</v>
      </c>
      <c r="I20" s="9"/>
      <c r="J20" s="9"/>
      <c r="K20" s="9"/>
      <c r="L20" s="9"/>
      <c r="M20" s="9"/>
      <c r="N20" s="10" t="s">
        <v>32</v>
      </c>
      <c r="O20" s="9"/>
      <c r="P20" s="11"/>
      <c r="Q20" s="9"/>
      <c r="R20" s="12" t="str">
        <f aca="false">IF(AND(N20="Corregir",LEN(TRIM(O20))=0),"Falta el texto corregido",IF(AND(OR(N20="Coincide",N20="Corregir"),LEN(TRIM(I20))=0),"Falta citar la fuente",IF(AND(N20="No figura en la fuente",LEN(TRIM(Q20))=0),"Explica dónde buscaste",IF(AND(N20&lt;&gt;"Pendiente",P20=""),"Falta la fecha",""))))</f>
        <v/>
      </c>
      <c r="S20" s="10"/>
      <c r="T20" s="13" t="s">
        <v>120</v>
      </c>
    </row>
    <row r="21" customFormat="false" ht="91.5" hidden="false" customHeight="true" outlineLevel="0" collapsed="false">
      <c r="A21" s="4" t="n">
        <v>18</v>
      </c>
      <c r="B21" s="5" t="s">
        <v>121</v>
      </c>
      <c r="C21" s="6" t="s">
        <v>89</v>
      </c>
      <c r="D21" s="7" t="s">
        <v>24</v>
      </c>
      <c r="E21" s="6" t="s">
        <v>25</v>
      </c>
      <c r="F21" s="7" t="s">
        <v>26</v>
      </c>
      <c r="G21" s="8" t="s">
        <v>122</v>
      </c>
      <c r="H21" s="8" t="s">
        <v>123</v>
      </c>
      <c r="I21" s="9"/>
      <c r="J21" s="9"/>
      <c r="K21" s="9"/>
      <c r="L21" s="9"/>
      <c r="M21" s="9"/>
      <c r="N21" s="10" t="s">
        <v>32</v>
      </c>
      <c r="O21" s="9"/>
      <c r="P21" s="11"/>
      <c r="Q21" s="9"/>
      <c r="R21" s="12" t="str">
        <f aca="false">IF(AND(N21="Corregir",LEN(TRIM(O21))=0),"Falta el texto corregido",IF(AND(OR(N21="Coincide",N21="Corregir"),LEN(TRIM(I21))=0),"Falta citar la fuente",IF(AND(N21="No figura en la fuente",LEN(TRIM(Q21))=0),"Explica dónde buscaste",IF(AND(N21&lt;&gt;"Pendiente",P21=""),"Falta la fecha",""))))</f>
        <v/>
      </c>
      <c r="S21" s="10"/>
      <c r="T21" s="13" t="s">
        <v>124</v>
      </c>
    </row>
    <row r="22" customFormat="false" ht="91.5" hidden="false" customHeight="true" outlineLevel="0" collapsed="false">
      <c r="A22" s="4" t="n">
        <v>19</v>
      </c>
      <c r="B22" s="5" t="s">
        <v>125</v>
      </c>
      <c r="C22" s="6" t="s">
        <v>126</v>
      </c>
      <c r="D22" s="7" t="s">
        <v>24</v>
      </c>
      <c r="E22" s="6" t="s">
        <v>25</v>
      </c>
      <c r="F22" s="7" t="s">
        <v>26</v>
      </c>
      <c r="G22" s="8" t="s">
        <v>127</v>
      </c>
      <c r="H22" s="8" t="s">
        <v>128</v>
      </c>
      <c r="I22" s="9" t="s">
        <v>129</v>
      </c>
      <c r="J22" s="9"/>
      <c r="K22" s="9"/>
      <c r="L22" s="9" t="s">
        <v>130</v>
      </c>
      <c r="M22" s="9" t="s">
        <v>131</v>
      </c>
      <c r="N22" s="10" t="s">
        <v>32</v>
      </c>
      <c r="O22" s="9"/>
      <c r="P22" s="11"/>
      <c r="Q22" s="9" t="s">
        <v>132</v>
      </c>
      <c r="R22" s="12" t="str">
        <f aca="false">IF(AND(N22="Corregir",LEN(TRIM(O22))=0),"Falta el texto corregido",IF(AND(OR(N22="Coincide",N22="Corregir"),LEN(TRIM(I22))=0),"Falta citar la fuente",IF(AND(N22="No figura en la fuente",LEN(TRIM(Q22))=0),"Explica dónde buscaste",IF(AND(N22&lt;&gt;"Pendiente",P22=""),"Falta la fecha",""))))</f>
        <v/>
      </c>
      <c r="S22" s="10"/>
      <c r="T22" s="13" t="s">
        <v>133</v>
      </c>
    </row>
    <row r="23" customFormat="false" ht="91.5" hidden="false" customHeight="true" outlineLevel="0" collapsed="false">
      <c r="A23" s="4" t="n">
        <v>20</v>
      </c>
      <c r="B23" s="5" t="s">
        <v>134</v>
      </c>
      <c r="C23" s="6" t="s">
        <v>126</v>
      </c>
      <c r="D23" s="7" t="s">
        <v>24</v>
      </c>
      <c r="E23" s="6" t="s">
        <v>25</v>
      </c>
      <c r="F23" s="7" t="s">
        <v>26</v>
      </c>
      <c r="G23" s="8" t="s">
        <v>135</v>
      </c>
      <c r="H23" s="8" t="s">
        <v>136</v>
      </c>
      <c r="I23" s="9" t="s">
        <v>129</v>
      </c>
      <c r="J23" s="9"/>
      <c r="K23" s="9"/>
      <c r="L23" s="9" t="s">
        <v>137</v>
      </c>
      <c r="M23" s="9" t="s">
        <v>138</v>
      </c>
      <c r="N23" s="10" t="s">
        <v>32</v>
      </c>
      <c r="O23" s="9"/>
      <c r="P23" s="11"/>
      <c r="Q23" s="9" t="s">
        <v>132</v>
      </c>
      <c r="R23" s="12" t="str">
        <f aca="false">IF(AND(N23="Corregir",LEN(TRIM(O23))=0),"Falta el texto corregido",IF(AND(OR(N23="Coincide",N23="Corregir"),LEN(TRIM(I23))=0),"Falta citar la fuente",IF(AND(N23="No figura en la fuente",LEN(TRIM(Q23))=0),"Explica dónde buscaste",IF(AND(N23&lt;&gt;"Pendiente",P23=""),"Falta la fecha",""))))</f>
        <v/>
      </c>
      <c r="S23" s="10"/>
      <c r="T23" s="13" t="s">
        <v>139</v>
      </c>
    </row>
    <row r="24" customFormat="false" ht="91.5" hidden="false" customHeight="true" outlineLevel="0" collapsed="false">
      <c r="A24" s="4" t="n">
        <v>21</v>
      </c>
      <c r="B24" s="5" t="s">
        <v>140</v>
      </c>
      <c r="C24" s="6" t="s">
        <v>126</v>
      </c>
      <c r="D24" s="7" t="s">
        <v>24</v>
      </c>
      <c r="E24" s="6" t="s">
        <v>25</v>
      </c>
      <c r="F24" s="7" t="s">
        <v>26</v>
      </c>
      <c r="G24" s="8" t="s">
        <v>141</v>
      </c>
      <c r="H24" s="8" t="s">
        <v>142</v>
      </c>
      <c r="I24" s="9"/>
      <c r="J24" s="9"/>
      <c r="K24" s="9"/>
      <c r="L24" s="9"/>
      <c r="M24" s="9"/>
      <c r="N24" s="10" t="s">
        <v>32</v>
      </c>
      <c r="O24" s="9"/>
      <c r="P24" s="11"/>
      <c r="Q24" s="9"/>
      <c r="R24" s="12" t="str">
        <f aca="false">IF(AND(N24="Corregir",LEN(TRIM(O24))=0),"Falta el texto corregido",IF(AND(OR(N24="Coincide",N24="Corregir"),LEN(TRIM(I24))=0),"Falta citar la fuente",IF(AND(N24="No figura en la fuente",LEN(TRIM(Q24))=0),"Explica dónde buscaste",IF(AND(N24&lt;&gt;"Pendiente",P24=""),"Falta la fecha",""))))</f>
        <v/>
      </c>
      <c r="S24" s="10"/>
      <c r="T24" s="13" t="s">
        <v>143</v>
      </c>
    </row>
    <row r="25" customFormat="false" ht="91.5" hidden="false" customHeight="true" outlineLevel="0" collapsed="false">
      <c r="A25" s="4" t="n">
        <v>22</v>
      </c>
      <c r="B25" s="5" t="s">
        <v>144</v>
      </c>
      <c r="C25" s="6" t="s">
        <v>126</v>
      </c>
      <c r="D25" s="7" t="s">
        <v>62</v>
      </c>
      <c r="E25" s="6" t="s">
        <v>98</v>
      </c>
      <c r="F25" s="7" t="s">
        <v>145</v>
      </c>
      <c r="G25" s="8" t="s">
        <v>146</v>
      </c>
      <c r="H25" s="8" t="s">
        <v>147</v>
      </c>
      <c r="I25" s="9" t="s">
        <v>148</v>
      </c>
      <c r="J25" s="9"/>
      <c r="K25" s="9"/>
      <c r="L25" s="9"/>
      <c r="M25" s="9" t="s">
        <v>149</v>
      </c>
      <c r="N25" s="10" t="s">
        <v>103</v>
      </c>
      <c r="O25" s="9" t="s">
        <v>150</v>
      </c>
      <c r="P25" s="11" t="n">
        <v>46300</v>
      </c>
      <c r="Q25" s="9" t="s">
        <v>151</v>
      </c>
      <c r="R25" s="12" t="str">
        <f aca="false">IF(AND(N25="Corregir",LEN(TRIM(O25))=0),"Falta el texto corregido",IF(AND(OR(N25="Coincide",N25="Corregir"),LEN(TRIM(I25))=0),"Falta citar la fuente",IF(AND(N25="No figura en la fuente",LEN(TRIM(Q25))=0),"Explica dónde buscaste",IF(AND(N25&lt;&gt;"Pendiente",P25=""),"Falta la fecha",""))))</f>
        <v/>
      </c>
      <c r="S25" s="10"/>
      <c r="T25" s="13"/>
    </row>
    <row r="26" customFormat="false" ht="91.5" hidden="false" customHeight="true" outlineLevel="0" collapsed="false">
      <c r="A26" s="4" t="n">
        <v>23</v>
      </c>
      <c r="B26" s="5" t="s">
        <v>152</v>
      </c>
      <c r="C26" s="6" t="s">
        <v>126</v>
      </c>
      <c r="D26" s="7" t="s">
        <v>62</v>
      </c>
      <c r="E26" s="6" t="s">
        <v>98</v>
      </c>
      <c r="F26" s="7" t="s">
        <v>26</v>
      </c>
      <c r="G26" s="8" t="s">
        <v>153</v>
      </c>
      <c r="H26" s="8" t="s">
        <v>154</v>
      </c>
      <c r="I26" s="9" t="s">
        <v>148</v>
      </c>
      <c r="J26" s="9"/>
      <c r="K26" s="9"/>
      <c r="L26" s="9"/>
      <c r="M26" s="9" t="s">
        <v>149</v>
      </c>
      <c r="N26" s="10" t="s">
        <v>103</v>
      </c>
      <c r="O26" s="9" t="s">
        <v>155</v>
      </c>
      <c r="P26" s="11" t="n">
        <v>46300</v>
      </c>
      <c r="Q26" s="9" t="s">
        <v>156</v>
      </c>
      <c r="R26" s="12" t="str">
        <f aca="false">IF(AND(N26="Corregir",LEN(TRIM(O26))=0),"Falta el texto corregido",IF(AND(OR(N26="Coincide",N26="Corregir"),LEN(TRIM(I26))=0),"Falta citar la fuente",IF(AND(N26="No figura en la fuente",LEN(TRIM(Q26))=0),"Explica dónde buscaste",IF(AND(N26&lt;&gt;"Pendiente",P26=""),"Falta la fecha",""))))</f>
        <v/>
      </c>
      <c r="S26" s="10"/>
      <c r="T26" s="13"/>
    </row>
    <row r="27" customFormat="false" ht="91.5" hidden="false" customHeight="true" outlineLevel="0" collapsed="false">
      <c r="A27" s="4" t="n">
        <v>24</v>
      </c>
      <c r="B27" s="5" t="s">
        <v>157</v>
      </c>
      <c r="C27" s="6" t="s">
        <v>158</v>
      </c>
      <c r="D27" s="7" t="s">
        <v>24</v>
      </c>
      <c r="E27" s="6" t="s">
        <v>25</v>
      </c>
      <c r="F27" s="7" t="s">
        <v>26</v>
      </c>
      <c r="G27" s="8" t="s">
        <v>159</v>
      </c>
      <c r="H27" s="8" t="s">
        <v>160</v>
      </c>
      <c r="I27" s="9" t="s">
        <v>161</v>
      </c>
      <c r="J27" s="9" t="s">
        <v>162</v>
      </c>
      <c r="K27" s="9" t="s">
        <v>163</v>
      </c>
      <c r="L27" s="9" t="s">
        <v>164</v>
      </c>
      <c r="M27" s="9" t="s">
        <v>165</v>
      </c>
      <c r="N27" s="10" t="s">
        <v>32</v>
      </c>
      <c r="O27" s="9"/>
      <c r="P27" s="11"/>
      <c r="Q27" s="9" t="s">
        <v>166</v>
      </c>
      <c r="R27" s="12" t="str">
        <f aca="false">IF(AND(N27="Corregir",LEN(TRIM(O27))=0),"Falta el texto corregido",IF(AND(OR(N27="Coincide",N27="Corregir"),LEN(TRIM(I27))=0),"Falta citar la fuente",IF(AND(N27="No figura en la fuente",LEN(TRIM(Q27))=0),"Explica dónde buscaste",IF(AND(N27&lt;&gt;"Pendiente",P27=""),"Falta la fecha",""))))</f>
        <v/>
      </c>
      <c r="S27" s="10"/>
      <c r="T27" s="13" t="s">
        <v>167</v>
      </c>
    </row>
    <row r="28" customFormat="false" ht="91.5" hidden="false" customHeight="true" outlineLevel="0" collapsed="false">
      <c r="A28" s="4" t="n">
        <v>25</v>
      </c>
      <c r="B28" s="5" t="s">
        <v>168</v>
      </c>
      <c r="C28" s="6" t="s">
        <v>158</v>
      </c>
      <c r="D28" s="7" t="s">
        <v>24</v>
      </c>
      <c r="E28" s="6" t="s">
        <v>25</v>
      </c>
      <c r="F28" s="7" t="s">
        <v>26</v>
      </c>
      <c r="G28" s="8" t="s">
        <v>169</v>
      </c>
      <c r="H28" s="8" t="s">
        <v>170</v>
      </c>
      <c r="I28" s="9" t="s">
        <v>171</v>
      </c>
      <c r="J28" s="9"/>
      <c r="K28" s="9"/>
      <c r="L28" s="9"/>
      <c r="M28" s="9"/>
      <c r="N28" s="10" t="s">
        <v>32</v>
      </c>
      <c r="O28" s="9"/>
      <c r="P28" s="11"/>
      <c r="Q28" s="9" t="s">
        <v>172</v>
      </c>
      <c r="R28" s="12" t="str">
        <f aca="false">IF(AND(N28="Corregir",LEN(TRIM(O28))=0),"Falta el texto corregido",IF(AND(OR(N28="Coincide",N28="Corregir"),LEN(TRIM(I28))=0),"Falta citar la fuente",IF(AND(N28="No figura en la fuente",LEN(TRIM(Q28))=0),"Explica dónde buscaste",IF(AND(N28&lt;&gt;"Pendiente",P28=""),"Falta la fecha",""))))</f>
        <v/>
      </c>
      <c r="S28" s="10"/>
      <c r="T28" s="13"/>
    </row>
    <row r="29" customFormat="false" ht="91.5" hidden="false" customHeight="true" outlineLevel="0" collapsed="false">
      <c r="A29" s="4" t="n">
        <v>26</v>
      </c>
      <c r="B29" s="5" t="s">
        <v>173</v>
      </c>
      <c r="C29" s="6" t="s">
        <v>158</v>
      </c>
      <c r="D29" s="7" t="s">
        <v>24</v>
      </c>
      <c r="E29" s="6" t="s">
        <v>25</v>
      </c>
      <c r="F29" s="7" t="s">
        <v>26</v>
      </c>
      <c r="G29" s="8" t="s">
        <v>174</v>
      </c>
      <c r="H29" s="8" t="s">
        <v>175</v>
      </c>
      <c r="I29" s="9" t="s">
        <v>176</v>
      </c>
      <c r="J29" s="9" t="s">
        <v>177</v>
      </c>
      <c r="K29" s="9" t="s">
        <v>178</v>
      </c>
      <c r="L29" s="9"/>
      <c r="M29" s="9" t="s">
        <v>179</v>
      </c>
      <c r="N29" s="10" t="s">
        <v>103</v>
      </c>
      <c r="O29" s="9" t="s">
        <v>180</v>
      </c>
      <c r="P29" s="11" t="n">
        <v>46300</v>
      </c>
      <c r="Q29" s="9" t="s">
        <v>181</v>
      </c>
      <c r="R29" s="12" t="str">
        <f aca="false">IF(AND(N29="Corregir",LEN(TRIM(O29))=0),"Falta el texto corregido",IF(AND(OR(N29="Coincide",N29="Corregir"),LEN(TRIM(I29))=0),"Falta citar la fuente",IF(AND(N29="No figura en la fuente",LEN(TRIM(Q29))=0),"Explica dónde buscaste",IF(AND(N29&lt;&gt;"Pendiente",P29=""),"Falta la fecha",""))))</f>
        <v/>
      </c>
      <c r="S29" s="10"/>
      <c r="T29" s="13"/>
    </row>
    <row r="30" customFormat="false" ht="91.5" hidden="false" customHeight="true" outlineLevel="0" collapsed="false">
      <c r="A30" s="4" t="n">
        <v>27</v>
      </c>
      <c r="B30" s="5" t="s">
        <v>182</v>
      </c>
      <c r="C30" s="6" t="s">
        <v>158</v>
      </c>
      <c r="D30" s="7" t="s">
        <v>24</v>
      </c>
      <c r="E30" s="6" t="s">
        <v>25</v>
      </c>
      <c r="F30" s="7" t="s">
        <v>26</v>
      </c>
      <c r="G30" s="8" t="s">
        <v>183</v>
      </c>
      <c r="H30" s="8" t="s">
        <v>184</v>
      </c>
      <c r="I30" s="9"/>
      <c r="J30" s="9"/>
      <c r="K30" s="9"/>
      <c r="L30" s="9"/>
      <c r="M30" s="9"/>
      <c r="N30" s="10" t="s">
        <v>32</v>
      </c>
      <c r="O30" s="9"/>
      <c r="P30" s="11"/>
      <c r="Q30" s="9"/>
      <c r="R30" s="12" t="str">
        <f aca="false">IF(AND(N30="Corregir",LEN(TRIM(O30))=0),"Falta el texto corregido",IF(AND(OR(N30="Coincide",N30="Corregir"),LEN(TRIM(I30))=0),"Falta citar la fuente",IF(AND(N30="No figura en la fuente",LEN(TRIM(Q30))=0),"Explica dónde buscaste",IF(AND(N30&lt;&gt;"Pendiente",P30=""),"Falta la fecha",""))))</f>
        <v/>
      </c>
      <c r="S30" s="10"/>
      <c r="T30" s="13" t="s">
        <v>185</v>
      </c>
    </row>
    <row r="31" customFormat="false" ht="91.5" hidden="false" customHeight="true" outlineLevel="0" collapsed="false">
      <c r="A31" s="4" t="n">
        <v>28</v>
      </c>
      <c r="B31" s="5" t="s">
        <v>186</v>
      </c>
      <c r="C31" s="6" t="s">
        <v>158</v>
      </c>
      <c r="D31" s="7" t="s">
        <v>24</v>
      </c>
      <c r="E31" s="6" t="s">
        <v>25</v>
      </c>
      <c r="F31" s="7" t="s">
        <v>26</v>
      </c>
      <c r="G31" s="8" t="s">
        <v>187</v>
      </c>
      <c r="H31" s="8" t="s">
        <v>188</v>
      </c>
      <c r="I31" s="9"/>
      <c r="J31" s="9"/>
      <c r="K31" s="9"/>
      <c r="L31" s="9"/>
      <c r="M31" s="9"/>
      <c r="N31" s="10" t="s">
        <v>32</v>
      </c>
      <c r="O31" s="9"/>
      <c r="P31" s="11"/>
      <c r="Q31" s="9"/>
      <c r="R31" s="12" t="str">
        <f aca="false">IF(AND(N31="Corregir",LEN(TRIM(O31))=0),"Falta el texto corregido",IF(AND(OR(N31="Coincide",N31="Corregir"),LEN(TRIM(I31))=0),"Falta citar la fuente",IF(AND(N31="No figura en la fuente",LEN(TRIM(Q31))=0),"Explica dónde buscaste",IF(AND(N31&lt;&gt;"Pendiente",P31=""),"Falta la fecha",""))))</f>
        <v/>
      </c>
      <c r="S31" s="10"/>
      <c r="T31" s="13" t="s">
        <v>189</v>
      </c>
    </row>
    <row r="32" customFormat="false" ht="91.5" hidden="false" customHeight="true" outlineLevel="0" collapsed="false">
      <c r="A32" s="4" t="n">
        <v>29</v>
      </c>
      <c r="B32" s="5" t="s">
        <v>190</v>
      </c>
      <c r="C32" s="6" t="s">
        <v>191</v>
      </c>
      <c r="D32" s="7" t="s">
        <v>62</v>
      </c>
      <c r="E32" s="6" t="s">
        <v>98</v>
      </c>
      <c r="F32" s="7" t="s">
        <v>145</v>
      </c>
      <c r="G32" s="8" t="s">
        <v>192</v>
      </c>
      <c r="H32" s="8" t="s">
        <v>193</v>
      </c>
      <c r="I32" s="9"/>
      <c r="J32" s="9"/>
      <c r="K32" s="9"/>
      <c r="L32" s="9"/>
      <c r="M32" s="9"/>
      <c r="N32" s="10" t="s">
        <v>32</v>
      </c>
      <c r="O32" s="9"/>
      <c r="P32" s="11"/>
      <c r="Q32" s="9"/>
      <c r="R32" s="12" t="str">
        <f aca="false">IF(AND(N32="Corregir",LEN(TRIM(O32))=0),"Falta el texto corregido",IF(AND(OR(N32="Coincide",N32="Corregir"),LEN(TRIM(I32))=0),"Falta citar la fuente",IF(AND(N32="No figura en la fuente",LEN(TRIM(Q32))=0),"Explica dónde buscaste",IF(AND(N32&lt;&gt;"Pendiente",P32=""),"Falta la fecha",""))))</f>
        <v/>
      </c>
      <c r="S32" s="10"/>
      <c r="T32" s="13" t="s">
        <v>194</v>
      </c>
    </row>
    <row r="33" customFormat="false" ht="91.5" hidden="false" customHeight="true" outlineLevel="0" collapsed="false">
      <c r="A33" s="4" t="n">
        <v>30</v>
      </c>
      <c r="B33" s="5" t="s">
        <v>195</v>
      </c>
      <c r="C33" s="6" t="s">
        <v>191</v>
      </c>
      <c r="D33" s="7" t="s">
        <v>62</v>
      </c>
      <c r="E33" s="6" t="s">
        <v>98</v>
      </c>
      <c r="F33" s="7" t="s">
        <v>26</v>
      </c>
      <c r="G33" s="8" t="s">
        <v>196</v>
      </c>
      <c r="H33" s="8" t="s">
        <v>197</v>
      </c>
      <c r="I33" s="9"/>
      <c r="J33" s="9"/>
      <c r="K33" s="9"/>
      <c r="L33" s="9"/>
      <c r="M33" s="9"/>
      <c r="N33" s="10" t="s">
        <v>32</v>
      </c>
      <c r="O33" s="9"/>
      <c r="P33" s="11"/>
      <c r="Q33" s="9"/>
      <c r="R33" s="12" t="str">
        <f aca="false">IF(AND(N33="Corregir",LEN(TRIM(O33))=0),"Falta el texto corregido",IF(AND(OR(N33="Coincide",N33="Corregir"),LEN(TRIM(I33))=0),"Falta citar la fuente",IF(AND(N33="No figura en la fuente",LEN(TRIM(Q33))=0),"Explica dónde buscaste",IF(AND(N33&lt;&gt;"Pendiente",P33=""),"Falta la fecha",""))))</f>
        <v/>
      </c>
      <c r="S33" s="10"/>
      <c r="T33" s="13" t="s">
        <v>198</v>
      </c>
    </row>
    <row r="34" customFormat="false" ht="91.5" hidden="false" customHeight="true" outlineLevel="0" collapsed="false">
      <c r="A34" s="4" t="n">
        <v>31</v>
      </c>
      <c r="B34" s="5" t="s">
        <v>199</v>
      </c>
      <c r="C34" s="6" t="s">
        <v>191</v>
      </c>
      <c r="D34" s="7" t="s">
        <v>62</v>
      </c>
      <c r="E34" s="6" t="s">
        <v>63</v>
      </c>
      <c r="F34" s="7" t="s">
        <v>26</v>
      </c>
      <c r="G34" s="8" t="s">
        <v>200</v>
      </c>
      <c r="H34" s="8" t="s">
        <v>201</v>
      </c>
      <c r="I34" s="9"/>
      <c r="J34" s="9"/>
      <c r="K34" s="9"/>
      <c r="L34" s="9"/>
      <c r="M34" s="9"/>
      <c r="N34" s="10" t="s">
        <v>32</v>
      </c>
      <c r="O34" s="9"/>
      <c r="P34" s="11"/>
      <c r="Q34" s="9"/>
      <c r="R34" s="12" t="str">
        <f aca="false">IF(AND(N34="Corregir",LEN(TRIM(O34))=0),"Falta el texto corregido",IF(AND(OR(N34="Coincide",N34="Corregir"),LEN(TRIM(I34))=0),"Falta citar la fuente",IF(AND(N34="No figura en la fuente",LEN(TRIM(Q34))=0),"Explica dónde buscaste",IF(AND(N34&lt;&gt;"Pendiente",P34=""),"Falta la fecha",""))))</f>
        <v/>
      </c>
      <c r="S34" s="10"/>
      <c r="T34" s="13" t="s">
        <v>202</v>
      </c>
    </row>
    <row r="35" customFormat="false" ht="91.5" hidden="false" customHeight="true" outlineLevel="0" collapsed="false">
      <c r="A35" s="4" t="n">
        <v>32</v>
      </c>
      <c r="B35" s="5" t="s">
        <v>203</v>
      </c>
      <c r="C35" s="6" t="s">
        <v>191</v>
      </c>
      <c r="D35" s="7" t="s">
        <v>62</v>
      </c>
      <c r="E35" s="6" t="s">
        <v>63</v>
      </c>
      <c r="F35" s="7" t="s">
        <v>26</v>
      </c>
      <c r="G35" s="8" t="s">
        <v>204</v>
      </c>
      <c r="H35" s="8" t="s">
        <v>205</v>
      </c>
      <c r="I35" s="9"/>
      <c r="J35" s="9"/>
      <c r="K35" s="9"/>
      <c r="L35" s="9"/>
      <c r="M35" s="9"/>
      <c r="N35" s="10" t="s">
        <v>32</v>
      </c>
      <c r="O35" s="9"/>
      <c r="P35" s="11"/>
      <c r="Q35" s="9"/>
      <c r="R35" s="12" t="str">
        <f aca="false">IF(AND(N35="Corregir",LEN(TRIM(O35))=0),"Falta el texto corregido",IF(AND(OR(N35="Coincide",N35="Corregir"),LEN(TRIM(I35))=0),"Falta citar la fuente",IF(AND(N35="No figura en la fuente",LEN(TRIM(Q35))=0),"Explica dónde buscaste",IF(AND(N35&lt;&gt;"Pendiente",P35=""),"Falta la fecha",""))))</f>
        <v/>
      </c>
      <c r="S35" s="10"/>
      <c r="T35" s="13" t="s">
        <v>206</v>
      </c>
    </row>
    <row r="36" customFormat="false" ht="91.5" hidden="false" customHeight="true" outlineLevel="0" collapsed="false">
      <c r="A36" s="4" t="n">
        <v>33</v>
      </c>
      <c r="B36" s="5" t="s">
        <v>207</v>
      </c>
      <c r="C36" s="6" t="s">
        <v>191</v>
      </c>
      <c r="D36" s="7" t="s">
        <v>62</v>
      </c>
      <c r="E36" s="6" t="s">
        <v>98</v>
      </c>
      <c r="F36" s="7" t="s">
        <v>26</v>
      </c>
      <c r="G36" s="8" t="s">
        <v>208</v>
      </c>
      <c r="H36" s="8" t="s">
        <v>209</v>
      </c>
      <c r="I36" s="9"/>
      <c r="J36" s="9"/>
      <c r="K36" s="9"/>
      <c r="L36" s="9"/>
      <c r="M36" s="9"/>
      <c r="N36" s="10" t="s">
        <v>32</v>
      </c>
      <c r="O36" s="9"/>
      <c r="P36" s="11"/>
      <c r="Q36" s="9"/>
      <c r="R36" s="12" t="str">
        <f aca="false">IF(AND(N36="Corregir",LEN(TRIM(O36))=0),"Falta el texto corregido",IF(AND(OR(N36="Coincide",N36="Corregir"),LEN(TRIM(I36))=0),"Falta citar la fuente",IF(AND(N36="No figura en la fuente",LEN(TRIM(Q36))=0),"Explica dónde buscaste",IF(AND(N36&lt;&gt;"Pendiente",P36=""),"Falta la fecha",""))))</f>
        <v/>
      </c>
      <c r="S36" s="10"/>
      <c r="T36" s="13" t="s">
        <v>210</v>
      </c>
    </row>
    <row r="37" customFormat="false" ht="91.5" hidden="false" customHeight="true" outlineLevel="0" collapsed="false">
      <c r="A37" s="4" t="n">
        <v>34</v>
      </c>
      <c r="B37" s="5" t="s">
        <v>211</v>
      </c>
      <c r="C37" s="6" t="s">
        <v>212</v>
      </c>
      <c r="D37" s="7" t="s">
        <v>24</v>
      </c>
      <c r="E37" s="6" t="s">
        <v>63</v>
      </c>
      <c r="F37" s="7" t="s">
        <v>26</v>
      </c>
      <c r="G37" s="8" t="s">
        <v>213</v>
      </c>
      <c r="H37" s="8" t="s">
        <v>214</v>
      </c>
      <c r="I37" s="9"/>
      <c r="J37" s="9"/>
      <c r="K37" s="9"/>
      <c r="L37" s="9"/>
      <c r="M37" s="9"/>
      <c r="N37" s="10" t="s">
        <v>32</v>
      </c>
      <c r="O37" s="9"/>
      <c r="P37" s="11"/>
      <c r="Q37" s="9"/>
      <c r="R37" s="12" t="str">
        <f aca="false">IF(AND(N37="Corregir",LEN(TRIM(O37))=0),"Falta el texto corregido",IF(AND(OR(N37="Coincide",N37="Corregir"),LEN(TRIM(I37))=0),"Falta citar la fuente",IF(AND(N37="No figura en la fuente",LEN(TRIM(Q37))=0),"Explica dónde buscaste",IF(AND(N37&lt;&gt;"Pendiente",P37=""),"Falta la fecha",""))))</f>
        <v/>
      </c>
      <c r="S37" s="10"/>
      <c r="T37" s="13" t="s">
        <v>215</v>
      </c>
    </row>
    <row r="38" customFormat="false" ht="91.5" hidden="false" customHeight="true" outlineLevel="0" collapsed="false">
      <c r="A38" s="4" t="n">
        <v>35</v>
      </c>
      <c r="B38" s="5" t="s">
        <v>216</v>
      </c>
      <c r="C38" s="6" t="s">
        <v>212</v>
      </c>
      <c r="D38" s="7" t="s">
        <v>62</v>
      </c>
      <c r="E38" s="6" t="s">
        <v>98</v>
      </c>
      <c r="F38" s="7" t="s">
        <v>26</v>
      </c>
      <c r="G38" s="8" t="s">
        <v>217</v>
      </c>
      <c r="H38" s="8" t="s">
        <v>218</v>
      </c>
      <c r="I38" s="9"/>
      <c r="J38" s="9"/>
      <c r="K38" s="9"/>
      <c r="L38" s="9"/>
      <c r="M38" s="9"/>
      <c r="N38" s="10" t="s">
        <v>32</v>
      </c>
      <c r="O38" s="9"/>
      <c r="P38" s="11"/>
      <c r="Q38" s="9"/>
      <c r="R38" s="12" t="str">
        <f aca="false">IF(AND(N38="Corregir",LEN(TRIM(O38))=0),"Falta el texto corregido",IF(AND(OR(N38="Coincide",N38="Corregir"),LEN(TRIM(I38))=0),"Falta citar la fuente",IF(AND(N38="No figura en la fuente",LEN(TRIM(Q38))=0),"Explica dónde buscaste",IF(AND(N38&lt;&gt;"Pendiente",P38=""),"Falta la fecha",""))))</f>
        <v/>
      </c>
      <c r="S38" s="10"/>
      <c r="T38" s="13"/>
    </row>
    <row r="39" customFormat="false" ht="91.5" hidden="false" customHeight="true" outlineLevel="0" collapsed="false">
      <c r="A39" s="4" t="n">
        <v>36</v>
      </c>
      <c r="B39" s="5" t="s">
        <v>219</v>
      </c>
      <c r="C39" s="6" t="s">
        <v>212</v>
      </c>
      <c r="D39" s="7" t="s">
        <v>62</v>
      </c>
      <c r="E39" s="6" t="s">
        <v>98</v>
      </c>
      <c r="F39" s="7" t="s">
        <v>26</v>
      </c>
      <c r="G39" s="8" t="s">
        <v>220</v>
      </c>
      <c r="H39" s="8" t="s">
        <v>221</v>
      </c>
      <c r="I39" s="9" t="s">
        <v>222</v>
      </c>
      <c r="J39" s="9"/>
      <c r="K39" s="9"/>
      <c r="L39" s="9"/>
      <c r="M39" s="9" t="s">
        <v>223</v>
      </c>
      <c r="N39" s="10" t="s">
        <v>103</v>
      </c>
      <c r="O39" s="9" t="s">
        <v>224</v>
      </c>
      <c r="P39" s="11" t="n">
        <v>46300</v>
      </c>
      <c r="Q39" s="9" t="s">
        <v>225</v>
      </c>
      <c r="R39" s="12" t="str">
        <f aca="false">IF(AND(N39="Corregir",LEN(TRIM(O39))=0),"Falta el texto corregido",IF(AND(OR(N39="Coincide",N39="Corregir"),LEN(TRIM(I39))=0),"Falta citar la fuente",IF(AND(N39="No figura en la fuente",LEN(TRIM(Q39))=0),"Explica dónde buscaste",IF(AND(N39&lt;&gt;"Pendiente",P39=""),"Falta la fecha",""))))</f>
        <v/>
      </c>
      <c r="S39" s="10"/>
      <c r="T39" s="13"/>
    </row>
    <row r="40" customFormat="false" ht="91.5" hidden="false" customHeight="true" outlineLevel="0" collapsed="false">
      <c r="A40" s="4" t="n">
        <v>37</v>
      </c>
      <c r="B40" s="5" t="s">
        <v>226</v>
      </c>
      <c r="C40" s="6" t="s">
        <v>212</v>
      </c>
      <c r="D40" s="7" t="s">
        <v>62</v>
      </c>
      <c r="E40" s="6" t="s">
        <v>63</v>
      </c>
      <c r="F40" s="7" t="s">
        <v>26</v>
      </c>
      <c r="G40" s="8" t="s">
        <v>227</v>
      </c>
      <c r="H40" s="8" t="s">
        <v>228</v>
      </c>
      <c r="I40" s="9"/>
      <c r="J40" s="9"/>
      <c r="K40" s="9"/>
      <c r="L40" s="9"/>
      <c r="M40" s="9"/>
      <c r="N40" s="10" t="s">
        <v>32</v>
      </c>
      <c r="O40" s="9"/>
      <c r="P40" s="11"/>
      <c r="Q40" s="9"/>
      <c r="R40" s="12" t="str">
        <f aca="false">IF(AND(N40="Corregir",LEN(TRIM(O40))=0),"Falta el texto corregido",IF(AND(OR(N40="Coincide",N40="Corregir"),LEN(TRIM(I40))=0),"Falta citar la fuente",IF(AND(N40="No figura en la fuente",LEN(TRIM(Q40))=0),"Explica dónde buscaste",IF(AND(N40&lt;&gt;"Pendiente",P40=""),"Falta la fecha",""))))</f>
        <v/>
      </c>
      <c r="S40" s="10"/>
      <c r="T40" s="13" t="s">
        <v>229</v>
      </c>
    </row>
    <row r="41" customFormat="false" ht="91.5" hidden="false" customHeight="true" outlineLevel="0" collapsed="false">
      <c r="A41" s="4" t="n">
        <v>38</v>
      </c>
      <c r="B41" s="5" t="s">
        <v>230</v>
      </c>
      <c r="C41" s="6" t="s">
        <v>212</v>
      </c>
      <c r="D41" s="7" t="s">
        <v>62</v>
      </c>
      <c r="E41" s="6" t="s">
        <v>98</v>
      </c>
      <c r="F41" s="7" t="s">
        <v>26</v>
      </c>
      <c r="G41" s="8" t="s">
        <v>231</v>
      </c>
      <c r="H41" s="8" t="s">
        <v>232</v>
      </c>
      <c r="I41" s="9"/>
      <c r="J41" s="9"/>
      <c r="K41" s="9"/>
      <c r="L41" s="9"/>
      <c r="M41" s="9"/>
      <c r="N41" s="10" t="s">
        <v>32</v>
      </c>
      <c r="O41" s="9"/>
      <c r="P41" s="11"/>
      <c r="Q41" s="9"/>
      <c r="R41" s="12" t="str">
        <f aca="false">IF(AND(N41="Corregir",LEN(TRIM(O41))=0),"Falta el texto corregido",IF(AND(OR(N41="Coincide",N41="Corregir"),LEN(TRIM(I41))=0),"Falta citar la fuente",IF(AND(N41="No figura en la fuente",LEN(TRIM(Q41))=0),"Explica dónde buscaste",IF(AND(N41&lt;&gt;"Pendiente",P41=""),"Falta la fecha",""))))</f>
        <v/>
      </c>
      <c r="S41" s="10"/>
      <c r="T41" s="13"/>
    </row>
    <row r="42" customFormat="false" ht="91.5" hidden="false" customHeight="true" outlineLevel="0" collapsed="false">
      <c r="A42" s="4" t="n">
        <v>39</v>
      </c>
      <c r="B42" s="5" t="s">
        <v>233</v>
      </c>
      <c r="C42" s="6" t="s">
        <v>234</v>
      </c>
      <c r="D42" s="7" t="s">
        <v>62</v>
      </c>
      <c r="E42" s="6" t="s">
        <v>98</v>
      </c>
      <c r="F42" s="7" t="s">
        <v>26</v>
      </c>
      <c r="G42" s="8" t="s">
        <v>235</v>
      </c>
      <c r="H42" s="8" t="s">
        <v>236</v>
      </c>
      <c r="I42" s="9" t="s">
        <v>237</v>
      </c>
      <c r="J42" s="9"/>
      <c r="K42" s="9"/>
      <c r="L42" s="9"/>
      <c r="M42" s="9" t="s">
        <v>238</v>
      </c>
      <c r="N42" s="10" t="s">
        <v>103</v>
      </c>
      <c r="O42" s="9" t="s">
        <v>239</v>
      </c>
      <c r="P42" s="11" t="n">
        <v>46300</v>
      </c>
      <c r="Q42" s="9" t="s">
        <v>240</v>
      </c>
      <c r="R42" s="12" t="str">
        <f aca="false">IF(AND(N42="Corregir",LEN(TRIM(O42))=0),"Falta el texto corregido",IF(AND(OR(N42="Coincide",N42="Corregir"),LEN(TRIM(I42))=0),"Falta citar la fuente",IF(AND(N42="No figura en la fuente",LEN(TRIM(Q42))=0),"Explica dónde buscaste",IF(AND(N42&lt;&gt;"Pendiente",P42=""),"Falta la fecha",""))))</f>
        <v/>
      </c>
      <c r="S42" s="10"/>
      <c r="T42" s="13"/>
    </row>
    <row r="43" customFormat="false" ht="91.5" hidden="false" customHeight="true" outlineLevel="0" collapsed="false">
      <c r="A43" s="4" t="n">
        <v>40</v>
      </c>
      <c r="B43" s="5" t="s">
        <v>241</v>
      </c>
      <c r="C43" s="6" t="s">
        <v>234</v>
      </c>
      <c r="D43" s="7" t="s">
        <v>62</v>
      </c>
      <c r="E43" s="6" t="s">
        <v>98</v>
      </c>
      <c r="F43" s="7" t="s">
        <v>26</v>
      </c>
      <c r="G43" s="8" t="s">
        <v>242</v>
      </c>
      <c r="H43" s="8" t="s">
        <v>243</v>
      </c>
      <c r="I43" s="9" t="s">
        <v>237</v>
      </c>
      <c r="J43" s="9"/>
      <c r="K43" s="9"/>
      <c r="L43" s="9"/>
      <c r="M43" s="9" t="s">
        <v>244</v>
      </c>
      <c r="N43" s="10" t="s">
        <v>103</v>
      </c>
      <c r="O43" s="9" t="s">
        <v>245</v>
      </c>
      <c r="P43" s="11" t="n">
        <v>46300</v>
      </c>
      <c r="Q43" s="9" t="s">
        <v>246</v>
      </c>
      <c r="R43" s="12" t="str">
        <f aca="false">IF(AND(N43="Corregir",LEN(TRIM(O43))=0),"Falta el texto corregido",IF(AND(OR(N43="Coincide",N43="Corregir"),LEN(TRIM(I43))=0),"Falta citar la fuente",IF(AND(N43="No figura en la fuente",LEN(TRIM(Q43))=0),"Explica dónde buscaste",IF(AND(N43&lt;&gt;"Pendiente",P43=""),"Falta la fecha",""))))</f>
        <v/>
      </c>
      <c r="S43" s="10"/>
      <c r="T43" s="13"/>
    </row>
    <row r="44" customFormat="false" ht="91.5" hidden="false" customHeight="true" outlineLevel="0" collapsed="false">
      <c r="A44" s="4" t="n">
        <v>41</v>
      </c>
      <c r="B44" s="5" t="s">
        <v>247</v>
      </c>
      <c r="C44" s="6" t="s">
        <v>234</v>
      </c>
      <c r="D44" s="7" t="s">
        <v>24</v>
      </c>
      <c r="E44" s="6" t="s">
        <v>25</v>
      </c>
      <c r="F44" s="7" t="s">
        <v>145</v>
      </c>
      <c r="G44" s="8" t="s">
        <v>248</v>
      </c>
      <c r="H44" s="8" t="s">
        <v>249</v>
      </c>
      <c r="I44" s="9"/>
      <c r="J44" s="9"/>
      <c r="K44" s="9"/>
      <c r="L44" s="9"/>
      <c r="M44" s="9"/>
      <c r="N44" s="10" t="s">
        <v>32</v>
      </c>
      <c r="O44" s="9"/>
      <c r="P44" s="11"/>
      <c r="Q44" s="9"/>
      <c r="R44" s="12" t="str">
        <f aca="false">IF(AND(N44="Corregir",LEN(TRIM(O44))=0),"Falta el texto corregido",IF(AND(OR(N44="Coincide",N44="Corregir"),LEN(TRIM(I44))=0),"Falta citar la fuente",IF(AND(N44="No figura en la fuente",LEN(TRIM(Q44))=0),"Explica dónde buscaste",IF(AND(N44&lt;&gt;"Pendiente",P44=""),"Falta la fecha",""))))</f>
        <v/>
      </c>
      <c r="S44" s="10"/>
      <c r="T44" s="13" t="s">
        <v>250</v>
      </c>
    </row>
    <row r="45" customFormat="false" ht="91.5" hidden="false" customHeight="true" outlineLevel="0" collapsed="false">
      <c r="A45" s="4" t="n">
        <v>42</v>
      </c>
      <c r="B45" s="5" t="s">
        <v>251</v>
      </c>
      <c r="C45" s="6" t="s">
        <v>234</v>
      </c>
      <c r="D45" s="7" t="s">
        <v>24</v>
      </c>
      <c r="E45" s="6" t="s">
        <v>25</v>
      </c>
      <c r="F45" s="7" t="s">
        <v>145</v>
      </c>
      <c r="G45" s="8" t="s">
        <v>252</v>
      </c>
      <c r="H45" s="8" t="s">
        <v>253</v>
      </c>
      <c r="I45" s="9"/>
      <c r="J45" s="9"/>
      <c r="K45" s="9"/>
      <c r="L45" s="9"/>
      <c r="M45" s="9"/>
      <c r="N45" s="10" t="s">
        <v>32</v>
      </c>
      <c r="O45" s="9"/>
      <c r="P45" s="11"/>
      <c r="Q45" s="9"/>
      <c r="R45" s="12" t="str">
        <f aca="false">IF(AND(N45="Corregir",LEN(TRIM(O45))=0),"Falta el texto corregido",IF(AND(OR(N45="Coincide",N45="Corregir"),LEN(TRIM(I45))=0),"Falta citar la fuente",IF(AND(N45="No figura en la fuente",LEN(TRIM(Q45))=0),"Explica dónde buscaste",IF(AND(N45&lt;&gt;"Pendiente",P45=""),"Falta la fecha",""))))</f>
        <v/>
      </c>
      <c r="S45" s="10"/>
      <c r="T45" s="13" t="s">
        <v>254</v>
      </c>
    </row>
    <row r="46" customFormat="false" ht="91.5" hidden="false" customHeight="true" outlineLevel="0" collapsed="false">
      <c r="A46" s="4" t="n">
        <v>43</v>
      </c>
      <c r="B46" s="5" t="s">
        <v>255</v>
      </c>
      <c r="C46" s="6" t="s">
        <v>234</v>
      </c>
      <c r="D46" s="7" t="s">
        <v>62</v>
      </c>
      <c r="E46" s="6" t="s">
        <v>98</v>
      </c>
      <c r="F46" s="7" t="s">
        <v>26</v>
      </c>
      <c r="G46" s="8" t="s">
        <v>256</v>
      </c>
      <c r="H46" s="8" t="s">
        <v>257</v>
      </c>
      <c r="I46" s="9" t="s">
        <v>237</v>
      </c>
      <c r="J46" s="9"/>
      <c r="K46" s="9"/>
      <c r="L46" s="9"/>
      <c r="M46" s="9" t="s">
        <v>258</v>
      </c>
      <c r="N46" s="10" t="s">
        <v>103</v>
      </c>
      <c r="O46" s="9" t="s">
        <v>259</v>
      </c>
      <c r="P46" s="11" t="n">
        <v>46300</v>
      </c>
      <c r="Q46" s="9" t="s">
        <v>260</v>
      </c>
      <c r="R46" s="12" t="str">
        <f aca="false">IF(AND(N46="Corregir",LEN(TRIM(O46))=0),"Falta el texto corregido",IF(AND(OR(N46="Coincide",N46="Corregir"),LEN(TRIM(I46))=0),"Falta citar la fuente",IF(AND(N46="No figura en la fuente",LEN(TRIM(Q46))=0),"Explica dónde buscaste",IF(AND(N46&lt;&gt;"Pendiente",P46=""),"Falta la fecha",""))))</f>
        <v/>
      </c>
      <c r="S46" s="10"/>
      <c r="T46" s="13"/>
    </row>
    <row r="47" customFormat="false" ht="91.5" hidden="false" customHeight="true" outlineLevel="0" collapsed="false">
      <c r="A47" s="4" t="n">
        <v>44</v>
      </c>
      <c r="B47" s="5" t="s">
        <v>261</v>
      </c>
      <c r="C47" s="6" t="s">
        <v>234</v>
      </c>
      <c r="D47" s="7" t="s">
        <v>62</v>
      </c>
      <c r="E47" s="6" t="s">
        <v>98</v>
      </c>
      <c r="F47" s="7" t="s">
        <v>26</v>
      </c>
      <c r="G47" s="8" t="s">
        <v>262</v>
      </c>
      <c r="H47" s="8" t="s">
        <v>263</v>
      </c>
      <c r="I47" s="9" t="s">
        <v>264</v>
      </c>
      <c r="J47" s="9"/>
      <c r="K47" s="9"/>
      <c r="L47" s="9"/>
      <c r="M47" s="9" t="s">
        <v>265</v>
      </c>
      <c r="N47" s="10" t="s">
        <v>103</v>
      </c>
      <c r="O47" s="9" t="s">
        <v>266</v>
      </c>
      <c r="P47" s="11" t="n">
        <v>46300</v>
      </c>
      <c r="Q47" s="9" t="s">
        <v>267</v>
      </c>
      <c r="R47" s="12" t="str">
        <f aca="false">IF(AND(N47="Corregir",LEN(TRIM(O47))=0),"Falta el texto corregido",IF(AND(OR(N47="Coincide",N47="Corregir"),LEN(TRIM(I47))=0),"Falta citar la fuente",IF(AND(N47="No figura en la fuente",LEN(TRIM(Q47))=0),"Explica dónde buscaste",IF(AND(N47&lt;&gt;"Pendiente",P47=""),"Falta la fecha",""))))</f>
        <v/>
      </c>
      <c r="S47" s="10"/>
      <c r="T47" s="13"/>
    </row>
  </sheetData>
  <autoFilter ref="A3:T47"/>
  <mergeCells count="1">
    <mergeCell ref="A2:T2"/>
  </mergeCells>
  <conditionalFormatting sqref="N4:N47">
    <cfRule type="cellIs" priority="2" operator="equal" aboveAverage="0" equalAverage="0" bottom="0" percent="0" rank="0" text="" dxfId="6">
      <formula>"Coincide"</formula>
    </cfRule>
    <cfRule type="cellIs" priority="3" operator="equal" aboveAverage="0" equalAverage="0" bottom="0" percent="0" rank="0" text="" dxfId="7">
      <formula>"Corregir"</formula>
    </cfRule>
    <cfRule type="cellIs" priority="4" operator="equal" aboveAverage="0" equalAverage="0" bottom="0" percent="0" rank="0" text="" dxfId="8">
      <formula>"No figura en la fuente"</formula>
    </cfRule>
  </conditionalFormatting>
  <conditionalFormatting sqref="R4:R47">
    <cfRule type="expression" priority="5" aboveAverage="0" equalAverage="0" bottom="0" percent="0" rank="0" text="" dxfId="8">
      <formula>LEN($R4)&gt;0</formula>
    </cfRule>
  </conditionalFormatting>
  <dataValidations count="3">
    <dataValidation allowBlank="false" error="Elige un valor de la lista." errorStyle="stop" errorTitle="Resultado" operator="between" showDropDown="false" showErrorMessage="true" showInputMessage="false" sqref="N4:N47" type="list">
      <formula1>Parametros!$A$4:$A$7</formula1>
      <formula2>0</formula2>
    </dataValidation>
    <dataValidation allowBlank="true" error="Escribe una fecha válida." errorStyle="stop" errorTitle="Fecha" operator="greaterThan" showDropDown="false" showErrorMessage="true" showInputMessage="false" sqref="P4:P47" type="date">
      <formula1>36526</formula1>
      <formula2>0</formula2>
    </dataValidation>
    <dataValidation allowBlank="true" error="Elige Sí o No." errorStyle="stop" errorTitle="Confirmación" operator="between" showDropDown="false" showErrorMessage="true" showInputMessage="false" sqref="S4:S47"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62"/>
  </cols>
  <sheetData>
    <row r="1" customFormat="false" ht="17.35" hidden="false" customHeight="false" outlineLevel="0" collapsed="false">
      <c r="A1" s="1" t="s">
        <v>268</v>
      </c>
    </row>
    <row r="2" customFormat="false" ht="15" hidden="false" customHeight="false" outlineLevel="0" collapsed="false">
      <c r="A2" s="14" t="s">
        <v>269</v>
      </c>
    </row>
    <row r="4" customFormat="false" ht="15" hidden="false" customHeight="false" outlineLevel="0" collapsed="false">
      <c r="A4" s="15" t="s">
        <v>270</v>
      </c>
      <c r="B4" s="16"/>
      <c r="C4" s="16"/>
    </row>
    <row r="5" customFormat="false" ht="21.75" hidden="false" customHeight="true" outlineLevel="0" collapsed="false">
      <c r="A5" s="12" t="s">
        <v>271</v>
      </c>
      <c r="B5" s="17" t="n">
        <f aca="false">COUNTA(Verificacion!$B$4:$B$47)</f>
        <v>44</v>
      </c>
      <c r="C5" s="18"/>
    </row>
    <row r="6" customFormat="false" ht="21.75" hidden="false" customHeight="true" outlineLevel="0" collapsed="false">
      <c r="A6" s="12" t="s">
        <v>32</v>
      </c>
      <c r="B6" s="17" t="n">
        <f aca="false">COUNTIF(Verificacion!$N$4:$N$47,"Pendiente")</f>
        <v>34</v>
      </c>
      <c r="C6" s="18"/>
    </row>
    <row r="7" customFormat="false" ht="21.75" hidden="false" customHeight="true" outlineLevel="0" collapsed="false">
      <c r="A7" s="12" t="s">
        <v>272</v>
      </c>
      <c r="B7" s="17" t="n">
        <f aca="false">COUNTIF(Verificacion!$N$4:$N$47,"Coincide")</f>
        <v>0</v>
      </c>
      <c r="C7" s="18"/>
    </row>
    <row r="8" customFormat="false" ht="21.75" hidden="false" customHeight="true" outlineLevel="0" collapsed="false">
      <c r="A8" s="12" t="s">
        <v>103</v>
      </c>
      <c r="B8" s="17" t="n">
        <f aca="false">COUNTIF(Verificacion!$N$4:$N$47,"Corregir")</f>
        <v>10</v>
      </c>
      <c r="C8" s="18"/>
    </row>
    <row r="9" customFormat="false" ht="21.75" hidden="false" customHeight="true" outlineLevel="0" collapsed="false">
      <c r="A9" s="12" t="s">
        <v>273</v>
      </c>
      <c r="B9" s="17" t="n">
        <f aca="false">COUNTIF(Verificacion!$N$4:$N$47,"No figura en la fuente")</f>
        <v>0</v>
      </c>
      <c r="C9" s="18"/>
    </row>
    <row r="10" customFormat="false" ht="21.75" hidden="false" customHeight="true" outlineLevel="0" collapsed="false">
      <c r="A10" s="12" t="s">
        <v>274</v>
      </c>
      <c r="B10" s="4" t="n">
        <f aca="false">B5-B6</f>
        <v>10</v>
      </c>
      <c r="C10" s="18" t="s">
        <v>275</v>
      </c>
    </row>
    <row r="11" customFormat="false" ht="21.75" hidden="false" customHeight="true" outlineLevel="0" collapsed="false">
      <c r="A11" s="12" t="s">
        <v>276</v>
      </c>
      <c r="B11" s="19" t="n">
        <f aca="false">IF(B5=0,"",B10/B5)</f>
        <v>0.227272727272727</v>
      </c>
      <c r="C11" s="18"/>
    </row>
    <row r="12" customFormat="false" ht="21.75" hidden="false" customHeight="true" outlineLevel="0" collapsed="false">
      <c r="A12" s="12" t="s">
        <v>277</v>
      </c>
      <c r="B12" s="17" t="n">
        <f aca="false">COUNTIF(Verificacion!$S$4:$S$47,"Sí")</f>
        <v>0</v>
      </c>
      <c r="C12" s="18" t="s">
        <v>278</v>
      </c>
    </row>
    <row r="13" customFormat="false" ht="15" hidden="false" customHeight="false" outlineLevel="0" collapsed="false">
      <c r="A13" s="15" t="s">
        <v>279</v>
      </c>
      <c r="B13" s="16"/>
      <c r="C13" s="16"/>
    </row>
    <row r="14" customFormat="false" ht="21.75" hidden="false" customHeight="true" outlineLevel="0" collapsed="false">
      <c r="A14" s="12" t="s">
        <v>280</v>
      </c>
      <c r="B14" s="17" t="n">
        <f aca="false">COUNTIFS(Verificacion!$D$4:$D$47,"Alta",Verificacion!$N$4:$N$47,"Pendiente")</f>
        <v>23</v>
      </c>
      <c r="C14" s="18" t="s">
        <v>281</v>
      </c>
    </row>
    <row r="15" customFormat="false" ht="21.75" hidden="false" customHeight="true" outlineLevel="0" collapsed="false">
      <c r="A15" s="12" t="s">
        <v>282</v>
      </c>
      <c r="B15" s="17" t="n">
        <f aca="false">COUNTIFS(Verificacion!$D$4:$D$47,"Media",Verificacion!$N$4:$N$47,"Pendiente")</f>
        <v>11</v>
      </c>
      <c r="C15" s="18" t="s">
        <v>283</v>
      </c>
    </row>
    <row r="17" customFormat="false" ht="15" hidden="false" customHeight="false" outlineLevel="0" collapsed="false">
      <c r="A17" s="15" t="s">
        <v>284</v>
      </c>
      <c r="B17" s="16"/>
      <c r="C17" s="16"/>
    </row>
    <row r="18" customFormat="false" ht="21.75" hidden="false" customHeight="true" outlineLevel="0" collapsed="false">
      <c r="A18" s="12" t="s">
        <v>285</v>
      </c>
      <c r="B18" s="17" t="n">
        <f aca="false">COUNTIF(Verificacion!$R$4:$R$47,"?*")</f>
        <v>0</v>
      </c>
      <c r="C18" s="18" t="s">
        <v>286</v>
      </c>
    </row>
    <row r="19" customFormat="false" ht="21.75" hidden="false" customHeight="true" outlineLevel="0" collapsed="false">
      <c r="A19" s="12" t="s">
        <v>287</v>
      </c>
      <c r="B19" s="17" t="n">
        <f aca="false">COUNTIF(Verificacion!$F$4:$F$47,"Sí")</f>
        <v>40</v>
      </c>
      <c r="C19" s="18" t="s">
        <v>288</v>
      </c>
    </row>
    <row r="20" customFormat="false" ht="21.75" hidden="false" customHeight="true" outlineLevel="0" collapsed="false">
      <c r="A20" s="12" t="s">
        <v>289</v>
      </c>
      <c r="B20" s="17" t="n">
        <f aca="false">COUNTIFS(Verificacion!$N$4:$N$47,"Corregir",Verificacion!$S$4:$S$47,"&lt;&gt;Sí")+COUNTIFS(Verificacion!$N$4:$N$47,"Coincide",Verificacion!$S$4:$S$47,"&lt;&gt;Sí")</f>
        <v>10</v>
      </c>
      <c r="C20" s="18" t="s">
        <v>290</v>
      </c>
    </row>
    <row r="21" customFormat="false" ht="30" hidden="false" customHeight="true" outlineLevel="0" collapsed="false">
      <c r="A21" s="5" t="s">
        <v>291</v>
      </c>
      <c r="B21" s="20" t="str">
        <f aca="false">IF(AND(B6=0,B18=0,B20=0),"Listo para actualizar domain.yml","Aún no")</f>
        <v>Aún no</v>
      </c>
    </row>
    <row r="23" customFormat="false" ht="15" hidden="false" customHeight="false" outlineLevel="0" collapsed="false">
      <c r="A23" s="15" t="s">
        <v>292</v>
      </c>
      <c r="B23" s="16"/>
      <c r="C23" s="16"/>
    </row>
    <row r="24" customFormat="false" ht="15" hidden="false" customHeight="false" outlineLevel="0" collapsed="false">
      <c r="A24" s="12" t="s">
        <v>23</v>
      </c>
      <c r="B24" s="17" t="str">
        <f aca="false">COUNTIFS(Verificacion!$C$4:$C$47,A24,Verificacion!$N$4:$N$47,"Pendiente")&amp;" / "&amp;COUNTIF(Verificacion!$C$4:$C$47,A24)</f>
        <v>6 / 6</v>
      </c>
    </row>
    <row r="25" customFormat="false" ht="15" hidden="false" customHeight="false" outlineLevel="0" collapsed="false">
      <c r="A25" s="12" t="s">
        <v>61</v>
      </c>
      <c r="B25" s="17" t="str">
        <f aca="false">COUNTIFS(Verificacion!$C$4:$C$47,A25,Verificacion!$N$4:$N$47,"Pendiente")&amp;" / "&amp;COUNTIF(Verificacion!$C$4:$C$47,A25)</f>
        <v>6 / 6</v>
      </c>
    </row>
    <row r="26" customFormat="false" ht="15" hidden="false" customHeight="false" outlineLevel="0" collapsed="false">
      <c r="A26" s="12" t="s">
        <v>89</v>
      </c>
      <c r="B26" s="17" t="str">
        <f aca="false">COUNTIFS(Verificacion!$C$4:$C$47,A26,Verificacion!$N$4:$N$47,"Pendiente")&amp;" / "&amp;COUNTIF(Verificacion!$C$4:$C$47,A26)</f>
        <v>4 / 6</v>
      </c>
    </row>
    <row r="27" customFormat="false" ht="15" hidden="false" customHeight="false" outlineLevel="0" collapsed="false">
      <c r="A27" s="12" t="s">
        <v>126</v>
      </c>
      <c r="B27" s="17" t="str">
        <f aca="false">COUNTIFS(Verificacion!$C$4:$C$47,A27,Verificacion!$N$4:$N$47,"Pendiente")&amp;" / "&amp;COUNTIF(Verificacion!$C$4:$C$47,A27)</f>
        <v>3 / 5</v>
      </c>
    </row>
    <row r="28" customFormat="false" ht="15" hidden="false" customHeight="false" outlineLevel="0" collapsed="false">
      <c r="A28" s="12" t="s">
        <v>158</v>
      </c>
      <c r="B28" s="17" t="str">
        <f aca="false">COUNTIFS(Verificacion!$C$4:$C$47,A28,Verificacion!$N$4:$N$47,"Pendiente")&amp;" / "&amp;COUNTIF(Verificacion!$C$4:$C$47,A28)</f>
        <v>4 / 5</v>
      </c>
    </row>
    <row r="29" customFormat="false" ht="15" hidden="false" customHeight="false" outlineLevel="0" collapsed="false">
      <c r="A29" s="12" t="s">
        <v>191</v>
      </c>
      <c r="B29" s="17" t="str">
        <f aca="false">COUNTIFS(Verificacion!$C$4:$C$47,A29,Verificacion!$N$4:$N$47,"Pendiente")&amp;" / "&amp;COUNTIF(Verificacion!$C$4:$C$47,A29)</f>
        <v>5 / 5</v>
      </c>
    </row>
    <row r="30" customFormat="false" ht="15" hidden="false" customHeight="false" outlineLevel="0" collapsed="false">
      <c r="A30" s="12" t="s">
        <v>212</v>
      </c>
      <c r="B30" s="17" t="str">
        <f aca="false">COUNTIFS(Verificacion!$C$4:$C$47,A30,Verificacion!$N$4:$N$47,"Pendiente")&amp;" / "&amp;COUNTIF(Verificacion!$C$4:$C$47,A30)</f>
        <v>4 / 5</v>
      </c>
    </row>
    <row r="31" customFormat="false" ht="15" hidden="false" customHeight="false" outlineLevel="0" collapsed="false">
      <c r="A31" s="12" t="s">
        <v>234</v>
      </c>
      <c r="B31" s="17" t="str">
        <f aca="false">COUNTIFS(Verificacion!$C$4:$C$47,A31,Verificacion!$N$4:$N$47,"Pendiente")&amp;" / "&amp;COUNTIF(Verificacion!$C$4:$C$47,A31)</f>
        <v>2 / 6</v>
      </c>
    </row>
  </sheetData>
  <conditionalFormatting sqref="B21">
    <cfRule type="cellIs" priority="2" operator="equal" aboveAverage="0" equalAverage="0" bottom="0" percent="0" rank="0" text="" dxfId="6">
      <formula>"Listo para actualizar domain.yml"</formula>
    </cfRule>
    <cfRule type="cellIs" priority="3" operator="equal" aboveAverage="0" equalAverage="0" bottom="0" percent="0" rank="0" text="" dxfId="7">
      <formula>"Aún no"</formula>
    </cfRule>
  </conditionalFormatting>
  <conditionalFormatting sqref="B18">
    <cfRule type="cellIs" priority="4" operator="greaterThan" aboveAverage="0" equalAverage="0" bottom="0" percent="0" rank="0" text="" dxfId="8">
      <formula>0</formula>
    </cfRule>
  </conditionalFormatting>
  <conditionalFormatting sqref="B20">
    <cfRule type="cellIs" priority="5" operator="greaterThan" aboveAverage="0" equalAverage="0" bottom="0" percent="0" rank="0" text="" dxfId="7">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62"/>
    <col collapsed="false" customWidth="true" hidden="false" outlineLevel="0" max="3" min="3" style="0" width="58"/>
    <col collapsed="false" customWidth="true" hidden="false" outlineLevel="0" max="4" min="4" style="0" width="44"/>
  </cols>
  <sheetData>
    <row r="1" customFormat="false" ht="17.35" hidden="false" customHeight="false" outlineLevel="0" collapsed="false">
      <c r="A1" s="1" t="s">
        <v>293</v>
      </c>
    </row>
    <row r="2" customFormat="false" ht="30" hidden="false" customHeight="true" outlineLevel="0" collapsed="false">
      <c r="A2" s="2" t="s">
        <v>294</v>
      </c>
      <c r="B2" s="2"/>
      <c r="C2" s="2"/>
      <c r="D2" s="2"/>
    </row>
    <row r="3" customFormat="false" ht="30" hidden="false" customHeight="true" outlineLevel="0" collapsed="false">
      <c r="A3" s="3" t="s">
        <v>295</v>
      </c>
      <c r="B3" s="3" t="s">
        <v>296</v>
      </c>
      <c r="C3" s="3" t="s">
        <v>297</v>
      </c>
      <c r="D3" s="3" t="s">
        <v>298</v>
      </c>
    </row>
    <row r="4" customFormat="false" ht="57.75" hidden="false" customHeight="true" outlineLevel="0" collapsed="false">
      <c r="A4" s="21" t="s">
        <v>299</v>
      </c>
      <c r="B4" s="22" t="s">
        <v>300</v>
      </c>
      <c r="C4" s="8" t="s">
        <v>301</v>
      </c>
      <c r="D4" s="8" t="s">
        <v>302</v>
      </c>
    </row>
    <row r="5" customFormat="false" ht="57.75" hidden="false" customHeight="true" outlineLevel="0" collapsed="false">
      <c r="A5" s="21" t="s">
        <v>303</v>
      </c>
      <c r="B5" s="22" t="s">
        <v>304</v>
      </c>
      <c r="C5" s="8" t="s">
        <v>305</v>
      </c>
      <c r="D5" s="8" t="s">
        <v>306</v>
      </c>
    </row>
    <row r="6" customFormat="false" ht="57.75" hidden="false" customHeight="true" outlineLevel="0" collapsed="false">
      <c r="A6" s="21" t="s">
        <v>307</v>
      </c>
      <c r="B6" s="22" t="s">
        <v>308</v>
      </c>
      <c r="C6" s="8" t="s">
        <v>309</v>
      </c>
      <c r="D6" s="8"/>
    </row>
    <row r="7" customFormat="false" ht="57.75" hidden="false" customHeight="true" outlineLevel="0" collapsed="false">
      <c r="A7" s="21" t="s">
        <v>310</v>
      </c>
      <c r="B7" s="22" t="s">
        <v>311</v>
      </c>
      <c r="C7" s="8" t="s">
        <v>312</v>
      </c>
      <c r="D7" s="8" t="s">
        <v>313</v>
      </c>
    </row>
    <row r="8" customFormat="false" ht="57.75" hidden="false" customHeight="true" outlineLevel="0" collapsed="false">
      <c r="A8" s="21" t="s">
        <v>314</v>
      </c>
      <c r="B8" s="22" t="s">
        <v>315</v>
      </c>
      <c r="C8" s="8" t="s">
        <v>316</v>
      </c>
      <c r="D8" s="8" t="s">
        <v>317</v>
      </c>
    </row>
    <row r="9" customFormat="false" ht="57.75" hidden="false" customHeight="true" outlineLevel="0" collapsed="false">
      <c r="A9" s="21" t="s">
        <v>318</v>
      </c>
      <c r="B9" s="22" t="s">
        <v>319</v>
      </c>
      <c r="C9" s="8" t="s">
        <v>320</v>
      </c>
      <c r="D9" s="8" t="s">
        <v>321</v>
      </c>
    </row>
    <row r="10" customFormat="false" ht="57.75" hidden="false" customHeight="true" outlineLevel="0" collapsed="false">
      <c r="A10" s="21" t="s">
        <v>322</v>
      </c>
      <c r="B10" s="22" t="s">
        <v>323</v>
      </c>
      <c r="C10" s="8" t="s">
        <v>324</v>
      </c>
      <c r="D10" s="8" t="s">
        <v>325</v>
      </c>
    </row>
    <row r="11" customFormat="false" ht="57.75" hidden="false" customHeight="true" outlineLevel="0" collapsed="false">
      <c r="A11" s="21" t="s">
        <v>326</v>
      </c>
      <c r="B11" s="22" t="s">
        <v>327</v>
      </c>
      <c r="C11" s="8" t="s">
        <v>328</v>
      </c>
      <c r="D11" s="8" t="s">
        <v>329</v>
      </c>
    </row>
    <row r="12" customFormat="false" ht="57.75" hidden="false" customHeight="true" outlineLevel="0" collapsed="false">
      <c r="A12" s="21" t="s">
        <v>330</v>
      </c>
      <c r="B12" s="22" t="s">
        <v>331</v>
      </c>
      <c r="C12" s="8" t="s">
        <v>332</v>
      </c>
      <c r="D12" s="8" t="s">
        <v>333</v>
      </c>
    </row>
    <row r="13" customFormat="false" ht="57.75" hidden="false" customHeight="true" outlineLevel="0" collapsed="false">
      <c r="A13" s="21" t="s">
        <v>334</v>
      </c>
      <c r="B13" s="22" t="s">
        <v>335</v>
      </c>
      <c r="C13" s="8" t="s">
        <v>336</v>
      </c>
      <c r="D13" s="8" t="s">
        <v>337</v>
      </c>
    </row>
    <row r="14" customFormat="false" ht="57.75" hidden="false" customHeight="true" outlineLevel="0" collapsed="false">
      <c r="A14" s="21" t="s">
        <v>338</v>
      </c>
      <c r="B14" s="22" t="s">
        <v>339</v>
      </c>
      <c r="C14" s="8" t="s">
        <v>340</v>
      </c>
      <c r="D14" s="8" t="s">
        <v>341</v>
      </c>
    </row>
    <row r="15" customFormat="false" ht="57.75" hidden="false" customHeight="true" outlineLevel="0" collapsed="false">
      <c r="A15" s="21" t="s">
        <v>342</v>
      </c>
      <c r="B15" s="22" t="s">
        <v>343</v>
      </c>
      <c r="C15" s="8" t="s">
        <v>344</v>
      </c>
      <c r="D15" s="8" t="s">
        <v>345</v>
      </c>
    </row>
    <row r="16" customFormat="false" ht="57.75" hidden="false" customHeight="true" outlineLevel="0" collapsed="false">
      <c r="A16" s="21" t="s">
        <v>346</v>
      </c>
      <c r="B16" s="22" t="s">
        <v>347</v>
      </c>
      <c r="C16" s="8" t="s">
        <v>348</v>
      </c>
      <c r="D16" s="8" t="s">
        <v>349</v>
      </c>
    </row>
    <row r="17" customFormat="false" ht="57.75" hidden="false" customHeight="true" outlineLevel="0" collapsed="false">
      <c r="A17" s="21" t="s">
        <v>350</v>
      </c>
      <c r="B17" s="22" t="s">
        <v>351</v>
      </c>
      <c r="C17" s="8" t="s">
        <v>352</v>
      </c>
      <c r="D17" s="8" t="s">
        <v>353</v>
      </c>
    </row>
  </sheetData>
  <mergeCells count="1">
    <mergeCell ref="A2:D2"/>
  </mergeCells>
  <hyperlinks>
    <hyperlink ref="B4" r:id="rId1" display="https://www.gob.pe/institucion/munisanroman/informes-publicaciones/7272473"/>
    <hyperlink ref="B5" r:id="rId2" display="https://www.gob.pe/institucion/munisanroman/normas-legales/7495467-011-2025-mpsr-j-a"/>
    <hyperlink ref="B6" r:id="rId3" display="https://cdn.www.gob.pe/uploads/document/file/9134774/7495467-decreto-de-alcaldia-n-011-2025-mpsr-j-a.PDF"/>
    <hyperlink ref="B7" r:id="rId4" display="https://www.gob.pe/institucion/munisanroman/normas-legales"/>
    <hyperlink ref="B8" r:id="rId5" display="https://www.gob.pe/munisanroman"/>
    <hyperlink ref="B9" r:id="rId6" display="https://www.gob.pe/institucion/munisanroman/informes-publicaciones/4275606-texto-unico-de-procedimientos-administrativos-tupa-2023-con-procedimientos-estandarizados"/>
    <hyperlink ref="B10" r:id="rId7" display="https://www.gob.pe/institucion/munisanroman/sedes"/>
    <hyperlink ref="B11" r:id="rId8" display="https://munisanroman.gob.pe/web/contactos/"/>
    <hyperlink ref="B12" r:id="rId9" display="https://www.gob.pe/17146-solicitar-partida-de-nacimiento-en-san-roman-juliaca"/>
    <hyperlink ref="B13" r:id="rId10" display="https://www.gob.pe/51225-solicitar-una-partida-de-nacimiento-en-la-municipalidad?child=80860"/>
    <hyperlink ref="B14" r:id="rId11" display="https://www.gob.pe/21525-obtener-acta-de-defuncion?child=17256"/>
    <hyperlink ref="B15" r:id="rId12" display="https://pachamamaradio.org/san-roman-implementa-licencias-de-funcionamiento-digitales-a-partir-del-20-de-agosto/"/>
    <hyperlink ref="B16" r:id="rId13" display="https://cdn.www.gob.pe/uploads/document/file/5763090/5119677-resolucion-gerencial-n-013-2024-mpsr-j-gemu.PDF"/>
    <hyperlink ref="B17" r:id="rId14" display="https://www.mpv.mpsr.pe/"/>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s>
  <sheetData>
    <row r="1" customFormat="false" ht="17.35" hidden="false" customHeight="false" outlineLevel="0" collapsed="false">
      <c r="A1" s="1" t="s">
        <v>354</v>
      </c>
    </row>
    <row r="3" customFormat="false" ht="24" hidden="false" customHeight="true" outlineLevel="0" collapsed="false">
      <c r="A3" s="3" t="s">
        <v>15</v>
      </c>
      <c r="B3" s="3" t="s">
        <v>355</v>
      </c>
    </row>
    <row r="4" customFormat="false" ht="15" hidden="false" customHeight="false" outlineLevel="0" collapsed="false">
      <c r="A4" s="23" t="s">
        <v>32</v>
      </c>
      <c r="B4" s="6" t="s">
        <v>356</v>
      </c>
    </row>
    <row r="5" customFormat="false" ht="15" hidden="false" customHeight="false" outlineLevel="0" collapsed="false">
      <c r="A5" s="23" t="s">
        <v>272</v>
      </c>
      <c r="B5" s="6" t="s">
        <v>357</v>
      </c>
    </row>
    <row r="6" customFormat="false" ht="15" hidden="false" customHeight="false" outlineLevel="0" collapsed="false">
      <c r="A6" s="23" t="s">
        <v>103</v>
      </c>
      <c r="B6" s="6" t="s">
        <v>358</v>
      </c>
    </row>
    <row r="7" customFormat="false" ht="15" hidden="false" customHeight="false" outlineLevel="0" collapsed="false">
      <c r="A7" s="23" t="s">
        <v>273</v>
      </c>
      <c r="B7" s="6" t="s">
        <v>359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5"/>
  </cols>
  <sheetData>
    <row r="1" customFormat="false" ht="17.35" hidden="false" customHeight="false" outlineLevel="0" collapsed="false">
      <c r="A1" s="24" t="s">
        <v>360</v>
      </c>
    </row>
    <row r="2" customFormat="false" ht="15" hidden="false" customHeight="false" outlineLevel="0" collapsed="false">
      <c r="A2" s="25"/>
    </row>
    <row r="3" customFormat="false" ht="15" hidden="false" customHeight="false" outlineLevel="0" collapsed="false">
      <c r="A3" s="26" t="s">
        <v>361</v>
      </c>
    </row>
    <row r="4" customFormat="false" ht="15" hidden="false" customHeight="false" outlineLevel="0" collapsed="false">
      <c r="A4" s="25" t="s">
        <v>362</v>
      </c>
    </row>
    <row r="5" customFormat="false" ht="23.85" hidden="false" customHeight="false" outlineLevel="0" collapsed="false">
      <c r="A5" s="25" t="s">
        <v>363</v>
      </c>
    </row>
    <row r="6" customFormat="false" ht="23.85" hidden="false" customHeight="false" outlineLevel="0" collapsed="false">
      <c r="A6" s="25" t="s">
        <v>364</v>
      </c>
    </row>
    <row r="7" customFormat="false" ht="15" hidden="false" customHeight="false" outlineLevel="0" collapsed="false">
      <c r="A7" s="25" t="s">
        <v>365</v>
      </c>
    </row>
    <row r="8" customFormat="false" ht="23.85" hidden="false" customHeight="false" outlineLevel="0" collapsed="false">
      <c r="A8" s="25" t="s">
        <v>366</v>
      </c>
    </row>
    <row r="9" customFormat="false" ht="23.85" hidden="false" customHeight="false" outlineLevel="0" collapsed="false">
      <c r="A9" s="25" t="s">
        <v>367</v>
      </c>
    </row>
    <row r="10" customFormat="false" ht="15" hidden="false" customHeight="false" outlineLevel="0" collapsed="false">
      <c r="A10" s="25"/>
    </row>
    <row r="11" customFormat="false" ht="15" hidden="false" customHeight="false" outlineLevel="0" collapsed="false">
      <c r="A11" s="26" t="s">
        <v>368</v>
      </c>
    </row>
    <row r="12" customFormat="false" ht="23.85" hidden="false" customHeight="false" outlineLevel="0" collapsed="false">
      <c r="A12" s="25" t="s">
        <v>369</v>
      </c>
    </row>
    <row r="13" customFormat="false" ht="15" hidden="false" customHeight="false" outlineLevel="0" collapsed="false">
      <c r="A13" s="25" t="s">
        <v>370</v>
      </c>
    </row>
    <row r="14" customFormat="false" ht="15" hidden="false" customHeight="false" outlineLevel="0" collapsed="false">
      <c r="A14" s="25" t="s">
        <v>371</v>
      </c>
    </row>
    <row r="15" customFormat="false" ht="23.85" hidden="false" customHeight="false" outlineLevel="0" collapsed="false">
      <c r="A15" s="25" t="s">
        <v>372</v>
      </c>
    </row>
    <row r="16" customFormat="false" ht="23.85" hidden="false" customHeight="false" outlineLevel="0" collapsed="false">
      <c r="A16" s="25" t="s">
        <v>373</v>
      </c>
    </row>
    <row r="17" customFormat="false" ht="15" hidden="false" customHeight="false" outlineLevel="0" collapsed="false">
      <c r="A17" s="25"/>
    </row>
    <row r="18" customFormat="false" ht="15" hidden="false" customHeight="false" outlineLevel="0" collapsed="false">
      <c r="A18" s="26" t="s">
        <v>374</v>
      </c>
    </row>
    <row r="19" customFormat="false" ht="23.85" hidden="false" customHeight="false" outlineLevel="0" collapsed="false">
      <c r="A19" s="25" t="s">
        <v>375</v>
      </c>
    </row>
    <row r="20" customFormat="false" ht="23.85" hidden="false" customHeight="false" outlineLevel="0" collapsed="false">
      <c r="A20" s="25" t="s">
        <v>376</v>
      </c>
    </row>
    <row r="21" customFormat="false" ht="23.85" hidden="false" customHeight="false" outlineLevel="0" collapsed="false">
      <c r="A21" s="25" t="s">
        <v>377</v>
      </c>
    </row>
    <row r="22" customFormat="false" ht="15" hidden="false" customHeight="false" outlineLevel="0" collapsed="false">
      <c r="A22" s="25" t="s">
        <v>378</v>
      </c>
    </row>
    <row r="23" customFormat="false" ht="23.85" hidden="false" customHeight="false" outlineLevel="0" collapsed="false">
      <c r="A23" s="25" t="s">
        <v>379</v>
      </c>
    </row>
    <row r="24" customFormat="false" ht="15" hidden="false" customHeight="false" outlineLevel="0" collapsed="false">
      <c r="A24" s="25" t="s">
        <v>380</v>
      </c>
    </row>
    <row r="25" customFormat="false" ht="15" hidden="false" customHeight="false" outlineLevel="0" collapsed="false">
      <c r="A25" s="25"/>
    </row>
    <row r="26" customFormat="false" ht="15" hidden="false" customHeight="false" outlineLevel="0" collapsed="false">
      <c r="A26" s="26" t="s">
        <v>381</v>
      </c>
    </row>
    <row r="27" customFormat="false" ht="23.85" hidden="false" customHeight="false" outlineLevel="0" collapsed="false">
      <c r="A27" s="25" t="s">
        <v>382</v>
      </c>
    </row>
    <row r="28" customFormat="false" ht="23.85" hidden="false" customHeight="false" outlineLevel="0" collapsed="false">
      <c r="A28" s="25" t="s">
        <v>383</v>
      </c>
    </row>
    <row r="29" customFormat="false" ht="15" hidden="false" customHeight="false" outlineLevel="0" collapsed="false">
      <c r="A29" s="25" t="s">
        <v>384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2026-10-05T14:33:18Z</dcterms:created>
  <dc:creator>openpyxl</dc:creator>
  <dc:description/>
  <dc:language>en-US</dc:language>
  <cp:lastModifiedBy/>
  <dcterms:modified xsi:type="dcterms:W3CDTF">2026-10-05T14:33:18Z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