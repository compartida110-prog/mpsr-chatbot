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cacion" sheetId="1" state="visible" r:id="rId3"/>
    <sheet name="Resumen" sheetId="2" state="visible" r:id="rId4"/>
    <sheet name="Fuentes" sheetId="3" state="visible" r:id="rId5"/>
    <sheet name="Parametros" sheetId="4" state="visible" r:id="rId6"/>
    <sheet name="Notas" sheetId="5" state="visible" r:id="rId7"/>
  </sheets>
  <definedNames>
    <definedName function="false" hidden="true" localSheetId="0" name="_xlnm._FilterDatabase" vbProcedure="false">Verificacion!$A$3:$S$47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<sst xmlns="http://schemas.openxmlformats.org/spreadsheetml/2006/main" count="574" uniqueCount="348">
  <si>
    <t xml:space="preserve">Verificación de las respuestas del chatbot contra el TUPA y otras fuentes oficiales</t>
  </si>
  <si>
    <t xml:space="preserve">Una fila por respuesta de trámite (44). Compara la respuesta actual con la fuente oficial y llena las celdas amarillas. Si no encuentras el dato, marca «No figura en la fuente» y explica dónde buscaste. No escribas datos de memoria: cada dato lleva su fuente.</t>
  </si>
  <si>
    <t xml:space="preserve">#</t>
  </si>
  <si>
    <t xml:space="preserve">Intención</t>
  </si>
  <si>
    <t xml:space="preserve">Categoría</t>
  </si>
  <si>
    <t xml:space="preserve">Prioridad</t>
  </si>
  <si>
    <t xml:space="preserve">Fuente probable</t>
  </si>
  <si>
    <t xml:space="preserve">Marcada [Verificar] en el repositorio</t>
  </si>
  <si>
    <t xml:space="preserve">Respuesta actual (texto base, sin la marca)</t>
  </si>
  <si>
    <t xml:space="preserve">Datos a comprobar</t>
  </si>
  <si>
    <t xml:space="preserve">Procedimiento o documento en la fuente (nombre, código y página)</t>
  </si>
  <si>
    <t xml:space="preserve">Requisitos según la fuente</t>
  </si>
  <si>
    <t xml:space="preserve">Costo según la fuente</t>
  </si>
  <si>
    <t xml:space="preserve">Plazo según la fuente</t>
  </si>
  <si>
    <t xml:space="preserve">Oficina y canal según la fuente</t>
  </si>
  <si>
    <t xml:space="preserve">Resultado</t>
  </si>
  <si>
    <t xml:space="preserve">Texto corregido para domain.yml</t>
  </si>
  <si>
    <t xml:space="preserve">Fecha de verificación</t>
  </si>
  <si>
    <t xml:space="preserve">Observaciones</t>
  </si>
  <si>
    <t xml:space="preserve">Alerta</t>
  </si>
  <si>
    <t xml:space="preserve">Confirmado por el tesista</t>
  </si>
  <si>
    <t xml:space="preserve">licencia_funcionamiento_requisitos</t>
  </si>
  <si>
    <t xml:space="preserve">Licencias y autorizaciones</t>
  </si>
  <si>
    <t xml:space="preserve">Alta</t>
  </si>
  <si>
    <t xml:space="preserve">TUPA</t>
  </si>
  <si>
    <t xml:space="preserve">Sí</t>
  </si>
  <si>
    <t xml:space="preserve">Para la licencia de funcionamiento necesitas: copia de tu DNI, el certificado de compatibilidad de uso, el certificado de Defensa Civil (ITSE) y el recibo de pago de la tasa correspondiente.</t>
  </si>
  <si>
    <t xml:space="preserve">Lista exacta de requisitos y documentos; si exige certificado de compatibilidad de uso e ITSE; cambia según nivel de riesgo.</t>
  </si>
  <si>
    <t xml:space="preserve">Nota de prensa (no oficial): https://pachamamaradio.org/san-roman-implementa-licencias-de-funcionamiento-digitales-a-partir-del-20-de-agosto/</t>
  </si>
  <si>
    <t xml:space="preserve">Sin lista: la nota dice que los requisitos mantienen las mismas condiciones. Desde el 20 de agosto (2025) la licencia es digital, con código QR y firma electrónica.</t>
  </si>
  <si>
    <t xml:space="preserve">Subgerencia de Fomento a la Inversión Privada (según la nota).</t>
  </si>
  <si>
    <t xml:space="preserve">Pendiente</t>
  </si>
  <si>
    <t xml:space="preserve">Búsqueda asistida (5/10/2026). Fuente de prensa. Falta la lista de requisitos en el TUPA 2025. Si se confirma, conviene mencionar que la licencia se entrega en formato digital.</t>
  </si>
  <si>
    <t xml:space="preserve">licencia_funcionamiento_costo</t>
  </si>
  <si>
    <t xml:space="preserve">El costo de la licencia de funcionamiento depende del giro del negocio y del área del local. Puedes consultar el monto exacto en el TUPA de la MPSR o acercarte a la Plataforma de Atención.</t>
  </si>
  <si>
    <t xml:space="preserve">Derecho de tramitación (en soles o % de la UIT); si varía por giro, área o nivel de riesgo.</t>
  </si>
  <si>
    <t xml:space="preserve">Sin monto: «los costos permanecen inalterados según el TUPA vigente».</t>
  </si>
  <si>
    <t xml:space="preserve">Búsqueda asistida (5/10/2026). Fuente de prensa. Falta el derecho de tramitación en el TUPA 2025 (buscar «licencia de funcionamiento»).</t>
  </si>
  <si>
    <t xml:space="preserve">licencia_funcionamiento_plazo</t>
  </si>
  <si>
    <t xml:space="preserve">El trámite de licencia de funcionamiento suele atenderse en un plazo de 10 a 15 días hábiles, según la complejidad del giro del negocio.</t>
  </si>
  <si>
    <t xml:space="preserve">Plazo en días hábiles; tipo de silencio administrativo.</t>
  </si>
  <si>
    <t xml:space="preserve">licencia_edificacion_requisitos</t>
  </si>
  <si>
    <t xml:space="preserve">Para la licencia de edificación necesitas: título de propiedad o documento que acredite posesión, planos de arquitectura firmados por un profesional colegiado, y el pago de la tasa correspondiente.</t>
  </si>
  <si>
    <t xml:space="preserve">Requisitos por modalidad de aprobación (A, B, C, D); documentos técnicos; profesionales que firman.</t>
  </si>
  <si>
    <t xml:space="preserve">licencia_edificacion_costo</t>
  </si>
  <si>
    <t xml:space="preserve">El costo de la licencia de edificación varía según el tipo y tamaño de la obra. Puedes consultar el monto exacto en el TUPA de la MPSR.</t>
  </si>
  <si>
    <t xml:space="preserve">Derecho de tramitación por modalidad y por metraje o valor de la obra.</t>
  </si>
  <si>
    <t xml:space="preserve">renovacion_licencia</t>
  </si>
  <si>
    <t xml:space="preserve">Para renovar tu licencia de funcionamiento debes presentar tu licencia anterior, DNI vigente y el pago de la tasa de renovación. El trámite se realiza en la Plataforma de Atención.</t>
  </si>
  <si>
    <t xml:space="preserve">Si el TUPA contempla renovación o solo licencias indefinidas y temporales; requisitos, tasa y plazo.</t>
  </si>
  <si>
    <t xml:space="preserve">Nota de prensa (no oficial): https://pachamamaradio.org/san-roman-implementa-licencias-de-funcionamiento-digitales-a-partir-del-20-de-agosto/ ; licencia de 2023 en Studocu (no oficial)</t>
  </si>
  <si>
    <t xml:space="preserve">La nota dice que las licencias digitales tienen validez de un año; una licencia de 2023 dice «vigencia permanente».</t>
  </si>
  <si>
    <t xml:space="preserve">Búsqueda asistida (5/10/2026). Posible corrección importante: si la licencia dura un año, la renovación existe; si es permanente, la respuesta actual puede estar equivocada. Confirmar en el TUPA y con la Subgerencia de Fomento a la Inversión Privada.</t>
  </si>
  <si>
    <t xml:space="preserve">consulta_deuda_predial</t>
  </si>
  <si>
    <t xml:space="preserve">Tributos y pagos municipales</t>
  </si>
  <si>
    <t xml:space="preserve">Media</t>
  </si>
  <si>
    <t xml:space="preserve">TUPA o portal</t>
  </si>
  <si>
    <t xml:space="preserve">Puedes consultar tu deuda de impuesto predial presentando tu DNI en la Plataforma de Atención, o a través del número de tu autoavalúo si lo tienes a la mano.</t>
  </si>
  <si>
    <t xml:space="preserve">Canal para consultar la deuda (ventanilla, web o sistema); documentos o datos que piden.</t>
  </si>
  <si>
    <t xml:space="preserve">pago_predial_como</t>
  </si>
  <si>
    <t xml:space="preserve">Norma tributaria u ordenanza</t>
  </si>
  <si>
    <t xml:space="preserve">El impuesto predial se puede pagar en caja de la municipalidad o en los bancos autorizados que tengan convenio con la MPSR.</t>
  </si>
  <si>
    <t xml:space="preserve">Canales de pago (caja, bancos con convenio, web); fechas de vencimiento de las cuotas.</t>
  </si>
  <si>
    <t xml:space="preserve">pago_arbitrios</t>
  </si>
  <si>
    <t xml:space="preserve">Los arbitrios municipales (limpieza pública, parques y jardines, serenazgo) se pagan junto con el impuesto predial o de forma independiente en caja de la municipalidad.</t>
  </si>
  <si>
    <t xml:space="preserve">Si se cobran junto con el predial; periodicidad; canales de pago; ordenanza de arbitrios vigente.</t>
  </si>
  <si>
    <t xml:space="preserve">impuesto_alcabala</t>
  </si>
  <si>
    <t xml:space="preserve">El impuesto de alcabala se paga cuando compras un inmueble, y corresponde al 3% del valor de transferencia (con un tramo inicial inafecto equivalente a 10 UIT). Se cancela dentro del mes siguiente a la compra.</t>
  </si>
  <si>
    <t xml:space="preserve">Tasa, monto inafecto (en UIT), plazo de pago y quién paga; documentos que se presentan.</t>
  </si>
  <si>
    <t xml:space="preserve">fraccionamiento_deuda</t>
  </si>
  <si>
    <t xml:space="preserve">Para fraccionar una deuda tributaria debes presentar una solicitud en mesa de partes, adjuntando tu DNI y el detalle de la deuda. La municipalidad evaluará una cuota inicial y un cronograma de pagos.</t>
  </si>
  <si>
    <t xml:space="preserve">Si existe como procedimiento; requisitos, cuota inicial, plazo máximo e intereses.</t>
  </si>
  <si>
    <t xml:space="preserve">constancia_no_adeudo</t>
  </si>
  <si>
    <t xml:space="preserve">La constancia de no adeudo se tramita presentando tu DNI en la Plataforma de Atención; se emite una vez verificado que no tienes deudas pendientes por impuesto predial o arbitrios.</t>
  </si>
  <si>
    <t xml:space="preserve">Requisitos, costo, plazo y área que la emite.</t>
  </si>
  <si>
    <t xml:space="preserve">requisitos_mesa_partes</t>
  </si>
  <si>
    <t xml:space="preserve">Trámites documentarios</t>
  </si>
  <si>
    <t xml:space="preserve">Para presentar un documento en mesa de partes necesitas tu solicitud (puede ser un formato simple), copia de tu DNI, y los anexos que sustenten tu pedido.</t>
  </si>
  <si>
    <t xml:space="preserve">Requisitos para presentar documentos; formato de solicitud; si hay mesa de partes virtual.</t>
  </si>
  <si>
    <t xml:space="preserve">Mesa de partes virtual (aviso posiblemente desactualizado): https://www.mpv.mpsr.pe/</t>
  </si>
  <si>
    <t xml:space="preserve">Según el aviso: documento redactado, firmado, escaneado y enviado en PDF. La mesa de partes virtual no atiende trámites de Registro Civil, Gerencia de Desarrollo Urbano ni Transportes.</t>
  </si>
  <si>
    <t xml:space="preserve">Correo sg_tramite_documentario@munisanroman.gob.pe (según el aviso).</t>
  </si>
  <si>
    <t xml:space="preserve">Búsqueda asistida (5/10/2026). El aviso cita el D.S. 044-2020-PCM (emergencia COVID): confirmar si sigue vigente. Los requisitos formales de mesa de partes están en el TUPA.</t>
  </si>
  <si>
    <t xml:space="preserve">estado_tramite</t>
  </si>
  <si>
    <t xml:space="preserve">Portal o directorio institucional</t>
  </si>
  <si>
    <t xml:space="preserve">Puedes consultar el estado de tu trámite presentando tu número de expediente en mesa de partes o en la Plataforma de Atención.</t>
  </si>
  <si>
    <t xml:space="preserve">Cómo se consulta el estado (número de expediente, sistema de seguimiento en línea).</t>
  </si>
  <si>
    <t xml:space="preserve">Portal MPSR-J en gob.pe (enlace «Seguimiento de trámites»): https://www.gob.pe/munisanroman</t>
  </si>
  <si>
    <t xml:space="preserve">Seguimiento de trámites en línea en gob.pe/munisanroman; mesa de partes.</t>
  </si>
  <si>
    <t xml:space="preserve">Corregir</t>
  </si>
  <si>
    <t xml:space="preserve">Puedes consultar el estado de tu trámite con tu número de expediente en la opción «Seguimiento de trámites» del portal de la MPSR en gob.pe (gob.pe/munisanroman) o en mesa de partes.</t>
  </si>
  <si>
    <t xml:space="preserve">Búsqueda asistida (5/10/2026). «Plataforma de Atención» no aparece en las fuentes oficiales vistas: confirmar si la MPSR usa ese nombre.</t>
  </si>
  <si>
    <t xml:space="preserve">horario_mesa_partes</t>
  </si>
  <si>
    <t xml:space="preserve">Mesa de partes atiende de lunes a viernes en el horario de oficina de la municipalidad.</t>
  </si>
  <si>
    <t xml:space="preserve">Horario vigente exacto de atención de mesa de partes.</t>
  </si>
  <si>
    <t xml:space="preserve">Sedes de la MPSR-J en gob.pe: https://www.gob.pe/institucion/munisanroman/sedes</t>
  </si>
  <si>
    <t xml:space="preserve">Horario de mesa de partes: lunes a viernes, 8:00 a. m. a 4:00 p. m. (Sedes en gob.pe). El aviso de mpv.mpsr.pe indica 9:00 a. m.–5:00 p. m. y parece desactualizado (cita el D.S. 044-2020-PCM).</t>
  </si>
  <si>
    <t xml:space="preserve">La mesa de partes atiende de lunes a viernes, de 8:00 a. m. a 4:00 p. m.</t>
  </si>
  <si>
    <t xml:space="preserve">Búsqueda asistida (5/10/2026). Confirmar aparte el horario de la mesa de partes virtual.</t>
  </si>
  <si>
    <t xml:space="preserve">copia_documento</t>
  </si>
  <si>
    <t xml:space="preserve">Para obtener una copia certificada de un documento presentado anteriormente, debes solicitarlo en mesa de partes indicando el número de expediente, y abonar la tasa correspondiente.</t>
  </si>
  <si>
    <t xml:space="preserve">Procedimiento de copia certificada o fedateada; requisitos, costo por folio y plazo.</t>
  </si>
  <si>
    <t xml:space="preserve">certificado_posesion</t>
  </si>
  <si>
    <t xml:space="preserve">El certificado de posesión se tramita presentando una declaración jurada, croquis del predio y documentos que acrediten la posesión pacífica del terreno.</t>
  </si>
  <si>
    <t xml:space="preserve">Requisitos, costo, plazo y área responsable.</t>
  </si>
  <si>
    <t xml:space="preserve">constancia_domiciliaria</t>
  </si>
  <si>
    <t xml:space="preserve">La constancia domiciliaria se tramita presentando tu DNI y un recibo de servicio (luz o agua) a tu nombre o de un familiar directo que viva contigo.</t>
  </si>
  <si>
    <t xml:space="preserve">Requisitos, costo y plazo; si la emite la MPSR u otra entidad.</t>
  </si>
  <si>
    <t xml:space="preserve">certificado_defensa_civil</t>
  </si>
  <si>
    <t xml:space="preserve">Defensa civil y seguridad ciudadana</t>
  </si>
  <si>
    <t xml:space="preserve">El certificado de Defensa Civil (ITSE) se tramita presentando el plano de distribución del local, el certificado de medidas de seguridad y el pago de la tasa correspondiente.</t>
  </si>
  <si>
    <t xml:space="preserve">Tipos de inspección (básica o detallada), requisitos, costo y plazo.</t>
  </si>
  <si>
    <t xml:space="preserve">Resolución Gerencial N.° 013-2024-MPSR-J/GEMU (caso concreto): https://cdn.www.gob.pe/uploads/document/file/5763090/5119677-resolucion-gerencial-n-013-2024-mpsr-j-gemu.PDF</t>
  </si>
  <si>
    <t xml:space="preserve">La ITSE previa a la licencia tiene vigencia de 2 años desde su expedición (resolución citada).</t>
  </si>
  <si>
    <t xml:space="preserve">Subgerencia de Gestión del Riesgo de Desastres.</t>
  </si>
  <si>
    <t xml:space="preserve">Búsqueda asistida (5/10/2026). Es un caso concreto: confirmar la regla general, los requisitos y el costo en el TUPA.</t>
  </si>
  <si>
    <t xml:space="preserve">inspeccion_tecnica</t>
  </si>
  <si>
    <t xml:space="preserve">Para solicitar una inspección técnica de seguridad (ITSE) debes presentar tu solicitud en mesa de partes; un inspector de Defensa Civil coordinará una visita al local.</t>
  </si>
  <si>
    <t xml:space="preserve">Cómo se solicita la ITSE, quién inspecciona, costo y plazos.</t>
  </si>
  <si>
    <t xml:space="preserve">La ITSE previa a la licencia tiene vigencia de 2 años desde su expedición (resolución citada, local de riesgo muy alto).</t>
  </si>
  <si>
    <t xml:space="preserve">Inspección acreditada por un inspector de INDECI y la Subgerencia de Gestión del Riesgo de Desastres.</t>
  </si>
  <si>
    <t xml:space="preserve">requisitos_defensa_civil</t>
  </si>
  <si>
    <t xml:space="preserve">Los requisitos de Defensa Civil incluyen: plano de distribución, certificado de medición eléctrica, extintores vigentes y señalización de seguridad, entre otros, según el tipo de establecimiento.</t>
  </si>
  <si>
    <t xml:space="preserve">Lista de requisitos según el nivel de riesgo.</t>
  </si>
  <si>
    <t xml:space="preserve">denuncia_seguridad_ciudadana</t>
  </si>
  <si>
    <t xml:space="preserve">No</t>
  </si>
  <si>
    <t xml:space="preserve">Para reportar un problema de seguridad ciudadana puedes comunicarte con serenazgo o acudir a la comisaría más cercana si se trata de una emergencia.</t>
  </si>
  <si>
    <t xml:space="preserve">Canal de denuncia (serenazgo, teléfono, aplicación) y número vigente.</t>
  </si>
  <si>
    <t xml:space="preserve">Página «Contactos» del portal: https://munisanroman.gob.pe/web/contactos/</t>
  </si>
  <si>
    <t xml:space="preserve">Serenazgo: (051) 329001, (051) 329002 y (051) 329003.</t>
  </si>
  <si>
    <t xml:space="preserve">Para reportar un problema de seguridad ciudadana puedes comunicarte con serenazgo de la MPSR al (051) 329001, (051) 329002 o (051) 329003, o acudir a la comisaría más cercana si se trata de una emergencia.</t>
  </si>
  <si>
    <t xml:space="preserve">Búsqueda asistida (5/10/2026). Esta respuesta no tenía marca [Verificar] en el repositorio. Confirmar que los números siguen activos.</t>
  </si>
  <si>
    <t xml:space="preserve">serenazgo_contacto</t>
  </si>
  <si>
    <t xml:space="preserve">Puedes comunicarte con serenazgo de la MPSR a través de su línea de atención.</t>
  </si>
  <si>
    <t xml:space="preserve">Número telefónico vigente de serenazgo y horario.</t>
  </si>
  <si>
    <t xml:space="preserve">Puedes comunicarte con serenazgo de la MPSR a los teléfonos (051) 329001, (051) 329002 o (051) 329003.</t>
  </si>
  <si>
    <t xml:space="preserve">Búsqueda asistida (5/10/2026). La página no muestra fecha: confirmar con una llamada de prueba que los números siguen activos.</t>
  </si>
  <si>
    <t xml:space="preserve">partida_nacimiento</t>
  </si>
  <si>
    <t xml:space="preserve">Registro civil</t>
  </si>
  <si>
    <t xml:space="preserve">Puedes solicitar una copia de tu partida de nacimiento en la oficina de Registro Civil, presentando tu DNI y abonando la tasa correspondiente.</t>
  </si>
  <si>
    <t xml:space="preserve">Requisitos, costo de la copia certificada y plazo; si se emite en la MPSR.</t>
  </si>
  <si>
    <t xml:space="preserve">gob.pe — «Solicitar partida de nacimiento en San Román - Juliaca»: https://www.gob.pe/17146-solicitar-partida-de-nacimiento-en-san-roman-juliaca ; variante con S/ 6.84: https://www.gob.pe/51225-solicitar-una-partida-de-nacimiento-en-la-municipalidad?child=80860</t>
  </si>
  <si>
    <t xml:space="preserve">Fecha de nacimiento; DNI del padre o madre que hace el trámite (opcional).</t>
  </si>
  <si>
    <t xml:space="preserve">S/ 6.66 (página 17146, la más antigua) o S/ 6.84 por copia certificada (página 51225): los montos difieren.</t>
  </si>
  <si>
    <t xml:space="preserve">Entrega inmediata.</t>
  </si>
  <si>
    <t xml:space="preserve">Caja de la municipalidad y Subgerencia de Registro Civil, Jr. Jáuregui 321; lunes a viernes, 8:30 a. m. a 1:00 p. m.</t>
  </si>
  <si>
    <t xml:space="preserve">Búsqueda asistida (5/10/2026). Falta confirmar el monto en el TUPA 2025 (Anexo 01). Texto propuesto, sin monto: «Puedes solicitar la copia de tu partida de nacimiento en la Subgerencia de Registro Civil (Jr. Jáuregui 321), de lunes a viernes de 8:30 a. m. a 1:00 p. m. Indica la fecha de nacimiento y paga la tasa en caja; la entrega es inmediata.»</t>
  </si>
  <si>
    <t xml:space="preserve">partida_matrimonio</t>
  </si>
  <si>
    <t xml:space="preserve">La partida de matrimonio se solicita en la oficina de Registro Civil, indicando los datos del matrimonio (fecha, nombres de los contrayentes) y presentando tu DNI.</t>
  </si>
  <si>
    <t xml:space="preserve">Requisitos, costo de la copia certificada y plazo.</t>
  </si>
  <si>
    <t xml:space="preserve">gob.pe lista el servicio «Solicitar copia de partida de matrimonio ante la Municipalidad Provincial de Juliaca» (https://www.gob.pe/institucion/munisanroman/tramites-y-servicios), pero no pude leer su contenido.</t>
  </si>
  <si>
    <t xml:space="preserve">Búsqueda asistida (5/10/2026). El monto de S/ 10.00 que apareció en una página genérica de gob.pe NO se pudo atribuir a la MPSR: no usarlo. Revisar el servicio de la MPSR y el TUPA.</t>
  </si>
  <si>
    <t xml:space="preserve">partida_defuncion</t>
  </si>
  <si>
    <t xml:space="preserve">Para inscribir o solicitar una partida de defunción debes presentar el certificado médico de defunción y el DNI del fallecido, en la oficina de Registro Civil.</t>
  </si>
  <si>
    <t xml:space="preserve">Diferencia entre inscribir y pedir copia; requisitos, costo y plazo.</t>
  </si>
  <si>
    <t xml:space="preserve">gob.pe — «Registrar una defunción en la municipalidad», variante con la Subgerencia de Registro Civil en Jr. Jáuregui 321: https://www.gob.pe/21525-obtener-acta-de-defuncion?child=17256</t>
  </si>
  <si>
    <t xml:space="preserve">Certificado de defunción emitido por un médico; DNI del fallecido y del declarante (si no hay DNI del fallecido, declaración jurada). Si la muerte fue violenta: parte policial.</t>
  </si>
  <si>
    <t xml:space="preserve">Gratuito (primera inscripción).</t>
  </si>
  <si>
    <t xml:space="preserve">Subgerencia de Registro Civil, Jr. Jáuregui 321; lunes a viernes, 8:30 a. m. a 1:00 p. m.; presencial.</t>
  </si>
  <si>
    <t xml:space="preserve">Para inscribir una defunción debes acudir a la Subgerencia de Registro Civil (Jr. Jáuregui 321), de lunes a viernes de 8:30 a. m. a 1:00 p. m., con el certificado de defunción emitido por un médico, tu DNI y el DNI del fallecido. Si la muerte fue violenta, lleva también el parte policial. La primera inscripción es gratuita.</t>
  </si>
  <si>
    <t xml:space="preserve">Búsqueda asistida (5/10/2026). La página es genérica de gob.pe pero trae la dirección y el horario de la MPSR; confirmar en el TUPA. No apareció el costo de una copia de partida de defunción ya inscrita.</t>
  </si>
  <si>
    <t xml:space="preserve">rectificacion_partida</t>
  </si>
  <si>
    <t xml:space="preserve">Para rectificar un dato en una partida debes presentar una solicitud en Registro Civil junto con los documentos que sustenten la corrección (DNI, partida original, entre otros).</t>
  </si>
  <si>
    <t xml:space="preserve">Si es administrativa o judicial; requisitos, costo y plazo.</t>
  </si>
  <si>
    <t xml:space="preserve">requisitos_matrimonio_civil</t>
  </si>
  <si>
    <t xml:space="preserve">Para matrimonio civil se requiere: DNI de ambos contrayentes, certificados de nacimiento actualizados, y en algunos casos certificado médico prenupcial.</t>
  </si>
  <si>
    <t xml:space="preserve">Requisitos, publicación de edictos, costo, plazo y fechas de celebración.</t>
  </si>
  <si>
    <t xml:space="preserve">horario_recojo_basura</t>
  </si>
  <si>
    <t xml:space="preserve">Servicios públicos</t>
  </si>
  <si>
    <t xml:space="preserve">El horario de recojo de basura varía según el sector de la ciudad. Puedes consultar el cronograma vigente en la municipalidad o en sus redes sociales.</t>
  </si>
  <si>
    <t xml:space="preserve">Cronograma por sector o ruta; canal oficial donde se publica.</t>
  </si>
  <si>
    <t xml:space="preserve">reporte_alumbrado_publico</t>
  </si>
  <si>
    <t xml:space="preserve">Para reportar una falla de alumbrado público puedes comunicarte con el área de Servicios Públicos de la MPSR, indicando la ubicación exacta del poste o farola.</t>
  </si>
  <si>
    <t xml:space="preserve">Canal de reporte (teléfono, WhatsApp o mesa de partes) y área responsable.</t>
  </si>
  <si>
    <t xml:space="preserve">mantenimiento_parques</t>
  </si>
  <si>
    <t xml:space="preserve">Puedes solicitar el mantenimiento de un parque presentando tu pedido en mesa de partes o comunicándote con el área de Servicios Públicos, indicando la ubicación del parque.</t>
  </si>
  <si>
    <t xml:space="preserve">Procedimiento para pedirlo (si figura como servicio); área responsable.</t>
  </si>
  <si>
    <t xml:space="preserve">poda_arboles</t>
  </si>
  <si>
    <t xml:space="preserve">La poda de árboles públicos se solicita ante el área de Servicios Públicos de la MPSR, indicando la ubicación exacta del árbol.</t>
  </si>
  <si>
    <t xml:space="preserve">Procedimiento, requisitos y costo si aplica; área responsable.</t>
  </si>
  <si>
    <t xml:space="preserve">limpieza_via_publica</t>
  </si>
  <si>
    <t xml:space="preserve">Para solicitar limpieza de una vía pública puedes comunicarte con el área de limpieza pública de la MPSR, indicando la calle y cuadra exacta.</t>
  </si>
  <si>
    <t xml:space="preserve">Canal y área responsable de limpieza pública.</t>
  </si>
  <si>
    <t xml:space="preserve">presentar_reclamo</t>
  </si>
  <si>
    <t xml:space="preserve">Reclamos y quejas</t>
  </si>
  <si>
    <t xml:space="preserve">Puedes presentar un reclamo en mesa de partes, mediante un escrito simple indicando los hechos y adjuntando tu DNI, o a través del libro de reclamaciones si corresponde.</t>
  </si>
  <si>
    <t xml:space="preserve">Procedimiento, formato, plazo de respuesta y canal virtual si existe.</t>
  </si>
  <si>
    <t xml:space="preserve">estado_reclamo</t>
  </si>
  <si>
    <t xml:space="preserve">El estado de tu reclamo puede consultarse en mesa de partes indicando tu número de expediente.</t>
  </si>
  <si>
    <t xml:space="preserve">Cómo consultar el estado de un reclamo.</t>
  </si>
  <si>
    <t xml:space="preserve">libro_reclamaciones</t>
  </si>
  <si>
    <t xml:space="preserve">El libro de reclamaciones está disponible en la Plataforma de Atención; también puede existir una versión virtual.</t>
  </si>
  <si>
    <t xml:space="preserve">Si existe libro de reclamaciones virtual, su enlace, y dónde está el físico.</t>
  </si>
  <si>
    <t xml:space="preserve">Portal MPSR-J en gob.pe (enlace «Libro de reclamaciones»): https://www.gob.pe/munisanroman ; portal https://munisanroman.gob.pe/web/ ; Resolución de Gerencia N.° 008-2023-MPSR-J/GSG, que menciona el Libro de Reclamaciones Digital: https://cdn.www.gob.pe/uploads/document/file/6752782/5855545-resolucion-de-gerencia-n-008-2023-mpsr-j-gsg.PDF</t>
  </si>
  <si>
    <t xml:space="preserve">Libro de reclamaciones digital, accesible desde el portal.</t>
  </si>
  <si>
    <t xml:space="preserve">La Municipalidad Provincial de San Román cuenta con un Libro de Reclamaciones virtual, al que puedes entrar desde su portal institucional o desde su página en gob.pe (gob.pe/munisanroman).</t>
  </si>
  <si>
    <t xml:space="preserve">Búsqueda asistida (5/10/2026). No encontré si además existe libro físico ni en qué oficina. Se quitó la mención a la «Plataforma de Atención» porque no aparece en ninguna fuente vista.</t>
  </si>
  <si>
    <t xml:space="preserve">queja_atencion</t>
  </si>
  <si>
    <t xml:space="preserve">Si tuviste un problema con la atención recibida, puedes presentar tu queja en mesa de partes o directamente en el libro de reclamaciones, detallando lo ocurrido.</t>
  </si>
  <si>
    <t xml:space="preserve">Procedimiento de queja y plazo de respuesta.</t>
  </si>
  <si>
    <t xml:space="preserve">sugerencia</t>
  </si>
  <si>
    <t xml:space="preserve">Puedes dejar tu sugerencia en mesa de partes mediante un documento simple, o a través de los canales de atención ciudadana de la MPSR.</t>
  </si>
  <si>
    <t xml:space="preserve">Canales para dejar sugerencias.</t>
  </si>
  <si>
    <t xml:space="preserve">horario_atencion_general</t>
  </si>
  <si>
    <t xml:space="preserve">Información general</t>
  </si>
  <si>
    <t xml:space="preserve">La Municipalidad Provincial de San Román atiende de lunes a viernes en horario de oficina.</t>
  </si>
  <si>
    <t xml:space="preserve">Horario vigente exacto de la municipalidad.</t>
  </si>
  <si>
    <t xml:space="preserve">Sedes de la MPSR-J en gob.pe: https://www.gob.pe/institucion/munisanroman/sedes y Página «Contactos» del portal: https://munisanroman.gob.pe/web/contactos/</t>
  </si>
  <si>
    <t xml:space="preserve">Sede Central: lunes a viernes, 8:00 a. m. a 4:00 p. m. (Sedes en gob.pe). La página «Contactos» indica 8:00 a. m.–1:00 p. m. y 2:00–4:00 p. m.</t>
  </si>
  <si>
    <t xml:space="preserve">La Municipalidad Provincial de San Román atiende de lunes a viernes, de 8:00 a. m. a 4:00 p. m. Algunas oficinas, como Registro Civil, tienen un horario distinto (8:30 a. m. a 1:00 p. m.).</t>
  </si>
  <si>
    <t xml:space="preserve">Búsqueda asistida (5/10/2026). Las dos fuentes oficiales difieren en si hay pausa de 1:00 a 2:00 p. m.: confirmar por teléfono. El horario de Registro Civil sale de las páginas de trámites en gob.pe.</t>
  </si>
  <si>
    <t xml:space="preserve">ubicacion_oficinas</t>
  </si>
  <si>
    <t xml:space="preserve">La Municipalidad Provincial de San Román se encuentra en la Plaza de Armas de Juliaca.</t>
  </si>
  <si>
    <t xml:space="preserve">Dirección exacta de la sede y de los anexos.</t>
  </si>
  <si>
    <t xml:space="preserve">Sede Central: Jr. Jáuregui 321, Plaza de Armas S/N, Juliaca.</t>
  </si>
  <si>
    <t xml:space="preserve">La Municipalidad Provincial de San Román está en el Jr. Jáuregui N.° 321, en la Plaza de Armas de Juliaca.</t>
  </si>
  <si>
    <t xml:space="preserve">Búsqueda asistida (5/10/2026). Un aviso antiguo de mesa de partes virtual menciona Jr. Jáuregui 293: se usó 321 (Sedes y Contactos). Si hay anexos o agencias, falta listarlos.</t>
  </si>
  <si>
    <t xml:space="preserve">requisitos_generales</t>
  </si>
  <si>
    <t xml:space="preserve">Para la mayoría de trámites municipales necesitarás presentar tu DNI vigente; algunos trámites piden además documentos adicionales según el caso.</t>
  </si>
  <si>
    <t xml:space="preserve">Si basta el DNI y cuándo se pide representación (carta poder u otros documentos).</t>
  </si>
  <si>
    <t xml:space="preserve">costos_generales</t>
  </si>
  <si>
    <t xml:space="preserve">Los costos de los trámites municipales están establecidos en el TUPA (Texto Único de Procedimientos Administrativos), disponible en la municipalidad.</t>
  </si>
  <si>
    <t xml:space="preserve">Cómo se expresan los derechos en el TUPA (soles o % de la UIT) y dónde se consultan.</t>
  </si>
  <si>
    <t xml:space="preserve">contacto_telefonico</t>
  </si>
  <si>
    <t xml:space="preserve">Puedes comunicarte con la Municipalidad Provincial de San Román a través de su central telefónica.</t>
  </si>
  <si>
    <t xml:space="preserve">Central telefónica vigente, correo y WhatsApp si existen.</t>
  </si>
  <si>
    <t xml:space="preserve">Central telefónica (051) 321201. Sede Central: Jr. Jáuregui 321, Plaza de Armas.</t>
  </si>
  <si>
    <t xml:space="preserve">Puedes comunicarte con la Municipalidad Provincial de San Román a través de su central telefónica: (051) 321201.</t>
  </si>
  <si>
    <t xml:space="preserve">Búsqueda asistida (5/10/2026). Dos fuentes oficiales coinciden en el número. Un aviso antiguo de mesa de partes virtual (mpv.mpsr.pe) menciona otro número (951 688201): confirmar llamando.</t>
  </si>
  <si>
    <t xml:space="preserve">redes_sociales_mpsr</t>
  </si>
  <si>
    <t xml:space="preserve">La Municipalidad Provincial de San Román publica información e trámites en su página web institucional y en sus redes sociales oficiales.</t>
  </si>
  <si>
    <t xml:space="preserve">Nombre y enlace de la página web y de las redes oficiales.</t>
  </si>
  <si>
    <t xml:space="preserve">Portal institucional https://munisanroman.gob.pe/web/ ; página en gob.pe https://www.gob.pe/munisanroman ; Facebook «Municipalidad Provincial de San Román - Juliaca»</t>
  </si>
  <si>
    <t xml:space="preserve">Portal, gob.pe y Facebook.</t>
  </si>
  <si>
    <t xml:space="preserve">La Municipalidad Provincial de San Román publica información sobre trámites en su portal institucional (munisanroman.gob.pe), en su página de gob.pe (gob.pe/munisanroman) y en su página de Facebook «Municipalidad Provincial de San Román - Juliaca».</t>
  </si>
  <si>
    <t xml:space="preserve">Búsqueda asistida (5/10/2026). Se corrigió también la redacción original («información e trámites»). Confirmar que son las cuentas oficiales vigentes. Un resultado menciona «muni_san_roman» (posible Instagram), sin confirmar.</t>
  </si>
  <si>
    <t xml:space="preserve">Resumen de la verificación</t>
  </si>
  <si>
    <t xml:space="preserve">Todo son fórmulas sobre la pestaña Verificacion.</t>
  </si>
  <si>
    <t xml:space="preserve">Avance</t>
  </si>
  <si>
    <t xml:space="preserve">Respuestas a verificar</t>
  </si>
  <si>
    <t xml:space="preserve">Coincide</t>
  </si>
  <si>
    <t xml:space="preserve">No figura en la fuente</t>
  </si>
  <si>
    <t xml:space="preserve">Verificadas (todo menos Pendiente)</t>
  </si>
  <si>
    <t xml:space="preserve">Pendientes por prioridad</t>
  </si>
  <si>
    <t xml:space="preserve">Prioridad Alta pendientes</t>
  </si>
  <si>
    <t xml:space="preserve">Costos, plazos, requisitos y tasas: lo que más daño hace si está mal.</t>
  </si>
  <si>
    <t xml:space="preserve">Prioridad Media pendientes</t>
  </si>
  <si>
    <t xml:space="preserve">Canales, horarios, teléfonos y cronogramas.</t>
  </si>
  <si>
    <t xml:space="preserve">Calidad del llenado</t>
  </si>
  <si>
    <t xml:space="preserve">Filas con alerta</t>
  </si>
  <si>
    <t xml:space="preserve">Debe ser 0 antes de entregar el archivo.</t>
  </si>
  <si>
    <t xml:space="preserve">Marcadas [Verificar] en el repositorio</t>
  </si>
  <si>
    <t xml:space="preserve">Según el reporte de Claude Code: 40 de 44.</t>
  </si>
  <si>
    <t xml:space="preserve">Corregir o Coincide sin confirmar por el tesista</t>
  </si>
  <si>
    <t xml:space="preserve">Claude Code solo aplica las filas con «Confirmado por el tesista = Sí». Las filas llenadas por búsqueda asistida llegan sin confirmar.</t>
  </si>
  <si>
    <t xml:space="preserve">Estado general</t>
  </si>
  <si>
    <t xml:space="preserve">Por categoría (pendientes / total)</t>
  </si>
  <si>
    <t xml:space="preserve">Fuentes oficiales para verificar</t>
  </si>
  <si>
    <t xml:space="preserve">Encontradas en una búsqueda en octubre de 2026. No pude abrir las páginas desde aquí (la plataforma bloqueó la consulta), así que confirma que abren y que son las versiones vigentes antes de citarlas.</t>
  </si>
  <si>
    <t xml:space="preserve">Fuente</t>
  </si>
  <si>
    <t xml:space="preserve">Enlace</t>
  </si>
  <si>
    <t xml:space="preserve">Qué contiene o para qué sirve</t>
  </si>
  <si>
    <t xml:space="preserve">Nota</t>
  </si>
  <si>
    <t xml:space="preserve">TUPA vigente de la MPSR-J (Ordenanza Municipal N.° 022-2025-CMPSR-J, 29/09/2025)</t>
  </si>
  <si>
    <t xml:space="preserve">https://www.gob.pe/institucion/munisanroman/informes-publicaciones/7272473</t>
  </si>
  <si>
    <t xml:space="preserve">Texto del TUPA (partes 01 a 05), «Anexo 01: resumen de los derechos de tramitación» y los reportes del SUT (25/08/2025 y 03/12/2025).</t>
  </si>
  <si>
    <t xml:space="preserve">Fuente principal. Usa el reporte SUT más reciente.</t>
  </si>
  <si>
    <t xml:space="preserve">Decreto de Alcaldía N.° 011-2025-MPSR-J/A (03/12/2025)</t>
  </si>
  <si>
    <t xml:space="preserve">https://www.gob.pe/institucion/munisanroman/normas-legales/7495467-011-2025-mpsr-j-a</t>
  </si>
  <si>
    <t xml:space="preserve">Modifica el TUPA reduciendo derechos de tramitación en 7 procedimientos.</t>
  </si>
  <si>
    <t xml:space="preserve">Por lo que se alcanza a leer, es en materia de transporte; confirma si alguno de los 7 es de los tuyos.</t>
  </si>
  <si>
    <t xml:space="preserve">Decreto de Alcaldía N.° 011-2025 (PDF)</t>
  </si>
  <si>
    <t xml:space="preserve">https://cdn.www.gob.pe/uploads/document/file/9134774/7495467-decreto-de-alcaldia-n-011-2025-mpsr-j-a.PDF</t>
  </si>
  <si>
    <t xml:space="preserve">Texto completo del decreto y su anexo.</t>
  </si>
  <si>
    <t xml:space="preserve">Normas y documentos legales de la MPSR-J</t>
  </si>
  <si>
    <t xml:space="preserve">https://www.gob.pe/institucion/munisanroman/normas-legales</t>
  </si>
  <si>
    <t xml:space="preserve">Para buscar modificaciones del TUPA posteriores a diciembre de 2025 y las ordenanzas tributarias (arbitrios, predial).</t>
  </si>
  <si>
    <t xml:space="preserve">Revisa si hay decretos u ordenanzas de 2026.</t>
  </si>
  <si>
    <t xml:space="preserve">Portal de la MPSR-J en gob.pe</t>
  </si>
  <si>
    <t xml:space="preserve">https://www.gob.pe/munisanroman</t>
  </si>
  <si>
    <t xml:space="preserve">Mesa de partes, seguimiento de trámites, libro de reclamaciones y enlaces del TUPA.</t>
  </si>
  <si>
    <t xml:space="preserve">Sirve para canales, horarios y direcciones.</t>
  </si>
  <si>
    <t xml:space="preserve">TUPA 2023 con procedimientos estandarizados (histórico)</t>
  </si>
  <si>
    <t xml:space="preserve">https://www.gob.pe/institucion/munisanroman/informes-publicaciones/4275606-texto-unico-de-procedimientos-administrativos-tupa-2023-con-procedimientos-estandarizados</t>
  </si>
  <si>
    <t xml:space="preserve">Versión anterior del TUPA (Ordenanza Municipal N.° 009-2023-CMPSRJ).</t>
  </si>
  <si>
    <t xml:space="preserve">NO usar como vigente; solo para comparar.</t>
  </si>
  <si>
    <t xml:space="preserve">Sedes de la MPSR-J en gob.pe</t>
  </si>
  <si>
    <t xml:space="preserve">https://www.gob.pe/institucion/munisanroman/sedes</t>
  </si>
  <si>
    <t xml:space="preserve">Dirección, central telefónica y horarios de atención y de mesa de partes (8:00 a. m.–4:00 p. m.).</t>
  </si>
  <si>
    <t xml:space="preserve">Oficial.</t>
  </si>
  <si>
    <t xml:space="preserve">Contactos del portal institucional</t>
  </si>
  <si>
    <t xml:space="preserve">https://munisanroman.gob.pe/web/contactos/</t>
  </si>
  <si>
    <t xml:space="preserve">Central (051) 321201, serenazgo (051) 329001/329002/329003 y horario con pausa de 1:00 a 2:00 p. m.</t>
  </si>
  <si>
    <t xml:space="preserve">Oficial; sin fecha.</t>
  </si>
  <si>
    <t xml:space="preserve">gob.pe — Solicitar partida de nacimiento en San Román - Juliaca</t>
  </si>
  <si>
    <t xml:space="preserve">https://www.gob.pe/17146-solicitar-partida-de-nacimiento-en-san-roman-juliaca</t>
  </si>
  <si>
    <t xml:space="preserve">Requisitos, pago de S/ 6.66, entrega inmediata y horario 8:30–1:00.</t>
  </si>
  <si>
    <t xml:space="preserve">Página con varios años de antigüedad.</t>
  </si>
  <si>
    <t xml:space="preserve">gob.pe — Solicitar una partida de nacimiento (variante)</t>
  </si>
  <si>
    <t xml:space="preserve">https://www.gob.pe/51225-solicitar-una-partida-de-nacimiento-en-la-municipalidad?child=80860</t>
  </si>
  <si>
    <t xml:space="preserve">Misma oficina y horario, pero con S/ 6.84 por copia certificada.</t>
  </si>
  <si>
    <t xml:space="preserve">Los dos montos difieren.</t>
  </si>
  <si>
    <t xml:space="preserve">gob.pe — Registrar una defunción en la municipalidad</t>
  </si>
  <si>
    <t xml:space="preserve">https://www.gob.pe/21525-obtener-acta-de-defuncion?child=17256</t>
  </si>
  <si>
    <t xml:space="preserve">Requisitos, gratuidad de la primera inscripción, dirección y horario de Registro Civil.</t>
  </si>
  <si>
    <t xml:space="preserve">Página genérica con datos de la MPSR.</t>
  </si>
  <si>
    <t xml:space="preserve">Nota de prensa sobre licencias de funcionamiento digitales</t>
  </si>
  <si>
    <t xml:space="preserve">https://pachamamaradio.org/san-roman-implementa-licencias-de-funcionamiento-digitales-a-partir-del-20-de-agosto/</t>
  </si>
  <si>
    <t xml:space="preserve">Licencias digitales con QR y firma electrónica desde el 20 de agosto (2025); costos y requisitos sin cambios.</t>
  </si>
  <si>
    <t xml:space="preserve">NO oficial.</t>
  </si>
  <si>
    <t xml:space="preserve">Resolución Gerencial N.° 013-2024-MPSR-J/GEMU</t>
  </si>
  <si>
    <t xml:space="preserve">https://cdn.www.gob.pe/uploads/document/file/5763090/5119677-resolucion-gerencial-n-013-2024-mpsr-j-gemu.PDF</t>
  </si>
  <si>
    <t xml:space="preserve">Caso concreto de ITSE previa a la licencia: vigencia de 2 años; inspección con INDECI y la Subgerencia de Gestión del Riesgo de Desastres.</t>
  </si>
  <si>
    <t xml:space="preserve">Oficial; caso particular.</t>
  </si>
  <si>
    <t xml:space="preserve">Mesa de partes virtual</t>
  </si>
  <si>
    <t xml:space="preserve">https://www.mpv.mpsr.pe/</t>
  </si>
  <si>
    <t xml:space="preserve">Aviso de recepción de documentos escaneados y lista de trámites que no atiende.</t>
  </si>
  <si>
    <t xml:space="preserve">Posiblemente desactualizado (cita el D.S. 044-2020-PCM).</t>
  </si>
  <si>
    <t xml:space="preserve">Listas</t>
  </si>
  <si>
    <t xml:space="preserve">Significado</t>
  </si>
  <si>
    <t xml:space="preserve">Aún no se comparó con la fuente.</t>
  </si>
  <si>
    <t xml:space="preserve">La respuesta actual es correcta según la fuente.</t>
  </si>
  <si>
    <t xml:space="preserve">Hay que cambiar algo: escribe el texto corregido.</t>
  </si>
  <si>
    <t xml:space="preserve">No encontraste el dato en la fuente: explica dónde buscaste.</t>
  </si>
  <si>
    <t xml:space="preserve">Notas de uso</t>
  </si>
  <si>
    <t xml:space="preserve">Cómo usar</t>
  </si>
  <si>
    <t xml:space="preserve">1. Abre el TUPA vigente (pestaña Fuentes) y busca cada trámite por su nombre. Empieza por las filas de prioridad Alta.</t>
  </si>
  <si>
    <t xml:space="preserve">2. Anota en las celdas amarillas lo que dice la fuente: nombre y página del procedimiento, requisitos, costo, plazo, y oficina o canal. Copia los datos tal cual; no los completes de memoria.</t>
  </si>
  <si>
    <t xml:space="preserve">3. Elige el Resultado: «Coincide» si la respuesta actual es correcta; «Corregir» si algo difiere (escribe el texto corregido); «No figura en la fuente» si no lo encuentras (explica dónde buscaste en Observaciones).</t>
  </si>
  <si>
    <t xml:space="preserve">4. El texto corregido va en lenguaje claro, como si se lo dijeras a un ciudadano, y sin la marca [Verificar]. Indica la fecha de la verificación.</t>
  </si>
  <si>
    <t xml:space="preserve">5. Marca «Confirmado por el tesista = Sí» solo en las filas que comprobaste tú contra la fuente. Claude Code aplicará a domain.yml únicamente las confirmadas; las filas llenadas por búsqueda asistida llegan sin confirmar.</t>
  </si>
  <si>
    <t xml:space="preserve">6. Cuando el Resumen diga «Listo para actualizar domain.yml» (sin pendientes, alertas ni filas sin confirmar), guarda el archivo desde Excel y entrégaselo a Claude Code.</t>
  </si>
  <si>
    <t xml:space="preserve">Cosas a tener en cuenta</t>
  </si>
  <si>
    <t xml:space="preserve">• No todo está en el TUPA: impuestos y arbitrios se rigen por ordenanzas tributarias y la ley de tributación municipal; horarios, teléfonos y cronogramas están en el portal institucional. La columna «Fuente probable» orienta dónde mirar.</t>
  </si>
  <si>
    <t xml:space="preserve">• Los derechos de tramitación pueden venir en soles o como porcentaje de la UIT. Anota la unidad tal cual y, si es en UIT, el valor de la UIT que uses.</t>
  </si>
  <si>
    <t xml:space="preserve">• El TUPA se modifica por decreto de alcaldía u ordenanza. Revisa que tu fuente sea la versión más reciente.</t>
  </si>
  <si>
    <t xml:space="preserve">• La columna «Respuesta actual» es el texto base de domain_v2.yml (3 de octubre de 2026). Si el domain.yml del repositorio cambió, la fila F indica si lleva marca [Verificar]; el texto vigente es el del repositorio.</t>
  </si>
  <si>
    <t xml:space="preserve">• Las 4 respuestas sin marca en el repositorio (denuncia_seguridad_ciudadana, horario_recojo_basura, requisitos_generales y costos_generales) también están en la lista: revísalas igual.</t>
  </si>
  <si>
    <t xml:space="preserve">Qué se llenó y cómo (5 de octubre de 2026)</t>
  </si>
  <si>
    <t xml:space="preserve">• Se llenaron las filas que tenían una fuente oficial legible: 10 con propuesta de corrección (contactos, horarios, dirección, libro de reclamaciones, seguimiento de trámites y defunción) y 8 con datos parciales y resultado Pendiente.</t>
  </si>
  <si>
    <t xml:space="preserve">• Todo salió de búsquedas en páginas oficiales (gob.pe y el portal de la MPSR) y de dos fuentes no oficiales marcadas como tales. No pude abrir el PDF del TUPA: los derechos de tramitación y plazos siguen pendientes de confirmar.</t>
  </si>
  <si>
    <t xml:space="preserve">• Ninguna fila viene confirmada: la columna «Confirmado por el tesista» está vacía.</t>
  </si>
  <si>
    <t xml:space="preserve">• Las propuestas de corrección son candidatas: confirma cada una antes de pasarla al chatbot. Dos casos importantes: el monto de la partida de nacimiento (dos páginas dan S/ 6.66 y S/ 6.84) y la vigencia de la licencia de funcionamiento (¿un año o permanente?).</t>
  </si>
  <si>
    <t xml:space="preserve">• Varias respuestas hablan de la «Plataforma de Atención»; no aparece en ninguna fuente oficial vista. Confirma si la MPSR usa ese nombre.</t>
  </si>
  <si>
    <t xml:space="preserve">Fuentes y supuestos</t>
  </si>
  <si>
    <t xml:space="preserve">• Las 44 intenciones de trámites y sus categorías salen del catálogo situaciones_lote1_v1.csv; los textos, de domain_v2.yml. La columna «Datos a comprobar» y la prioridad son orientaciones mías, no datos del TUPA.</t>
  </si>
  <si>
    <t xml:space="preserve">• Que 40 de las 44 respuestas llevan marca [Verificar] en el repositorio viene del reporte de Claude Code; la columna F lo refleja y debe confirmarse contra domain.yml.</t>
  </si>
  <si>
    <t xml:space="preserve">• Colores: azul = valor escrito a mano o dato fijo; negro = fórmula; verde = vínculo a otra hoja.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</si>
</sst>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Calibri"/>
      <family val="2"/>
      <charset val="1"/>
    </font>
    <font>
      <sz val="10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b.pe/institucion/munisanroman/informes-publicaciones/7272473" TargetMode="External"/><Relationship Id="rId2" Type="http://schemas.openxmlformats.org/officeDocument/2006/relationships/hyperlink" Target="https://www.gob.pe/institucion/munisanroman/normas-legales/7495467-011-2025-mpsr-j-a" TargetMode="External"/><Relationship Id="rId3" Type="http://schemas.openxmlformats.org/officeDocument/2006/relationships/hyperlink" Target="https://cdn.www.gob.pe/uploads/document/file/9134774/7495467-decreto-de-alcaldia-n-011-2025-mpsr-j-a.PDF" TargetMode="External"/><Relationship Id="rId4" Type="http://schemas.openxmlformats.org/officeDocument/2006/relationships/hyperlink" Target="https://www.gob.pe/institucion/munisanroman/normas-legales" TargetMode="External"/><Relationship Id="rId5" Type="http://schemas.openxmlformats.org/officeDocument/2006/relationships/hyperlink" Target="https://www.gob.pe/munisanroman" TargetMode="External"/><Relationship Id="rId6" Type="http://schemas.openxmlformats.org/officeDocument/2006/relationships/hyperlink" Target="https://www.gob.pe/institucion/munisanroman/informes-publicaciones/4275606-texto-unico-de-procedimientos-administrativos-tupa-2023-con-procedimientos-estandarizados" TargetMode="External"/><Relationship Id="rId7" Type="http://schemas.openxmlformats.org/officeDocument/2006/relationships/hyperlink" Target="https://www.gob.pe/institucion/munisanroman/sedes" TargetMode="External"/><Relationship Id="rId8" Type="http://schemas.openxmlformats.org/officeDocument/2006/relationships/hyperlink" Target="https://munisanroman.gob.pe/web/contactos/" TargetMode="External"/><Relationship Id="rId9" Type="http://schemas.openxmlformats.org/officeDocument/2006/relationships/hyperlink" Target="https://www.gob.pe/17146-solicitar-partida-de-nacimiento-en-san-roman-juliaca" TargetMode="External"/><Relationship Id="rId10" Type="http://schemas.openxmlformats.org/officeDocument/2006/relationships/hyperlink" Target="https://www.gob.pe/51225-solicitar-una-partida-de-nacimiento-en-la-municipalidad?child=80860" TargetMode="External"/><Relationship Id="rId11" Type="http://schemas.openxmlformats.org/officeDocument/2006/relationships/hyperlink" Target="https://www.gob.pe/21525-obtener-acta-de-defuncion?child=17256" TargetMode="External"/><Relationship Id="rId12" Type="http://schemas.openxmlformats.org/officeDocument/2006/relationships/hyperlink" Target="https://pachamamaradio.org/san-roman-implementa-licencias-de-funcionamiento-digitales-a-partir-del-20-de-agosto/" TargetMode="External"/><Relationship Id="rId13" Type="http://schemas.openxmlformats.org/officeDocument/2006/relationships/hyperlink" Target="https://cdn.www.gob.pe/uploads/document/file/5763090/5119677-resolucion-gerencial-n-013-2024-mpsr-j-gemu.PDF" TargetMode="External"/><Relationship Id="rId14" Type="http://schemas.openxmlformats.org/officeDocument/2006/relationships/hyperlink" Target="https://www.mpv.mpsr.p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10" min="9" style="0" width="34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16"/>
    <col collapsed="false" customWidth="true" hidden="false" outlineLevel="0" max="15" min="15" style="0" width="52"/>
    <col collapsed="false" customWidth="true" hidden="false" outlineLevel="0" max="16" min="16" style="0" width="13"/>
    <col collapsed="false" customWidth="true" hidden="false" outlineLevel="0" max="17" min="17" style="0" width="30"/>
    <col collapsed="false" customWidth="true" hidden="false" outlineLevel="0" max="18" min="18" style="0" width="20"/>
    <col collapsed="false" customWidth="true" hidden="false" outlineLevel="0" max="19" min="19" style="0" width="16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6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91.5" hidden="false" customHeight="true" outlineLevel="0" collapsed="false">
      <c r="A4" s="4" t="n">
        <v>1</v>
      </c>
      <c r="B4" s="5" t="s">
        <v>21</v>
      </c>
      <c r="C4" s="6" t="s">
        <v>22</v>
      </c>
      <c r="D4" s="7" t="s">
        <v>23</v>
      </c>
      <c r="E4" s="6" t="s">
        <v>24</v>
      </c>
      <c r="F4" s="7" t="s">
        <v>25</v>
      </c>
      <c r="G4" s="8" t="s">
        <v>26</v>
      </c>
      <c r="H4" s="8" t="s">
        <v>27</v>
      </c>
      <c r="I4" s="9" t="s">
        <v>28</v>
      </c>
      <c r="J4" s="9" t="s">
        <v>29</v>
      </c>
      <c r="K4" s="9"/>
      <c r="L4" s="9"/>
      <c r="M4" s="9" t="s">
        <v>30</v>
      </c>
      <c r="N4" s="10" t="s">
        <v>31</v>
      </c>
      <c r="O4" s="9"/>
      <c r="P4" s="11"/>
      <c r="Q4" s="9" t="s">
        <v>32</v>
      </c>
      <c r="R4" s="12" t="str">
        <f aca="false">IF(AND(N4="Corregir",LEN(TRIM(O4))=0),"Falta el texto corregido",IF(AND(OR(N4="Coincide",N4="Corregir"),LEN(TRIM(I4))=0),"Falta citar la fuente",IF(AND(N4="No figura en la fuente",LEN(TRIM(Q4))=0),"Explica dónde buscaste",IF(AND(N4&lt;&gt;"Pendiente",P4=""),"Falta la fecha",""))))</f>
        <v/>
      </c>
      <c r="S4" s="10"/>
    </row>
    <row r="5" customFormat="false" ht="91.5" hidden="false" customHeight="true" outlineLevel="0" collapsed="false">
      <c r="A5" s="4" t="n">
        <v>2</v>
      </c>
      <c r="B5" s="5" t="s">
        <v>33</v>
      </c>
      <c r="C5" s="6" t="s">
        <v>22</v>
      </c>
      <c r="D5" s="7" t="s">
        <v>23</v>
      </c>
      <c r="E5" s="6" t="s">
        <v>24</v>
      </c>
      <c r="F5" s="7" t="s">
        <v>25</v>
      </c>
      <c r="G5" s="8" t="s">
        <v>34</v>
      </c>
      <c r="H5" s="8" t="s">
        <v>35</v>
      </c>
      <c r="I5" s="9" t="s">
        <v>28</v>
      </c>
      <c r="J5" s="9"/>
      <c r="K5" s="9" t="s">
        <v>36</v>
      </c>
      <c r="L5" s="9"/>
      <c r="M5" s="9" t="s">
        <v>30</v>
      </c>
      <c r="N5" s="10" t="s">
        <v>31</v>
      </c>
      <c r="O5" s="9"/>
      <c r="P5" s="11"/>
      <c r="Q5" s="9" t="s">
        <v>37</v>
      </c>
      <c r="R5" s="12" t="str">
        <f aca="false">IF(AND(N5="Corregir",LEN(TRIM(O5))=0),"Falta el texto corregido",IF(AND(OR(N5="Coincide",N5="Corregir"),LEN(TRIM(I5))=0),"Falta citar la fuente",IF(AND(N5="No figura en la fuente",LEN(TRIM(Q5))=0),"Explica dónde buscaste",IF(AND(N5&lt;&gt;"Pendiente",P5=""),"Falta la fecha",""))))</f>
        <v/>
      </c>
      <c r="S5" s="10"/>
    </row>
    <row r="6" customFormat="false" ht="91.5" hidden="false" customHeight="true" outlineLevel="0" collapsed="false">
      <c r="A6" s="4" t="n">
        <v>3</v>
      </c>
      <c r="B6" s="5" t="s">
        <v>38</v>
      </c>
      <c r="C6" s="6" t="s">
        <v>22</v>
      </c>
      <c r="D6" s="7" t="s">
        <v>23</v>
      </c>
      <c r="E6" s="6" t="s">
        <v>24</v>
      </c>
      <c r="F6" s="7" t="s">
        <v>25</v>
      </c>
      <c r="G6" s="8" t="s">
        <v>39</v>
      </c>
      <c r="H6" s="8" t="s">
        <v>40</v>
      </c>
      <c r="I6" s="9"/>
      <c r="J6" s="9"/>
      <c r="K6" s="9"/>
      <c r="L6" s="9"/>
      <c r="M6" s="9"/>
      <c r="N6" s="10" t="s">
        <v>31</v>
      </c>
      <c r="O6" s="9"/>
      <c r="P6" s="11"/>
      <c r="Q6" s="9"/>
      <c r="R6" s="12" t="str">
        <f aca="false">IF(AND(N6="Corregir",LEN(TRIM(O6))=0),"Falta el texto corregido",IF(AND(OR(N6="Coincide",N6="Corregir"),LEN(TRIM(I6))=0),"Falta citar la fuente",IF(AND(N6="No figura en la fuente",LEN(TRIM(Q6))=0),"Explica dónde buscaste",IF(AND(N6&lt;&gt;"Pendiente",P6=""),"Falta la fecha",""))))</f>
        <v/>
      </c>
      <c r="S6" s="10"/>
    </row>
    <row r="7" customFormat="false" ht="91.5" hidden="false" customHeight="true" outlineLevel="0" collapsed="false">
      <c r="A7" s="4" t="n">
        <v>4</v>
      </c>
      <c r="B7" s="5" t="s">
        <v>41</v>
      </c>
      <c r="C7" s="6" t="s">
        <v>22</v>
      </c>
      <c r="D7" s="7" t="s">
        <v>23</v>
      </c>
      <c r="E7" s="6" t="s">
        <v>24</v>
      </c>
      <c r="F7" s="7" t="s">
        <v>25</v>
      </c>
      <c r="G7" s="8" t="s">
        <v>42</v>
      </c>
      <c r="H7" s="8" t="s">
        <v>43</v>
      </c>
      <c r="I7" s="9"/>
      <c r="J7" s="9"/>
      <c r="K7" s="9"/>
      <c r="L7" s="9"/>
      <c r="M7" s="9"/>
      <c r="N7" s="10" t="s">
        <v>31</v>
      </c>
      <c r="O7" s="9"/>
      <c r="P7" s="11"/>
      <c r="Q7" s="9"/>
      <c r="R7" s="12" t="str">
        <f aca="false">IF(AND(N7="Corregir",LEN(TRIM(O7))=0),"Falta el texto corregido",IF(AND(OR(N7="Coincide",N7="Corregir"),LEN(TRIM(I7))=0),"Falta citar la fuente",IF(AND(N7="No figura en la fuente",LEN(TRIM(Q7))=0),"Explica dónde buscaste",IF(AND(N7&lt;&gt;"Pendiente",P7=""),"Falta la fecha",""))))</f>
        <v/>
      </c>
      <c r="S7" s="10"/>
    </row>
    <row r="8" customFormat="false" ht="91.5" hidden="false" customHeight="true" outlineLevel="0" collapsed="false">
      <c r="A8" s="4" t="n">
        <v>5</v>
      </c>
      <c r="B8" s="5" t="s">
        <v>44</v>
      </c>
      <c r="C8" s="6" t="s">
        <v>22</v>
      </c>
      <c r="D8" s="7" t="s">
        <v>23</v>
      </c>
      <c r="E8" s="6" t="s">
        <v>24</v>
      </c>
      <c r="F8" s="7" t="s">
        <v>25</v>
      </c>
      <c r="G8" s="8" t="s">
        <v>45</v>
      </c>
      <c r="H8" s="8" t="s">
        <v>46</v>
      </c>
      <c r="I8" s="9"/>
      <c r="J8" s="9"/>
      <c r="K8" s="9"/>
      <c r="L8" s="9"/>
      <c r="M8" s="9"/>
      <c r="N8" s="10" t="s">
        <v>31</v>
      </c>
      <c r="O8" s="9"/>
      <c r="P8" s="11"/>
      <c r="Q8" s="9"/>
      <c r="R8" s="12" t="str">
        <f aca="false">IF(AND(N8="Corregir",LEN(TRIM(O8))=0),"Falta el texto corregido",IF(AND(OR(N8="Coincide",N8="Corregir"),LEN(TRIM(I8))=0),"Falta citar la fuente",IF(AND(N8="No figura en la fuente",LEN(TRIM(Q8))=0),"Explica dónde buscaste",IF(AND(N8&lt;&gt;"Pendiente",P8=""),"Falta la fecha",""))))</f>
        <v/>
      </c>
      <c r="S8" s="10"/>
    </row>
    <row r="9" customFormat="false" ht="91.5" hidden="false" customHeight="true" outlineLevel="0" collapsed="false">
      <c r="A9" s="4" t="n">
        <v>6</v>
      </c>
      <c r="B9" s="5" t="s">
        <v>47</v>
      </c>
      <c r="C9" s="6" t="s">
        <v>22</v>
      </c>
      <c r="D9" s="7" t="s">
        <v>23</v>
      </c>
      <c r="E9" s="6" t="s">
        <v>24</v>
      </c>
      <c r="F9" s="7" t="s">
        <v>25</v>
      </c>
      <c r="G9" s="8" t="s">
        <v>48</v>
      </c>
      <c r="H9" s="8" t="s">
        <v>49</v>
      </c>
      <c r="I9" s="9" t="s">
        <v>50</v>
      </c>
      <c r="J9" s="9"/>
      <c r="K9" s="9"/>
      <c r="L9" s="9" t="s">
        <v>51</v>
      </c>
      <c r="M9" s="9"/>
      <c r="N9" s="10" t="s">
        <v>31</v>
      </c>
      <c r="O9" s="9"/>
      <c r="P9" s="11"/>
      <c r="Q9" s="9" t="s">
        <v>52</v>
      </c>
      <c r="R9" s="12" t="str">
        <f aca="false">IF(AND(N9="Corregir",LEN(TRIM(O9))=0),"Falta el texto corregido",IF(AND(OR(N9="Coincide",N9="Corregir"),LEN(TRIM(I9))=0),"Falta citar la fuente",IF(AND(N9="No figura en la fuente",LEN(TRIM(Q9))=0),"Explica dónde buscaste",IF(AND(N9&lt;&gt;"Pendiente",P9=""),"Falta la fecha",""))))</f>
        <v/>
      </c>
      <c r="S9" s="10"/>
    </row>
    <row r="10" customFormat="false" ht="91.5" hidden="false" customHeight="true" outlineLevel="0" collapsed="false">
      <c r="A10" s="4" t="n">
        <v>7</v>
      </c>
      <c r="B10" s="5" t="s">
        <v>53</v>
      </c>
      <c r="C10" s="6" t="s">
        <v>54</v>
      </c>
      <c r="D10" s="7" t="s">
        <v>55</v>
      </c>
      <c r="E10" s="6" t="s">
        <v>56</v>
      </c>
      <c r="F10" s="7" t="s">
        <v>25</v>
      </c>
      <c r="G10" s="8" t="s">
        <v>57</v>
      </c>
      <c r="H10" s="8" t="s">
        <v>58</v>
      </c>
      <c r="I10" s="9"/>
      <c r="J10" s="9"/>
      <c r="K10" s="9"/>
      <c r="L10" s="9"/>
      <c r="M10" s="9"/>
      <c r="N10" s="10" t="s">
        <v>31</v>
      </c>
      <c r="O10" s="9"/>
      <c r="P10" s="11"/>
      <c r="Q10" s="9"/>
      <c r="R10" s="12" t="str">
        <f aca="false">IF(AND(N10="Corregir",LEN(TRIM(O10))=0),"Falta el texto corregido",IF(AND(OR(N10="Coincide",N10="Corregir"),LEN(TRIM(I10))=0),"Falta citar la fuente",IF(AND(N10="No figura en la fuente",LEN(TRIM(Q10))=0),"Explica dónde buscaste",IF(AND(N10&lt;&gt;"Pendiente",P10=""),"Falta la fecha",""))))</f>
        <v/>
      </c>
      <c r="S10" s="10"/>
    </row>
    <row r="11" customFormat="false" ht="91.5" hidden="false" customHeight="true" outlineLevel="0" collapsed="false">
      <c r="A11" s="4" t="n">
        <v>8</v>
      </c>
      <c r="B11" s="5" t="s">
        <v>59</v>
      </c>
      <c r="C11" s="6" t="s">
        <v>54</v>
      </c>
      <c r="D11" s="7" t="s">
        <v>55</v>
      </c>
      <c r="E11" s="6" t="s">
        <v>60</v>
      </c>
      <c r="F11" s="7" t="s">
        <v>25</v>
      </c>
      <c r="G11" s="8" t="s">
        <v>61</v>
      </c>
      <c r="H11" s="8" t="s">
        <v>62</v>
      </c>
      <c r="I11" s="9"/>
      <c r="J11" s="9"/>
      <c r="K11" s="9"/>
      <c r="L11" s="9"/>
      <c r="M11" s="9"/>
      <c r="N11" s="10" t="s">
        <v>31</v>
      </c>
      <c r="O11" s="9"/>
      <c r="P11" s="11"/>
      <c r="Q11" s="9"/>
      <c r="R11" s="12" t="str">
        <f aca="false">IF(AND(N11="Corregir",LEN(TRIM(O11))=0),"Falta el texto corregido",IF(AND(OR(N11="Coincide",N11="Corregir"),LEN(TRIM(I11))=0),"Falta citar la fuente",IF(AND(N11="No figura en la fuente",LEN(TRIM(Q11))=0),"Explica dónde buscaste",IF(AND(N11&lt;&gt;"Pendiente",P11=""),"Falta la fecha",""))))</f>
        <v/>
      </c>
      <c r="S11" s="10"/>
    </row>
    <row r="12" customFormat="false" ht="91.5" hidden="false" customHeight="true" outlineLevel="0" collapsed="false">
      <c r="A12" s="4" t="n">
        <v>9</v>
      </c>
      <c r="B12" s="5" t="s">
        <v>63</v>
      </c>
      <c r="C12" s="6" t="s">
        <v>54</v>
      </c>
      <c r="D12" s="7" t="s">
        <v>55</v>
      </c>
      <c r="E12" s="6" t="s">
        <v>60</v>
      </c>
      <c r="F12" s="7" t="s">
        <v>25</v>
      </c>
      <c r="G12" s="8" t="s">
        <v>64</v>
      </c>
      <c r="H12" s="8" t="s">
        <v>65</v>
      </c>
      <c r="I12" s="9"/>
      <c r="J12" s="9"/>
      <c r="K12" s="9"/>
      <c r="L12" s="9"/>
      <c r="M12" s="9"/>
      <c r="N12" s="10" t="s">
        <v>31</v>
      </c>
      <c r="O12" s="9"/>
      <c r="P12" s="11"/>
      <c r="Q12" s="9"/>
      <c r="R12" s="12" t="str">
        <f aca="false">IF(AND(N12="Corregir",LEN(TRIM(O12))=0),"Falta el texto corregido",IF(AND(OR(N12="Coincide",N12="Corregir"),LEN(TRIM(I12))=0),"Falta citar la fuente",IF(AND(N12="No figura en la fuente",LEN(TRIM(Q12))=0),"Explica dónde buscaste",IF(AND(N12&lt;&gt;"Pendiente",P12=""),"Falta la fecha",""))))</f>
        <v/>
      </c>
      <c r="S12" s="10"/>
    </row>
    <row r="13" customFormat="false" ht="91.5" hidden="false" customHeight="true" outlineLevel="0" collapsed="false">
      <c r="A13" s="4" t="n">
        <v>10</v>
      </c>
      <c r="B13" s="5" t="s">
        <v>66</v>
      </c>
      <c r="C13" s="6" t="s">
        <v>54</v>
      </c>
      <c r="D13" s="7" t="s">
        <v>23</v>
      </c>
      <c r="E13" s="6" t="s">
        <v>60</v>
      </c>
      <c r="F13" s="7" t="s">
        <v>25</v>
      </c>
      <c r="G13" s="8" t="s">
        <v>67</v>
      </c>
      <c r="H13" s="8" t="s">
        <v>68</v>
      </c>
      <c r="I13" s="9"/>
      <c r="J13" s="9"/>
      <c r="K13" s="9"/>
      <c r="L13" s="9"/>
      <c r="M13" s="9"/>
      <c r="N13" s="10" t="s">
        <v>31</v>
      </c>
      <c r="O13" s="9"/>
      <c r="P13" s="11"/>
      <c r="Q13" s="9"/>
      <c r="R13" s="12" t="str">
        <f aca="false">IF(AND(N13="Corregir",LEN(TRIM(O13))=0),"Falta el texto corregido",IF(AND(OR(N13="Coincide",N13="Corregir"),LEN(TRIM(I13))=0),"Falta citar la fuente",IF(AND(N13="No figura en la fuente",LEN(TRIM(Q13))=0),"Explica dónde buscaste",IF(AND(N13&lt;&gt;"Pendiente",P13=""),"Falta la fecha",""))))</f>
        <v/>
      </c>
      <c r="S13" s="10"/>
    </row>
    <row r="14" customFormat="false" ht="91.5" hidden="false" customHeight="true" outlineLevel="0" collapsed="false">
      <c r="A14" s="4" t="n">
        <v>11</v>
      </c>
      <c r="B14" s="5" t="s">
        <v>69</v>
      </c>
      <c r="C14" s="6" t="s">
        <v>54</v>
      </c>
      <c r="D14" s="7" t="s">
        <v>23</v>
      </c>
      <c r="E14" s="6" t="s">
        <v>56</v>
      </c>
      <c r="F14" s="7" t="s">
        <v>25</v>
      </c>
      <c r="G14" s="8" t="s">
        <v>70</v>
      </c>
      <c r="H14" s="8" t="s">
        <v>71</v>
      </c>
      <c r="I14" s="9"/>
      <c r="J14" s="9"/>
      <c r="K14" s="9"/>
      <c r="L14" s="9"/>
      <c r="M14" s="9"/>
      <c r="N14" s="10" t="s">
        <v>31</v>
      </c>
      <c r="O14" s="9"/>
      <c r="P14" s="11"/>
      <c r="Q14" s="9"/>
      <c r="R14" s="12" t="str">
        <f aca="false">IF(AND(N14="Corregir",LEN(TRIM(O14))=0),"Falta el texto corregido",IF(AND(OR(N14="Coincide",N14="Corregir"),LEN(TRIM(I14))=0),"Falta citar la fuente",IF(AND(N14="No figura en la fuente",LEN(TRIM(Q14))=0),"Explica dónde buscaste",IF(AND(N14&lt;&gt;"Pendiente",P14=""),"Falta la fecha",""))))</f>
        <v/>
      </c>
      <c r="S14" s="10"/>
    </row>
    <row r="15" customFormat="false" ht="91.5" hidden="false" customHeight="true" outlineLevel="0" collapsed="false">
      <c r="A15" s="4" t="n">
        <v>12</v>
      </c>
      <c r="B15" s="5" t="s">
        <v>72</v>
      </c>
      <c r="C15" s="6" t="s">
        <v>54</v>
      </c>
      <c r="D15" s="7" t="s">
        <v>23</v>
      </c>
      <c r="E15" s="6" t="s">
        <v>24</v>
      </c>
      <c r="F15" s="7" t="s">
        <v>25</v>
      </c>
      <c r="G15" s="8" t="s">
        <v>73</v>
      </c>
      <c r="H15" s="8" t="s">
        <v>74</v>
      </c>
      <c r="I15" s="9"/>
      <c r="J15" s="9"/>
      <c r="K15" s="9"/>
      <c r="L15" s="9"/>
      <c r="M15" s="9"/>
      <c r="N15" s="10" t="s">
        <v>31</v>
      </c>
      <c r="O15" s="9"/>
      <c r="P15" s="11"/>
      <c r="Q15" s="9"/>
      <c r="R15" s="12" t="str">
        <f aca="false">IF(AND(N15="Corregir",LEN(TRIM(O15))=0),"Falta el texto corregido",IF(AND(OR(N15="Coincide",N15="Corregir"),LEN(TRIM(I15))=0),"Falta citar la fuente",IF(AND(N15="No figura en la fuente",LEN(TRIM(Q15))=0),"Explica dónde buscaste",IF(AND(N15&lt;&gt;"Pendiente",P15=""),"Falta la fecha",""))))</f>
        <v/>
      </c>
      <c r="S15" s="10"/>
    </row>
    <row r="16" customFormat="false" ht="91.5" hidden="false" customHeight="true" outlineLevel="0" collapsed="false">
      <c r="A16" s="4" t="n">
        <v>13</v>
      </c>
      <c r="B16" s="5" t="s">
        <v>75</v>
      </c>
      <c r="C16" s="6" t="s">
        <v>76</v>
      </c>
      <c r="D16" s="7" t="s">
        <v>23</v>
      </c>
      <c r="E16" s="6" t="s">
        <v>56</v>
      </c>
      <c r="F16" s="7" t="s">
        <v>25</v>
      </c>
      <c r="G16" s="8" t="s">
        <v>77</v>
      </c>
      <c r="H16" s="8" t="s">
        <v>78</v>
      </c>
      <c r="I16" s="9" t="s">
        <v>79</v>
      </c>
      <c r="J16" s="9" t="s">
        <v>80</v>
      </c>
      <c r="K16" s="9"/>
      <c r="L16" s="9"/>
      <c r="M16" s="9" t="s">
        <v>81</v>
      </c>
      <c r="N16" s="10" t="s">
        <v>31</v>
      </c>
      <c r="O16" s="9"/>
      <c r="P16" s="11"/>
      <c r="Q16" s="9" t="s">
        <v>82</v>
      </c>
      <c r="R16" s="12" t="str">
        <f aca="false">IF(AND(N16="Corregir",LEN(TRIM(O16))=0),"Falta el texto corregido",IF(AND(OR(N16="Coincide",N16="Corregir"),LEN(TRIM(I16))=0),"Falta citar la fuente",IF(AND(N16="No figura en la fuente",LEN(TRIM(Q16))=0),"Explica dónde buscaste",IF(AND(N16&lt;&gt;"Pendiente",P16=""),"Falta la fecha",""))))</f>
        <v/>
      </c>
      <c r="S16" s="10"/>
    </row>
    <row r="17" customFormat="false" ht="91.5" hidden="false" customHeight="true" outlineLevel="0" collapsed="false">
      <c r="A17" s="4" t="n">
        <v>14</v>
      </c>
      <c r="B17" s="5" t="s">
        <v>83</v>
      </c>
      <c r="C17" s="6" t="s">
        <v>76</v>
      </c>
      <c r="D17" s="7" t="s">
        <v>55</v>
      </c>
      <c r="E17" s="6" t="s">
        <v>84</v>
      </c>
      <c r="F17" s="7" t="s">
        <v>25</v>
      </c>
      <c r="G17" s="8" t="s">
        <v>85</v>
      </c>
      <c r="H17" s="8" t="s">
        <v>86</v>
      </c>
      <c r="I17" s="9" t="s">
        <v>87</v>
      </c>
      <c r="J17" s="9"/>
      <c r="K17" s="9"/>
      <c r="L17" s="9"/>
      <c r="M17" s="9" t="s">
        <v>88</v>
      </c>
      <c r="N17" s="10" t="s">
        <v>89</v>
      </c>
      <c r="O17" s="9" t="s">
        <v>90</v>
      </c>
      <c r="P17" s="11" t="n">
        <v>46300</v>
      </c>
      <c r="Q17" s="9" t="s">
        <v>91</v>
      </c>
      <c r="R17" s="12" t="str">
        <f aca="false">IF(AND(N17="Corregir",LEN(TRIM(O17))=0),"Falta el texto corregido",IF(AND(OR(N17="Coincide",N17="Corregir"),LEN(TRIM(I17))=0),"Falta citar la fuente",IF(AND(N17="No figura en la fuente",LEN(TRIM(Q17))=0),"Explica dónde buscaste",IF(AND(N17&lt;&gt;"Pendiente",P17=""),"Falta la fecha",""))))</f>
        <v/>
      </c>
      <c r="S17" s="10"/>
    </row>
    <row r="18" customFormat="false" ht="91.5" hidden="false" customHeight="true" outlineLevel="0" collapsed="false">
      <c r="A18" s="4" t="n">
        <v>15</v>
      </c>
      <c r="B18" s="5" t="s">
        <v>92</v>
      </c>
      <c r="C18" s="6" t="s">
        <v>76</v>
      </c>
      <c r="D18" s="7" t="s">
        <v>55</v>
      </c>
      <c r="E18" s="6" t="s">
        <v>84</v>
      </c>
      <c r="F18" s="7" t="s">
        <v>25</v>
      </c>
      <c r="G18" s="8" t="s">
        <v>93</v>
      </c>
      <c r="H18" s="8" t="s">
        <v>94</v>
      </c>
      <c r="I18" s="9" t="s">
        <v>95</v>
      </c>
      <c r="J18" s="9"/>
      <c r="K18" s="9"/>
      <c r="L18" s="9"/>
      <c r="M18" s="9" t="s">
        <v>96</v>
      </c>
      <c r="N18" s="10" t="s">
        <v>89</v>
      </c>
      <c r="O18" s="9" t="s">
        <v>97</v>
      </c>
      <c r="P18" s="11" t="n">
        <v>46300</v>
      </c>
      <c r="Q18" s="9" t="s">
        <v>98</v>
      </c>
      <c r="R18" s="12" t="str">
        <f aca="false">IF(AND(N18="Corregir",LEN(TRIM(O18))=0),"Falta el texto corregido",IF(AND(OR(N18="Coincide",N18="Corregir"),LEN(TRIM(I18))=0),"Falta citar la fuente",IF(AND(N18="No figura en la fuente",LEN(TRIM(Q18))=0),"Explica dónde buscaste",IF(AND(N18&lt;&gt;"Pendiente",P18=""),"Falta la fecha",""))))</f>
        <v/>
      </c>
      <c r="S18" s="10"/>
    </row>
    <row r="19" customFormat="false" ht="91.5" hidden="false" customHeight="true" outlineLevel="0" collapsed="false">
      <c r="A19" s="4" t="n">
        <v>16</v>
      </c>
      <c r="B19" s="5" t="s">
        <v>99</v>
      </c>
      <c r="C19" s="6" t="s">
        <v>76</v>
      </c>
      <c r="D19" s="7" t="s">
        <v>23</v>
      </c>
      <c r="E19" s="6" t="s">
        <v>24</v>
      </c>
      <c r="F19" s="7" t="s">
        <v>25</v>
      </c>
      <c r="G19" s="8" t="s">
        <v>100</v>
      </c>
      <c r="H19" s="8" t="s">
        <v>101</v>
      </c>
      <c r="I19" s="9"/>
      <c r="J19" s="9"/>
      <c r="K19" s="9"/>
      <c r="L19" s="9"/>
      <c r="M19" s="9"/>
      <c r="N19" s="10" t="s">
        <v>31</v>
      </c>
      <c r="O19" s="9"/>
      <c r="P19" s="11"/>
      <c r="Q19" s="9"/>
      <c r="R19" s="12" t="str">
        <f aca="false">IF(AND(N19="Corregir",LEN(TRIM(O19))=0),"Falta el texto corregido",IF(AND(OR(N19="Coincide",N19="Corregir"),LEN(TRIM(I19))=0),"Falta citar la fuente",IF(AND(N19="No figura en la fuente",LEN(TRIM(Q19))=0),"Explica dónde buscaste",IF(AND(N19&lt;&gt;"Pendiente",P19=""),"Falta la fecha",""))))</f>
        <v/>
      </c>
      <c r="S19" s="10"/>
    </row>
    <row r="20" customFormat="false" ht="91.5" hidden="false" customHeight="true" outlineLevel="0" collapsed="false">
      <c r="A20" s="4" t="n">
        <v>17</v>
      </c>
      <c r="B20" s="5" t="s">
        <v>102</v>
      </c>
      <c r="C20" s="6" t="s">
        <v>76</v>
      </c>
      <c r="D20" s="7" t="s">
        <v>23</v>
      </c>
      <c r="E20" s="6" t="s">
        <v>24</v>
      </c>
      <c r="F20" s="7" t="s">
        <v>25</v>
      </c>
      <c r="G20" s="8" t="s">
        <v>103</v>
      </c>
      <c r="H20" s="8" t="s">
        <v>104</v>
      </c>
      <c r="I20" s="9"/>
      <c r="J20" s="9"/>
      <c r="K20" s="9"/>
      <c r="L20" s="9"/>
      <c r="M20" s="9"/>
      <c r="N20" s="10" t="s">
        <v>31</v>
      </c>
      <c r="O20" s="9"/>
      <c r="P20" s="11"/>
      <c r="Q20" s="9"/>
      <c r="R20" s="12" t="str">
        <f aca="false">IF(AND(N20="Corregir",LEN(TRIM(O20))=0),"Falta el texto corregido",IF(AND(OR(N20="Coincide",N20="Corregir"),LEN(TRIM(I20))=0),"Falta citar la fuente",IF(AND(N20="No figura en la fuente",LEN(TRIM(Q20))=0),"Explica dónde buscaste",IF(AND(N20&lt;&gt;"Pendiente",P20=""),"Falta la fecha",""))))</f>
        <v/>
      </c>
      <c r="S20" s="10"/>
    </row>
    <row r="21" customFormat="false" ht="91.5" hidden="false" customHeight="true" outlineLevel="0" collapsed="false">
      <c r="A21" s="4" t="n">
        <v>18</v>
      </c>
      <c r="B21" s="5" t="s">
        <v>105</v>
      </c>
      <c r="C21" s="6" t="s">
        <v>76</v>
      </c>
      <c r="D21" s="7" t="s">
        <v>23</v>
      </c>
      <c r="E21" s="6" t="s">
        <v>24</v>
      </c>
      <c r="F21" s="7" t="s">
        <v>25</v>
      </c>
      <c r="G21" s="8" t="s">
        <v>106</v>
      </c>
      <c r="H21" s="8" t="s">
        <v>107</v>
      </c>
      <c r="I21" s="9"/>
      <c r="J21" s="9"/>
      <c r="K21" s="9"/>
      <c r="L21" s="9"/>
      <c r="M21" s="9"/>
      <c r="N21" s="10" t="s">
        <v>31</v>
      </c>
      <c r="O21" s="9"/>
      <c r="P21" s="11"/>
      <c r="Q21" s="9"/>
      <c r="R21" s="12" t="str">
        <f aca="false">IF(AND(N21="Corregir",LEN(TRIM(O21))=0),"Falta el texto corregido",IF(AND(OR(N21="Coincide",N21="Corregir"),LEN(TRIM(I21))=0),"Falta citar la fuente",IF(AND(N21="No figura en la fuente",LEN(TRIM(Q21))=0),"Explica dónde buscaste",IF(AND(N21&lt;&gt;"Pendiente",P21=""),"Falta la fecha",""))))</f>
        <v/>
      </c>
      <c r="S21" s="10"/>
    </row>
    <row r="22" customFormat="false" ht="91.5" hidden="false" customHeight="true" outlineLevel="0" collapsed="false">
      <c r="A22" s="4" t="n">
        <v>19</v>
      </c>
      <c r="B22" s="5" t="s">
        <v>108</v>
      </c>
      <c r="C22" s="6" t="s">
        <v>109</v>
      </c>
      <c r="D22" s="7" t="s">
        <v>23</v>
      </c>
      <c r="E22" s="6" t="s">
        <v>24</v>
      </c>
      <c r="F22" s="7" t="s">
        <v>25</v>
      </c>
      <c r="G22" s="8" t="s">
        <v>110</v>
      </c>
      <c r="H22" s="8" t="s">
        <v>111</v>
      </c>
      <c r="I22" s="9" t="s">
        <v>112</v>
      </c>
      <c r="J22" s="9"/>
      <c r="K22" s="9"/>
      <c r="L22" s="9" t="s">
        <v>113</v>
      </c>
      <c r="M22" s="9" t="s">
        <v>114</v>
      </c>
      <c r="N22" s="10" t="s">
        <v>31</v>
      </c>
      <c r="O22" s="9"/>
      <c r="P22" s="11"/>
      <c r="Q22" s="9" t="s">
        <v>115</v>
      </c>
      <c r="R22" s="12" t="str">
        <f aca="false">IF(AND(N22="Corregir",LEN(TRIM(O22))=0),"Falta el texto corregido",IF(AND(OR(N22="Coincide",N22="Corregir"),LEN(TRIM(I22))=0),"Falta citar la fuente",IF(AND(N22="No figura en la fuente",LEN(TRIM(Q22))=0),"Explica dónde buscaste",IF(AND(N22&lt;&gt;"Pendiente",P22=""),"Falta la fecha",""))))</f>
        <v/>
      </c>
      <c r="S22" s="10"/>
    </row>
    <row r="23" customFormat="false" ht="91.5" hidden="false" customHeight="true" outlineLevel="0" collapsed="false">
      <c r="A23" s="4" t="n">
        <v>20</v>
      </c>
      <c r="B23" s="5" t="s">
        <v>116</v>
      </c>
      <c r="C23" s="6" t="s">
        <v>109</v>
      </c>
      <c r="D23" s="7" t="s">
        <v>23</v>
      </c>
      <c r="E23" s="6" t="s">
        <v>24</v>
      </c>
      <c r="F23" s="7" t="s">
        <v>25</v>
      </c>
      <c r="G23" s="8" t="s">
        <v>117</v>
      </c>
      <c r="H23" s="8" t="s">
        <v>118</v>
      </c>
      <c r="I23" s="9" t="s">
        <v>112</v>
      </c>
      <c r="J23" s="9"/>
      <c r="K23" s="9"/>
      <c r="L23" s="9" t="s">
        <v>119</v>
      </c>
      <c r="M23" s="9" t="s">
        <v>120</v>
      </c>
      <c r="N23" s="10" t="s">
        <v>31</v>
      </c>
      <c r="O23" s="9"/>
      <c r="P23" s="11"/>
      <c r="Q23" s="9" t="s">
        <v>115</v>
      </c>
      <c r="R23" s="12" t="str">
        <f aca="false">IF(AND(N23="Corregir",LEN(TRIM(O23))=0),"Falta el texto corregido",IF(AND(OR(N23="Coincide",N23="Corregir"),LEN(TRIM(I23))=0),"Falta citar la fuente",IF(AND(N23="No figura en la fuente",LEN(TRIM(Q23))=0),"Explica dónde buscaste",IF(AND(N23&lt;&gt;"Pendiente",P23=""),"Falta la fecha",""))))</f>
        <v/>
      </c>
      <c r="S23" s="10"/>
    </row>
    <row r="24" customFormat="false" ht="91.5" hidden="false" customHeight="true" outlineLevel="0" collapsed="false">
      <c r="A24" s="4" t="n">
        <v>21</v>
      </c>
      <c r="B24" s="5" t="s">
        <v>121</v>
      </c>
      <c r="C24" s="6" t="s">
        <v>109</v>
      </c>
      <c r="D24" s="7" t="s">
        <v>23</v>
      </c>
      <c r="E24" s="6" t="s">
        <v>24</v>
      </c>
      <c r="F24" s="7" t="s">
        <v>25</v>
      </c>
      <c r="G24" s="8" t="s">
        <v>122</v>
      </c>
      <c r="H24" s="8" t="s">
        <v>123</v>
      </c>
      <c r="I24" s="9"/>
      <c r="J24" s="9"/>
      <c r="K24" s="9"/>
      <c r="L24" s="9"/>
      <c r="M24" s="9"/>
      <c r="N24" s="10" t="s">
        <v>31</v>
      </c>
      <c r="O24" s="9"/>
      <c r="P24" s="11"/>
      <c r="Q24" s="9"/>
      <c r="R24" s="12" t="str">
        <f aca="false">IF(AND(N24="Corregir",LEN(TRIM(O24))=0),"Falta el texto corregido",IF(AND(OR(N24="Coincide",N24="Corregir"),LEN(TRIM(I24))=0),"Falta citar la fuente",IF(AND(N24="No figura en la fuente",LEN(TRIM(Q24))=0),"Explica dónde buscaste",IF(AND(N24&lt;&gt;"Pendiente",P24=""),"Falta la fecha",""))))</f>
        <v/>
      </c>
      <c r="S24" s="10"/>
    </row>
    <row r="25" customFormat="false" ht="91.5" hidden="false" customHeight="true" outlineLevel="0" collapsed="false">
      <c r="A25" s="4" t="n">
        <v>22</v>
      </c>
      <c r="B25" s="5" t="s">
        <v>124</v>
      </c>
      <c r="C25" s="6" t="s">
        <v>109</v>
      </c>
      <c r="D25" s="7" t="s">
        <v>55</v>
      </c>
      <c r="E25" s="6" t="s">
        <v>84</v>
      </c>
      <c r="F25" s="7" t="s">
        <v>125</v>
      </c>
      <c r="G25" s="8" t="s">
        <v>126</v>
      </c>
      <c r="H25" s="8" t="s">
        <v>127</v>
      </c>
      <c r="I25" s="9" t="s">
        <v>128</v>
      </c>
      <c r="J25" s="9"/>
      <c r="K25" s="9"/>
      <c r="L25" s="9"/>
      <c r="M25" s="9" t="s">
        <v>129</v>
      </c>
      <c r="N25" s="10" t="s">
        <v>89</v>
      </c>
      <c r="O25" s="9" t="s">
        <v>130</v>
      </c>
      <c r="P25" s="11" t="n">
        <v>46300</v>
      </c>
      <c r="Q25" s="9" t="s">
        <v>131</v>
      </c>
      <c r="R25" s="12" t="str">
        <f aca="false">IF(AND(N25="Corregir",LEN(TRIM(O25))=0),"Falta el texto corregido",IF(AND(OR(N25="Coincide",N25="Corregir"),LEN(TRIM(I25))=0),"Falta citar la fuente",IF(AND(N25="No figura en la fuente",LEN(TRIM(Q25))=0),"Explica dónde buscaste",IF(AND(N25&lt;&gt;"Pendiente",P25=""),"Falta la fecha",""))))</f>
        <v/>
      </c>
      <c r="S25" s="10"/>
    </row>
    <row r="26" customFormat="false" ht="91.5" hidden="false" customHeight="true" outlineLevel="0" collapsed="false">
      <c r="A26" s="4" t="n">
        <v>23</v>
      </c>
      <c r="B26" s="5" t="s">
        <v>132</v>
      </c>
      <c r="C26" s="6" t="s">
        <v>109</v>
      </c>
      <c r="D26" s="7" t="s">
        <v>55</v>
      </c>
      <c r="E26" s="6" t="s">
        <v>84</v>
      </c>
      <c r="F26" s="7" t="s">
        <v>25</v>
      </c>
      <c r="G26" s="8" t="s">
        <v>133</v>
      </c>
      <c r="H26" s="8" t="s">
        <v>134</v>
      </c>
      <c r="I26" s="9" t="s">
        <v>128</v>
      </c>
      <c r="J26" s="9"/>
      <c r="K26" s="9"/>
      <c r="L26" s="9"/>
      <c r="M26" s="9" t="s">
        <v>129</v>
      </c>
      <c r="N26" s="10" t="s">
        <v>89</v>
      </c>
      <c r="O26" s="9" t="s">
        <v>135</v>
      </c>
      <c r="P26" s="11" t="n">
        <v>46300</v>
      </c>
      <c r="Q26" s="9" t="s">
        <v>136</v>
      </c>
      <c r="R26" s="12" t="str">
        <f aca="false">IF(AND(N26="Corregir",LEN(TRIM(O26))=0),"Falta el texto corregido",IF(AND(OR(N26="Coincide",N26="Corregir"),LEN(TRIM(I26))=0),"Falta citar la fuente",IF(AND(N26="No figura en la fuente",LEN(TRIM(Q26))=0),"Explica dónde buscaste",IF(AND(N26&lt;&gt;"Pendiente",P26=""),"Falta la fecha",""))))</f>
        <v/>
      </c>
      <c r="S26" s="10"/>
    </row>
    <row r="27" customFormat="false" ht="91.5" hidden="false" customHeight="true" outlineLevel="0" collapsed="false">
      <c r="A27" s="4" t="n">
        <v>24</v>
      </c>
      <c r="B27" s="5" t="s">
        <v>137</v>
      </c>
      <c r="C27" s="6" t="s">
        <v>138</v>
      </c>
      <c r="D27" s="7" t="s">
        <v>23</v>
      </c>
      <c r="E27" s="6" t="s">
        <v>24</v>
      </c>
      <c r="F27" s="7" t="s">
        <v>25</v>
      </c>
      <c r="G27" s="8" t="s">
        <v>139</v>
      </c>
      <c r="H27" s="8" t="s">
        <v>140</v>
      </c>
      <c r="I27" s="9" t="s">
        <v>141</v>
      </c>
      <c r="J27" s="9" t="s">
        <v>142</v>
      </c>
      <c r="K27" s="9" t="s">
        <v>143</v>
      </c>
      <c r="L27" s="9" t="s">
        <v>144</v>
      </c>
      <c r="M27" s="9" t="s">
        <v>145</v>
      </c>
      <c r="N27" s="10" t="s">
        <v>31</v>
      </c>
      <c r="O27" s="9"/>
      <c r="P27" s="11"/>
      <c r="Q27" s="9" t="s">
        <v>146</v>
      </c>
      <c r="R27" s="12" t="str">
        <f aca="false">IF(AND(N27="Corregir",LEN(TRIM(O27))=0),"Falta el texto corregido",IF(AND(OR(N27="Coincide",N27="Corregir"),LEN(TRIM(I27))=0),"Falta citar la fuente",IF(AND(N27="No figura en la fuente",LEN(TRIM(Q27))=0),"Explica dónde buscaste",IF(AND(N27&lt;&gt;"Pendiente",P27=""),"Falta la fecha",""))))</f>
        <v/>
      </c>
      <c r="S27" s="10"/>
    </row>
    <row r="28" customFormat="false" ht="91.5" hidden="false" customHeight="true" outlineLevel="0" collapsed="false">
      <c r="A28" s="4" t="n">
        <v>25</v>
      </c>
      <c r="B28" s="5" t="s">
        <v>147</v>
      </c>
      <c r="C28" s="6" t="s">
        <v>138</v>
      </c>
      <c r="D28" s="7" t="s">
        <v>23</v>
      </c>
      <c r="E28" s="6" t="s">
        <v>24</v>
      </c>
      <c r="F28" s="7" t="s">
        <v>25</v>
      </c>
      <c r="G28" s="8" t="s">
        <v>148</v>
      </c>
      <c r="H28" s="8" t="s">
        <v>149</v>
      </c>
      <c r="I28" s="9" t="s">
        <v>150</v>
      </c>
      <c r="J28" s="9"/>
      <c r="K28" s="9"/>
      <c r="L28" s="9"/>
      <c r="M28" s="9"/>
      <c r="N28" s="10" t="s">
        <v>31</v>
      </c>
      <c r="O28" s="9"/>
      <c r="P28" s="11"/>
      <c r="Q28" s="9" t="s">
        <v>151</v>
      </c>
      <c r="R28" s="12" t="str">
        <f aca="false">IF(AND(N28="Corregir",LEN(TRIM(O28))=0),"Falta el texto corregido",IF(AND(OR(N28="Coincide",N28="Corregir"),LEN(TRIM(I28))=0),"Falta citar la fuente",IF(AND(N28="No figura en la fuente",LEN(TRIM(Q28))=0),"Explica dónde buscaste",IF(AND(N28&lt;&gt;"Pendiente",P28=""),"Falta la fecha",""))))</f>
        <v/>
      </c>
      <c r="S28" s="10"/>
    </row>
    <row r="29" customFormat="false" ht="91.5" hidden="false" customHeight="true" outlineLevel="0" collapsed="false">
      <c r="A29" s="4" t="n">
        <v>26</v>
      </c>
      <c r="B29" s="5" t="s">
        <v>152</v>
      </c>
      <c r="C29" s="6" t="s">
        <v>138</v>
      </c>
      <c r="D29" s="7" t="s">
        <v>23</v>
      </c>
      <c r="E29" s="6" t="s">
        <v>24</v>
      </c>
      <c r="F29" s="7" t="s">
        <v>25</v>
      </c>
      <c r="G29" s="8" t="s">
        <v>153</v>
      </c>
      <c r="H29" s="8" t="s">
        <v>154</v>
      </c>
      <c r="I29" s="9" t="s">
        <v>155</v>
      </c>
      <c r="J29" s="9" t="s">
        <v>156</v>
      </c>
      <c r="K29" s="9" t="s">
        <v>157</v>
      </c>
      <c r="L29" s="9"/>
      <c r="M29" s="9" t="s">
        <v>158</v>
      </c>
      <c r="N29" s="10" t="s">
        <v>89</v>
      </c>
      <c r="O29" s="9" t="s">
        <v>159</v>
      </c>
      <c r="P29" s="11" t="n">
        <v>46300</v>
      </c>
      <c r="Q29" s="9" t="s">
        <v>160</v>
      </c>
      <c r="R29" s="12" t="str">
        <f aca="false">IF(AND(N29="Corregir",LEN(TRIM(O29))=0),"Falta el texto corregido",IF(AND(OR(N29="Coincide",N29="Corregir"),LEN(TRIM(I29))=0),"Falta citar la fuente",IF(AND(N29="No figura en la fuente",LEN(TRIM(Q29))=0),"Explica dónde buscaste",IF(AND(N29&lt;&gt;"Pendiente",P29=""),"Falta la fecha",""))))</f>
        <v/>
      </c>
      <c r="S29" s="10"/>
    </row>
    <row r="30" customFormat="false" ht="91.5" hidden="false" customHeight="true" outlineLevel="0" collapsed="false">
      <c r="A30" s="4" t="n">
        <v>27</v>
      </c>
      <c r="B30" s="5" t="s">
        <v>161</v>
      </c>
      <c r="C30" s="6" t="s">
        <v>138</v>
      </c>
      <c r="D30" s="7" t="s">
        <v>23</v>
      </c>
      <c r="E30" s="6" t="s">
        <v>24</v>
      </c>
      <c r="F30" s="7" t="s">
        <v>25</v>
      </c>
      <c r="G30" s="8" t="s">
        <v>162</v>
      </c>
      <c r="H30" s="8" t="s">
        <v>163</v>
      </c>
      <c r="I30" s="9"/>
      <c r="J30" s="9"/>
      <c r="K30" s="9"/>
      <c r="L30" s="9"/>
      <c r="M30" s="9"/>
      <c r="N30" s="10" t="s">
        <v>31</v>
      </c>
      <c r="O30" s="9"/>
      <c r="P30" s="11"/>
      <c r="Q30" s="9"/>
      <c r="R30" s="12" t="str">
        <f aca="false">IF(AND(N30="Corregir",LEN(TRIM(O30))=0),"Falta el texto corregido",IF(AND(OR(N30="Coincide",N30="Corregir"),LEN(TRIM(I30))=0),"Falta citar la fuente",IF(AND(N30="No figura en la fuente",LEN(TRIM(Q30))=0),"Explica dónde buscaste",IF(AND(N30&lt;&gt;"Pendiente",P30=""),"Falta la fecha",""))))</f>
        <v/>
      </c>
      <c r="S30" s="10"/>
    </row>
    <row r="31" customFormat="false" ht="91.5" hidden="false" customHeight="true" outlineLevel="0" collapsed="false">
      <c r="A31" s="4" t="n">
        <v>28</v>
      </c>
      <c r="B31" s="5" t="s">
        <v>164</v>
      </c>
      <c r="C31" s="6" t="s">
        <v>138</v>
      </c>
      <c r="D31" s="7" t="s">
        <v>23</v>
      </c>
      <c r="E31" s="6" t="s">
        <v>24</v>
      </c>
      <c r="F31" s="7" t="s">
        <v>25</v>
      </c>
      <c r="G31" s="8" t="s">
        <v>165</v>
      </c>
      <c r="H31" s="8" t="s">
        <v>166</v>
      </c>
      <c r="I31" s="9"/>
      <c r="J31" s="9"/>
      <c r="K31" s="9"/>
      <c r="L31" s="9"/>
      <c r="M31" s="9"/>
      <c r="N31" s="10" t="s">
        <v>31</v>
      </c>
      <c r="O31" s="9"/>
      <c r="P31" s="11"/>
      <c r="Q31" s="9"/>
      <c r="R31" s="12" t="str">
        <f aca="false">IF(AND(N31="Corregir",LEN(TRIM(O31))=0),"Falta el texto corregido",IF(AND(OR(N31="Coincide",N31="Corregir"),LEN(TRIM(I31))=0),"Falta citar la fuente",IF(AND(N31="No figura en la fuente",LEN(TRIM(Q31))=0),"Explica dónde buscaste",IF(AND(N31&lt;&gt;"Pendiente",P31=""),"Falta la fecha",""))))</f>
        <v/>
      </c>
      <c r="S31" s="10"/>
    </row>
    <row r="32" customFormat="false" ht="91.5" hidden="false" customHeight="true" outlineLevel="0" collapsed="false">
      <c r="A32" s="4" t="n">
        <v>29</v>
      </c>
      <c r="B32" s="5" t="s">
        <v>167</v>
      </c>
      <c r="C32" s="6" t="s">
        <v>168</v>
      </c>
      <c r="D32" s="7" t="s">
        <v>55</v>
      </c>
      <c r="E32" s="6" t="s">
        <v>84</v>
      </c>
      <c r="F32" s="7" t="s">
        <v>125</v>
      </c>
      <c r="G32" s="8" t="s">
        <v>169</v>
      </c>
      <c r="H32" s="8" t="s">
        <v>170</v>
      </c>
      <c r="I32" s="9"/>
      <c r="J32" s="9"/>
      <c r="K32" s="9"/>
      <c r="L32" s="9"/>
      <c r="M32" s="9"/>
      <c r="N32" s="10" t="s">
        <v>31</v>
      </c>
      <c r="O32" s="9"/>
      <c r="P32" s="11"/>
      <c r="Q32" s="9"/>
      <c r="R32" s="12" t="str">
        <f aca="false">IF(AND(N32="Corregir",LEN(TRIM(O32))=0),"Falta el texto corregido",IF(AND(OR(N32="Coincide",N32="Corregir"),LEN(TRIM(I32))=0),"Falta citar la fuente",IF(AND(N32="No figura en la fuente",LEN(TRIM(Q32))=0),"Explica dónde buscaste",IF(AND(N32&lt;&gt;"Pendiente",P32=""),"Falta la fecha",""))))</f>
        <v/>
      </c>
      <c r="S32" s="10"/>
    </row>
    <row r="33" customFormat="false" ht="91.5" hidden="false" customHeight="true" outlineLevel="0" collapsed="false">
      <c r="A33" s="4" t="n">
        <v>30</v>
      </c>
      <c r="B33" s="5" t="s">
        <v>171</v>
      </c>
      <c r="C33" s="6" t="s">
        <v>168</v>
      </c>
      <c r="D33" s="7" t="s">
        <v>55</v>
      </c>
      <c r="E33" s="6" t="s">
        <v>84</v>
      </c>
      <c r="F33" s="7" t="s">
        <v>25</v>
      </c>
      <c r="G33" s="8" t="s">
        <v>172</v>
      </c>
      <c r="H33" s="8" t="s">
        <v>173</v>
      </c>
      <c r="I33" s="9"/>
      <c r="J33" s="9"/>
      <c r="K33" s="9"/>
      <c r="L33" s="9"/>
      <c r="M33" s="9"/>
      <c r="N33" s="10" t="s">
        <v>31</v>
      </c>
      <c r="O33" s="9"/>
      <c r="P33" s="11"/>
      <c r="Q33" s="9"/>
      <c r="R33" s="12" t="str">
        <f aca="false">IF(AND(N33="Corregir",LEN(TRIM(O33))=0),"Falta el texto corregido",IF(AND(OR(N33="Coincide",N33="Corregir"),LEN(TRIM(I33))=0),"Falta citar la fuente",IF(AND(N33="No figura en la fuente",LEN(TRIM(Q33))=0),"Explica dónde buscaste",IF(AND(N33&lt;&gt;"Pendiente",P33=""),"Falta la fecha",""))))</f>
        <v/>
      </c>
      <c r="S33" s="10"/>
    </row>
    <row r="34" customFormat="false" ht="91.5" hidden="false" customHeight="true" outlineLevel="0" collapsed="false">
      <c r="A34" s="4" t="n">
        <v>31</v>
      </c>
      <c r="B34" s="5" t="s">
        <v>174</v>
      </c>
      <c r="C34" s="6" t="s">
        <v>168</v>
      </c>
      <c r="D34" s="7" t="s">
        <v>55</v>
      </c>
      <c r="E34" s="6" t="s">
        <v>56</v>
      </c>
      <c r="F34" s="7" t="s">
        <v>25</v>
      </c>
      <c r="G34" s="8" t="s">
        <v>175</v>
      </c>
      <c r="H34" s="8" t="s">
        <v>176</v>
      </c>
      <c r="I34" s="9"/>
      <c r="J34" s="9"/>
      <c r="K34" s="9"/>
      <c r="L34" s="9"/>
      <c r="M34" s="9"/>
      <c r="N34" s="10" t="s">
        <v>31</v>
      </c>
      <c r="O34" s="9"/>
      <c r="P34" s="11"/>
      <c r="Q34" s="9"/>
      <c r="R34" s="12" t="str">
        <f aca="false">IF(AND(N34="Corregir",LEN(TRIM(O34))=0),"Falta el texto corregido",IF(AND(OR(N34="Coincide",N34="Corregir"),LEN(TRIM(I34))=0),"Falta citar la fuente",IF(AND(N34="No figura en la fuente",LEN(TRIM(Q34))=0),"Explica dónde buscaste",IF(AND(N34&lt;&gt;"Pendiente",P34=""),"Falta la fecha",""))))</f>
        <v/>
      </c>
      <c r="S34" s="10"/>
    </row>
    <row r="35" customFormat="false" ht="91.5" hidden="false" customHeight="true" outlineLevel="0" collapsed="false">
      <c r="A35" s="4" t="n">
        <v>32</v>
      </c>
      <c r="B35" s="5" t="s">
        <v>177</v>
      </c>
      <c r="C35" s="6" t="s">
        <v>168</v>
      </c>
      <c r="D35" s="7" t="s">
        <v>55</v>
      </c>
      <c r="E35" s="6" t="s">
        <v>56</v>
      </c>
      <c r="F35" s="7" t="s">
        <v>25</v>
      </c>
      <c r="G35" s="8" t="s">
        <v>178</v>
      </c>
      <c r="H35" s="8" t="s">
        <v>179</v>
      </c>
      <c r="I35" s="9"/>
      <c r="J35" s="9"/>
      <c r="K35" s="9"/>
      <c r="L35" s="9"/>
      <c r="M35" s="9"/>
      <c r="N35" s="10" t="s">
        <v>31</v>
      </c>
      <c r="O35" s="9"/>
      <c r="P35" s="11"/>
      <c r="Q35" s="9"/>
      <c r="R35" s="12" t="str">
        <f aca="false">IF(AND(N35="Corregir",LEN(TRIM(O35))=0),"Falta el texto corregido",IF(AND(OR(N35="Coincide",N35="Corregir"),LEN(TRIM(I35))=0),"Falta citar la fuente",IF(AND(N35="No figura en la fuente",LEN(TRIM(Q35))=0),"Explica dónde buscaste",IF(AND(N35&lt;&gt;"Pendiente",P35=""),"Falta la fecha",""))))</f>
        <v/>
      </c>
      <c r="S35" s="10"/>
    </row>
    <row r="36" customFormat="false" ht="91.5" hidden="false" customHeight="true" outlineLevel="0" collapsed="false">
      <c r="A36" s="4" t="n">
        <v>33</v>
      </c>
      <c r="B36" s="5" t="s">
        <v>180</v>
      </c>
      <c r="C36" s="6" t="s">
        <v>168</v>
      </c>
      <c r="D36" s="7" t="s">
        <v>55</v>
      </c>
      <c r="E36" s="6" t="s">
        <v>84</v>
      </c>
      <c r="F36" s="7" t="s">
        <v>25</v>
      </c>
      <c r="G36" s="8" t="s">
        <v>181</v>
      </c>
      <c r="H36" s="8" t="s">
        <v>182</v>
      </c>
      <c r="I36" s="9"/>
      <c r="J36" s="9"/>
      <c r="K36" s="9"/>
      <c r="L36" s="9"/>
      <c r="M36" s="9"/>
      <c r="N36" s="10" t="s">
        <v>31</v>
      </c>
      <c r="O36" s="9"/>
      <c r="P36" s="11"/>
      <c r="Q36" s="9"/>
      <c r="R36" s="12" t="str">
        <f aca="false">IF(AND(N36="Corregir",LEN(TRIM(O36))=0),"Falta el texto corregido",IF(AND(OR(N36="Coincide",N36="Corregir"),LEN(TRIM(I36))=0),"Falta citar la fuente",IF(AND(N36="No figura en la fuente",LEN(TRIM(Q36))=0),"Explica dónde buscaste",IF(AND(N36&lt;&gt;"Pendiente",P36=""),"Falta la fecha",""))))</f>
        <v/>
      </c>
      <c r="S36" s="10"/>
    </row>
    <row r="37" customFormat="false" ht="91.5" hidden="false" customHeight="true" outlineLevel="0" collapsed="false">
      <c r="A37" s="4" t="n">
        <v>34</v>
      </c>
      <c r="B37" s="5" t="s">
        <v>183</v>
      </c>
      <c r="C37" s="6" t="s">
        <v>184</v>
      </c>
      <c r="D37" s="7" t="s">
        <v>23</v>
      </c>
      <c r="E37" s="6" t="s">
        <v>56</v>
      </c>
      <c r="F37" s="7" t="s">
        <v>25</v>
      </c>
      <c r="G37" s="8" t="s">
        <v>185</v>
      </c>
      <c r="H37" s="8" t="s">
        <v>186</v>
      </c>
      <c r="I37" s="9"/>
      <c r="J37" s="9"/>
      <c r="K37" s="9"/>
      <c r="L37" s="9"/>
      <c r="M37" s="9"/>
      <c r="N37" s="10" t="s">
        <v>31</v>
      </c>
      <c r="O37" s="9"/>
      <c r="P37" s="11"/>
      <c r="Q37" s="9"/>
      <c r="R37" s="12" t="str">
        <f aca="false">IF(AND(N37="Corregir",LEN(TRIM(O37))=0),"Falta el texto corregido",IF(AND(OR(N37="Coincide",N37="Corregir"),LEN(TRIM(I37))=0),"Falta citar la fuente",IF(AND(N37="No figura en la fuente",LEN(TRIM(Q37))=0),"Explica dónde buscaste",IF(AND(N37&lt;&gt;"Pendiente",P37=""),"Falta la fecha",""))))</f>
        <v/>
      </c>
      <c r="S37" s="10"/>
    </row>
    <row r="38" customFormat="false" ht="91.5" hidden="false" customHeight="true" outlineLevel="0" collapsed="false">
      <c r="A38" s="4" t="n">
        <v>35</v>
      </c>
      <c r="B38" s="5" t="s">
        <v>187</v>
      </c>
      <c r="C38" s="6" t="s">
        <v>184</v>
      </c>
      <c r="D38" s="7" t="s">
        <v>55</v>
      </c>
      <c r="E38" s="6" t="s">
        <v>84</v>
      </c>
      <c r="F38" s="7" t="s">
        <v>25</v>
      </c>
      <c r="G38" s="8" t="s">
        <v>188</v>
      </c>
      <c r="H38" s="8" t="s">
        <v>189</v>
      </c>
      <c r="I38" s="9"/>
      <c r="J38" s="9"/>
      <c r="K38" s="9"/>
      <c r="L38" s="9"/>
      <c r="M38" s="9"/>
      <c r="N38" s="10" t="s">
        <v>31</v>
      </c>
      <c r="O38" s="9"/>
      <c r="P38" s="11"/>
      <c r="Q38" s="9"/>
      <c r="R38" s="12" t="str">
        <f aca="false">IF(AND(N38="Corregir",LEN(TRIM(O38))=0),"Falta el texto corregido",IF(AND(OR(N38="Coincide",N38="Corregir"),LEN(TRIM(I38))=0),"Falta citar la fuente",IF(AND(N38="No figura en la fuente",LEN(TRIM(Q38))=0),"Explica dónde buscaste",IF(AND(N38&lt;&gt;"Pendiente",P38=""),"Falta la fecha",""))))</f>
        <v/>
      </c>
      <c r="S38" s="10"/>
    </row>
    <row r="39" customFormat="false" ht="91.5" hidden="false" customHeight="true" outlineLevel="0" collapsed="false">
      <c r="A39" s="4" t="n">
        <v>36</v>
      </c>
      <c r="B39" s="5" t="s">
        <v>190</v>
      </c>
      <c r="C39" s="6" t="s">
        <v>184</v>
      </c>
      <c r="D39" s="7" t="s">
        <v>55</v>
      </c>
      <c r="E39" s="6" t="s">
        <v>84</v>
      </c>
      <c r="F39" s="7" t="s">
        <v>25</v>
      </c>
      <c r="G39" s="8" t="s">
        <v>191</v>
      </c>
      <c r="H39" s="8" t="s">
        <v>192</v>
      </c>
      <c r="I39" s="9" t="s">
        <v>193</v>
      </c>
      <c r="J39" s="9"/>
      <c r="K39" s="9"/>
      <c r="L39" s="9"/>
      <c r="M39" s="9" t="s">
        <v>194</v>
      </c>
      <c r="N39" s="10" t="s">
        <v>89</v>
      </c>
      <c r="O39" s="9" t="s">
        <v>195</v>
      </c>
      <c r="P39" s="11" t="n">
        <v>46300</v>
      </c>
      <c r="Q39" s="9" t="s">
        <v>196</v>
      </c>
      <c r="R39" s="12" t="str">
        <f aca="false">IF(AND(N39="Corregir",LEN(TRIM(O39))=0),"Falta el texto corregido",IF(AND(OR(N39="Coincide",N39="Corregir"),LEN(TRIM(I39))=0),"Falta citar la fuente",IF(AND(N39="No figura en la fuente",LEN(TRIM(Q39))=0),"Explica dónde buscaste",IF(AND(N39&lt;&gt;"Pendiente",P39=""),"Falta la fecha",""))))</f>
        <v/>
      </c>
      <c r="S39" s="10"/>
    </row>
    <row r="40" customFormat="false" ht="91.5" hidden="false" customHeight="true" outlineLevel="0" collapsed="false">
      <c r="A40" s="4" t="n">
        <v>37</v>
      </c>
      <c r="B40" s="5" t="s">
        <v>197</v>
      </c>
      <c r="C40" s="6" t="s">
        <v>184</v>
      </c>
      <c r="D40" s="7" t="s">
        <v>55</v>
      </c>
      <c r="E40" s="6" t="s">
        <v>56</v>
      </c>
      <c r="F40" s="7" t="s">
        <v>25</v>
      </c>
      <c r="G40" s="8" t="s">
        <v>198</v>
      </c>
      <c r="H40" s="8" t="s">
        <v>199</v>
      </c>
      <c r="I40" s="9"/>
      <c r="J40" s="9"/>
      <c r="K40" s="9"/>
      <c r="L40" s="9"/>
      <c r="M40" s="9"/>
      <c r="N40" s="10" t="s">
        <v>31</v>
      </c>
      <c r="O40" s="9"/>
      <c r="P40" s="11"/>
      <c r="Q40" s="9"/>
      <c r="R40" s="12" t="str">
        <f aca="false">IF(AND(N40="Corregir",LEN(TRIM(O40))=0),"Falta el texto corregido",IF(AND(OR(N40="Coincide",N40="Corregir"),LEN(TRIM(I40))=0),"Falta citar la fuente",IF(AND(N40="No figura en la fuente",LEN(TRIM(Q40))=0),"Explica dónde buscaste",IF(AND(N40&lt;&gt;"Pendiente",P40=""),"Falta la fecha",""))))</f>
        <v/>
      </c>
      <c r="S40" s="10"/>
    </row>
    <row r="41" customFormat="false" ht="91.5" hidden="false" customHeight="true" outlineLevel="0" collapsed="false">
      <c r="A41" s="4" t="n">
        <v>38</v>
      </c>
      <c r="B41" s="5" t="s">
        <v>200</v>
      </c>
      <c r="C41" s="6" t="s">
        <v>184</v>
      </c>
      <c r="D41" s="7" t="s">
        <v>55</v>
      </c>
      <c r="E41" s="6" t="s">
        <v>84</v>
      </c>
      <c r="F41" s="7" t="s">
        <v>25</v>
      </c>
      <c r="G41" s="8" t="s">
        <v>201</v>
      </c>
      <c r="H41" s="8" t="s">
        <v>202</v>
      </c>
      <c r="I41" s="9"/>
      <c r="J41" s="9"/>
      <c r="K41" s="9"/>
      <c r="L41" s="9"/>
      <c r="M41" s="9"/>
      <c r="N41" s="10" t="s">
        <v>31</v>
      </c>
      <c r="O41" s="9"/>
      <c r="P41" s="11"/>
      <c r="Q41" s="9"/>
      <c r="R41" s="12" t="str">
        <f aca="false">IF(AND(N41="Corregir",LEN(TRIM(O41))=0),"Falta el texto corregido",IF(AND(OR(N41="Coincide",N41="Corregir"),LEN(TRIM(I41))=0),"Falta citar la fuente",IF(AND(N41="No figura en la fuente",LEN(TRIM(Q41))=0),"Explica dónde buscaste",IF(AND(N41&lt;&gt;"Pendiente",P41=""),"Falta la fecha",""))))</f>
        <v/>
      </c>
      <c r="S41" s="10"/>
    </row>
    <row r="42" customFormat="false" ht="91.5" hidden="false" customHeight="true" outlineLevel="0" collapsed="false">
      <c r="A42" s="4" t="n">
        <v>39</v>
      </c>
      <c r="B42" s="5" t="s">
        <v>203</v>
      </c>
      <c r="C42" s="6" t="s">
        <v>204</v>
      </c>
      <c r="D42" s="7" t="s">
        <v>55</v>
      </c>
      <c r="E42" s="6" t="s">
        <v>84</v>
      </c>
      <c r="F42" s="7" t="s">
        <v>25</v>
      </c>
      <c r="G42" s="8" t="s">
        <v>205</v>
      </c>
      <c r="H42" s="8" t="s">
        <v>206</v>
      </c>
      <c r="I42" s="9" t="s">
        <v>207</v>
      </c>
      <c r="J42" s="9"/>
      <c r="K42" s="9"/>
      <c r="L42" s="9"/>
      <c r="M42" s="9" t="s">
        <v>208</v>
      </c>
      <c r="N42" s="10" t="s">
        <v>89</v>
      </c>
      <c r="O42" s="9" t="s">
        <v>209</v>
      </c>
      <c r="P42" s="11" t="n">
        <v>46300</v>
      </c>
      <c r="Q42" s="9" t="s">
        <v>210</v>
      </c>
      <c r="R42" s="12" t="str">
        <f aca="false">IF(AND(N42="Corregir",LEN(TRIM(O42))=0),"Falta el texto corregido",IF(AND(OR(N42="Coincide",N42="Corregir"),LEN(TRIM(I42))=0),"Falta citar la fuente",IF(AND(N42="No figura en la fuente",LEN(TRIM(Q42))=0),"Explica dónde buscaste",IF(AND(N42&lt;&gt;"Pendiente",P42=""),"Falta la fecha",""))))</f>
        <v/>
      </c>
      <c r="S42" s="10"/>
    </row>
    <row r="43" customFormat="false" ht="91.5" hidden="false" customHeight="true" outlineLevel="0" collapsed="false">
      <c r="A43" s="4" t="n">
        <v>40</v>
      </c>
      <c r="B43" s="5" t="s">
        <v>211</v>
      </c>
      <c r="C43" s="6" t="s">
        <v>204</v>
      </c>
      <c r="D43" s="7" t="s">
        <v>55</v>
      </c>
      <c r="E43" s="6" t="s">
        <v>84</v>
      </c>
      <c r="F43" s="7" t="s">
        <v>25</v>
      </c>
      <c r="G43" s="8" t="s">
        <v>212</v>
      </c>
      <c r="H43" s="8" t="s">
        <v>213</v>
      </c>
      <c r="I43" s="9" t="s">
        <v>207</v>
      </c>
      <c r="J43" s="9"/>
      <c r="K43" s="9"/>
      <c r="L43" s="9"/>
      <c r="M43" s="9" t="s">
        <v>214</v>
      </c>
      <c r="N43" s="10" t="s">
        <v>89</v>
      </c>
      <c r="O43" s="9" t="s">
        <v>215</v>
      </c>
      <c r="P43" s="11" t="n">
        <v>46300</v>
      </c>
      <c r="Q43" s="9" t="s">
        <v>216</v>
      </c>
      <c r="R43" s="12" t="str">
        <f aca="false">IF(AND(N43="Corregir",LEN(TRIM(O43))=0),"Falta el texto corregido",IF(AND(OR(N43="Coincide",N43="Corregir"),LEN(TRIM(I43))=0),"Falta citar la fuente",IF(AND(N43="No figura en la fuente",LEN(TRIM(Q43))=0),"Explica dónde buscaste",IF(AND(N43&lt;&gt;"Pendiente",P43=""),"Falta la fecha",""))))</f>
        <v/>
      </c>
      <c r="S43" s="10"/>
    </row>
    <row r="44" customFormat="false" ht="91.5" hidden="false" customHeight="true" outlineLevel="0" collapsed="false">
      <c r="A44" s="4" t="n">
        <v>41</v>
      </c>
      <c r="B44" s="5" t="s">
        <v>217</v>
      </c>
      <c r="C44" s="6" t="s">
        <v>204</v>
      </c>
      <c r="D44" s="7" t="s">
        <v>23</v>
      </c>
      <c r="E44" s="6" t="s">
        <v>24</v>
      </c>
      <c r="F44" s="7" t="s">
        <v>125</v>
      </c>
      <c r="G44" s="8" t="s">
        <v>218</v>
      </c>
      <c r="H44" s="8" t="s">
        <v>219</v>
      </c>
      <c r="I44" s="9"/>
      <c r="J44" s="9"/>
      <c r="K44" s="9"/>
      <c r="L44" s="9"/>
      <c r="M44" s="9"/>
      <c r="N44" s="10" t="s">
        <v>31</v>
      </c>
      <c r="O44" s="9"/>
      <c r="P44" s="11"/>
      <c r="Q44" s="9"/>
      <c r="R44" s="12" t="str">
        <f aca="false">IF(AND(N44="Corregir",LEN(TRIM(O44))=0),"Falta el texto corregido",IF(AND(OR(N44="Coincide",N44="Corregir"),LEN(TRIM(I44))=0),"Falta citar la fuente",IF(AND(N44="No figura en la fuente",LEN(TRIM(Q44))=0),"Explica dónde buscaste",IF(AND(N44&lt;&gt;"Pendiente",P44=""),"Falta la fecha",""))))</f>
        <v/>
      </c>
      <c r="S44" s="10"/>
    </row>
    <row r="45" customFormat="false" ht="91.5" hidden="false" customHeight="true" outlineLevel="0" collapsed="false">
      <c r="A45" s="4" t="n">
        <v>42</v>
      </c>
      <c r="B45" s="5" t="s">
        <v>220</v>
      </c>
      <c r="C45" s="6" t="s">
        <v>204</v>
      </c>
      <c r="D45" s="7" t="s">
        <v>23</v>
      </c>
      <c r="E45" s="6" t="s">
        <v>24</v>
      </c>
      <c r="F45" s="7" t="s">
        <v>125</v>
      </c>
      <c r="G45" s="8" t="s">
        <v>221</v>
      </c>
      <c r="H45" s="8" t="s">
        <v>222</v>
      </c>
      <c r="I45" s="9"/>
      <c r="J45" s="9"/>
      <c r="K45" s="9"/>
      <c r="L45" s="9"/>
      <c r="M45" s="9"/>
      <c r="N45" s="10" t="s">
        <v>31</v>
      </c>
      <c r="O45" s="9"/>
      <c r="P45" s="11"/>
      <c r="Q45" s="9"/>
      <c r="R45" s="12" t="str">
        <f aca="false">IF(AND(N45="Corregir",LEN(TRIM(O45))=0),"Falta el texto corregido",IF(AND(OR(N45="Coincide",N45="Corregir"),LEN(TRIM(I45))=0),"Falta citar la fuente",IF(AND(N45="No figura en la fuente",LEN(TRIM(Q45))=0),"Explica dónde buscaste",IF(AND(N45&lt;&gt;"Pendiente",P45=""),"Falta la fecha",""))))</f>
        <v/>
      </c>
      <c r="S45" s="10"/>
    </row>
    <row r="46" customFormat="false" ht="91.5" hidden="false" customHeight="true" outlineLevel="0" collapsed="false">
      <c r="A46" s="4" t="n">
        <v>43</v>
      </c>
      <c r="B46" s="5" t="s">
        <v>223</v>
      </c>
      <c r="C46" s="6" t="s">
        <v>204</v>
      </c>
      <c r="D46" s="7" t="s">
        <v>55</v>
      </c>
      <c r="E46" s="6" t="s">
        <v>84</v>
      </c>
      <c r="F46" s="7" t="s">
        <v>25</v>
      </c>
      <c r="G46" s="8" t="s">
        <v>224</v>
      </c>
      <c r="H46" s="8" t="s">
        <v>225</v>
      </c>
      <c r="I46" s="9" t="s">
        <v>207</v>
      </c>
      <c r="J46" s="9"/>
      <c r="K46" s="9"/>
      <c r="L46" s="9"/>
      <c r="M46" s="9" t="s">
        <v>226</v>
      </c>
      <c r="N46" s="10" t="s">
        <v>89</v>
      </c>
      <c r="O46" s="9" t="s">
        <v>227</v>
      </c>
      <c r="P46" s="11" t="n">
        <v>46300</v>
      </c>
      <c r="Q46" s="9" t="s">
        <v>228</v>
      </c>
      <c r="R46" s="12" t="str">
        <f aca="false">IF(AND(N46="Corregir",LEN(TRIM(O46))=0),"Falta el texto corregido",IF(AND(OR(N46="Coincide",N46="Corregir"),LEN(TRIM(I46))=0),"Falta citar la fuente",IF(AND(N46="No figura en la fuente",LEN(TRIM(Q46))=0),"Explica dónde buscaste",IF(AND(N46&lt;&gt;"Pendiente",P46=""),"Falta la fecha",""))))</f>
        <v/>
      </c>
      <c r="S46" s="10"/>
    </row>
    <row r="47" customFormat="false" ht="91.5" hidden="false" customHeight="true" outlineLevel="0" collapsed="false">
      <c r="A47" s="4" t="n">
        <v>44</v>
      </c>
      <c r="B47" s="5" t="s">
        <v>229</v>
      </c>
      <c r="C47" s="6" t="s">
        <v>204</v>
      </c>
      <c r="D47" s="7" t="s">
        <v>55</v>
      </c>
      <c r="E47" s="6" t="s">
        <v>84</v>
      </c>
      <c r="F47" s="7" t="s">
        <v>25</v>
      </c>
      <c r="G47" s="8" t="s">
        <v>230</v>
      </c>
      <c r="H47" s="8" t="s">
        <v>231</v>
      </c>
      <c r="I47" s="9" t="s">
        <v>232</v>
      </c>
      <c r="J47" s="9"/>
      <c r="K47" s="9"/>
      <c r="L47" s="9"/>
      <c r="M47" s="9" t="s">
        <v>233</v>
      </c>
      <c r="N47" s="10" t="s">
        <v>89</v>
      </c>
      <c r="O47" s="9" t="s">
        <v>234</v>
      </c>
      <c r="P47" s="11" t="n">
        <v>46300</v>
      </c>
      <c r="Q47" s="9" t="s">
        <v>235</v>
      </c>
      <c r="R47" s="12" t="str">
        <f aca="false">IF(AND(N47="Corregir",LEN(TRIM(O47))=0),"Falta el texto corregido",IF(AND(OR(N47="Coincide",N47="Corregir"),LEN(TRIM(I47))=0),"Falta citar la fuente",IF(AND(N47="No figura en la fuente",LEN(TRIM(Q47))=0),"Explica dónde buscaste",IF(AND(N47&lt;&gt;"Pendiente",P47=""),"Falta la fecha",""))))</f>
        <v/>
      </c>
      <c r="S47" s="10"/>
    </row>
  </sheetData>
  <autoFilter ref="A3:S47"/>
  <mergeCells count="1">
    <mergeCell ref="A2:S2"/>
  </mergeCells>
  <conditionalFormatting sqref="N4:N47">
    <cfRule type="cellIs" priority="2" operator="equal" aboveAverage="0" equalAverage="0" bottom="0" percent="0" rank="0" text="" dxfId="6">
      <formula>"Coincide"</formula>
    </cfRule>
    <cfRule type="cellIs" priority="3" operator="equal" aboveAverage="0" equalAverage="0" bottom="0" percent="0" rank="0" text="" dxfId="7">
      <formula>"Corregir"</formula>
    </cfRule>
    <cfRule type="cellIs" priority="4" operator="equal" aboveAverage="0" equalAverage="0" bottom="0" percent="0" rank="0" text="" dxfId="8">
      <formula>"No figura en la fuente"</formula>
    </cfRule>
  </conditionalFormatting>
  <conditionalFormatting sqref="R4:R47">
    <cfRule type="expression" priority="5" aboveAverage="0" equalAverage="0" bottom="0" percent="0" rank="0" text="" dxfId="8">
      <formula>LEN($R4)&gt;0</formula>
    </cfRule>
  </conditionalFormatting>
  <dataValidations count="3">
    <dataValidation allowBlank="false" error="Elige un valor de la lista." errorStyle="stop" errorTitle="Resultado" operator="between" showDropDown="false" showErrorMessage="true" showInputMessage="false" sqref="N4:N47" type="list">
      <formula1>Parametros!$A$4:$A$7</formula1>
      <formula2>0</formula2>
    </dataValidation>
    <dataValidation allowBlank="true" error="Escribe una fecha válida." errorStyle="stop" errorTitle="Fecha" operator="greaterThan" showDropDown="false" showErrorMessage="true" showInputMessage="false" sqref="P4:P47" type="date">
      <formula1>36526</formula1>
      <formula2>0</formula2>
    </dataValidation>
    <dataValidation allowBlank="true" error="Elige Sí o No." errorStyle="stop" errorTitle="Confirmación" operator="between" showDropDown="false" showErrorMessage="true" showInputMessage="false" sqref="S4:S47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13" t="s">
        <v>237</v>
      </c>
    </row>
    <row r="4" customFormat="false" ht="15" hidden="false" customHeight="false" outlineLevel="0" collapsed="false">
      <c r="A4" s="14" t="s">
        <v>238</v>
      </c>
      <c r="B4" s="15"/>
      <c r="C4" s="15"/>
    </row>
    <row r="5" customFormat="false" ht="21.75" hidden="false" customHeight="true" outlineLevel="0" collapsed="false">
      <c r="A5" s="12" t="s">
        <v>239</v>
      </c>
      <c r="B5" s="16" t="n">
        <f aca="false">COUNTA(Verificacion!$B$4:$B$47)</f>
        <v>44</v>
      </c>
      <c r="C5" s="17"/>
    </row>
    <row r="6" customFormat="false" ht="21.75" hidden="false" customHeight="true" outlineLevel="0" collapsed="false">
      <c r="A6" s="12" t="s">
        <v>31</v>
      </c>
      <c r="B6" s="16" t="n">
        <f aca="false">COUNTIF(Verificacion!$N$4:$N$47,"Pendiente")</f>
        <v>34</v>
      </c>
      <c r="C6" s="17"/>
    </row>
    <row r="7" customFormat="false" ht="21.75" hidden="false" customHeight="true" outlineLevel="0" collapsed="false">
      <c r="A7" s="12" t="s">
        <v>240</v>
      </c>
      <c r="B7" s="16" t="n">
        <f aca="false">COUNTIF(Verificacion!$N$4:$N$47,"Coincide")</f>
        <v>0</v>
      </c>
      <c r="C7" s="17"/>
    </row>
    <row r="8" customFormat="false" ht="21.75" hidden="false" customHeight="true" outlineLevel="0" collapsed="false">
      <c r="A8" s="12" t="s">
        <v>89</v>
      </c>
      <c r="B8" s="16" t="n">
        <f aca="false">COUNTIF(Verificacion!$N$4:$N$47,"Corregir")</f>
        <v>10</v>
      </c>
      <c r="C8" s="17"/>
    </row>
    <row r="9" customFormat="false" ht="21.75" hidden="false" customHeight="true" outlineLevel="0" collapsed="false">
      <c r="A9" s="12" t="s">
        <v>241</v>
      </c>
      <c r="B9" s="16" t="n">
        <f aca="false">COUNTIF(Verificacion!$N$4:$N$47,"No figura en la fuente")</f>
        <v>0</v>
      </c>
      <c r="C9" s="17"/>
    </row>
    <row r="10" customFormat="false" ht="21.75" hidden="false" customHeight="true" outlineLevel="0" collapsed="false">
      <c r="A10" s="12" t="s">
        <v>242</v>
      </c>
      <c r="B10" s="4" t="n">
        <f aca="false">B5-B6</f>
        <v>10</v>
      </c>
      <c r="C10" s="17"/>
    </row>
    <row r="11" customFormat="false" ht="21.75" hidden="false" customHeight="true" outlineLevel="0" collapsed="false">
      <c r="A11" s="12" t="s">
        <v>238</v>
      </c>
      <c r="B11" s="18" t="n">
        <f aca="false">IF(B5=0,"",B10/B5)</f>
        <v>0.227272727272727</v>
      </c>
      <c r="C11" s="17"/>
    </row>
    <row r="13" customFormat="false" ht="15" hidden="false" customHeight="false" outlineLevel="0" collapsed="false">
      <c r="A13" s="14" t="s">
        <v>243</v>
      </c>
      <c r="B13" s="15"/>
      <c r="C13" s="15"/>
    </row>
    <row r="14" customFormat="false" ht="21.75" hidden="false" customHeight="true" outlineLevel="0" collapsed="false">
      <c r="A14" s="12" t="s">
        <v>244</v>
      </c>
      <c r="B14" s="16" t="n">
        <f aca="false">COUNTIFS(Verificacion!$D$4:$D$47,"Alta",Verificacion!$N$4:$N$47,"Pendiente")</f>
        <v>23</v>
      </c>
      <c r="C14" s="17" t="s">
        <v>245</v>
      </c>
    </row>
    <row r="15" customFormat="false" ht="21.75" hidden="false" customHeight="true" outlineLevel="0" collapsed="false">
      <c r="A15" s="12" t="s">
        <v>246</v>
      </c>
      <c r="B15" s="16" t="n">
        <f aca="false">COUNTIFS(Verificacion!$D$4:$D$47,"Media",Verificacion!$N$4:$N$47,"Pendiente")</f>
        <v>11</v>
      </c>
      <c r="C15" s="17" t="s">
        <v>247</v>
      </c>
    </row>
    <row r="17" customFormat="false" ht="15" hidden="false" customHeight="false" outlineLevel="0" collapsed="false">
      <c r="A17" s="14" t="s">
        <v>248</v>
      </c>
      <c r="B17" s="15"/>
      <c r="C17" s="15"/>
    </row>
    <row r="18" customFormat="false" ht="21.75" hidden="false" customHeight="true" outlineLevel="0" collapsed="false">
      <c r="A18" s="12" t="s">
        <v>249</v>
      </c>
      <c r="B18" s="16" t="n">
        <f aca="false">COUNTIF(Verificacion!$R$4:$R$47,"?*")</f>
        <v>0</v>
      </c>
      <c r="C18" s="17" t="s">
        <v>250</v>
      </c>
    </row>
    <row r="19" customFormat="false" ht="21.75" hidden="false" customHeight="true" outlineLevel="0" collapsed="false">
      <c r="A19" s="12" t="s">
        <v>251</v>
      </c>
      <c r="B19" s="16" t="n">
        <f aca="false">COUNTIF(Verificacion!$F$4:$F$47,"Sí")</f>
        <v>40</v>
      </c>
      <c r="C19" s="17" t="s">
        <v>252</v>
      </c>
    </row>
    <row r="20" customFormat="false" ht="21.75" hidden="false" customHeight="true" outlineLevel="0" collapsed="false">
      <c r="A20" s="12" t="s">
        <v>253</v>
      </c>
      <c r="B20" s="16" t="n">
        <f aca="false">COUNTIFS(Verificacion!$N$4:$N$47,"Corregir",Verificacion!$S$4:$S$47,"&lt;&gt;Sí")+COUNTIFS(Verificacion!$N$4:$N$47,"Coincide",Verificacion!$S$4:$S$47,"&lt;&gt;Sí")</f>
        <v>10</v>
      </c>
      <c r="C20" s="17" t="s">
        <v>254</v>
      </c>
    </row>
    <row r="21" customFormat="false" ht="30" hidden="false" customHeight="true" outlineLevel="0" collapsed="false">
      <c r="A21" s="5" t="s">
        <v>255</v>
      </c>
      <c r="B21" s="19" t="str">
        <f aca="false">IF(AND(B6=0,B18=0,B20=0),"Listo para actualizar domain.yml","Aún no")</f>
        <v>Aún no</v>
      </c>
    </row>
    <row r="23" customFormat="false" ht="15" hidden="false" customHeight="false" outlineLevel="0" collapsed="false">
      <c r="A23" s="14" t="s">
        <v>256</v>
      </c>
      <c r="B23" s="15"/>
      <c r="C23" s="15"/>
    </row>
    <row r="24" customFormat="false" ht="15" hidden="false" customHeight="false" outlineLevel="0" collapsed="false">
      <c r="A24" s="12" t="s">
        <v>22</v>
      </c>
      <c r="B24" s="16" t="str">
        <f aca="false">COUNTIFS(Verificacion!$C$4:$C$47,A24,Verificacion!$N$4:$N$47,"Pendiente")&amp;" / "&amp;COUNTIF(Verificacion!$C$4:$C$47,A24)</f>
        <v>6 / 6</v>
      </c>
    </row>
    <row r="25" customFormat="false" ht="15" hidden="false" customHeight="false" outlineLevel="0" collapsed="false">
      <c r="A25" s="12" t="s">
        <v>54</v>
      </c>
      <c r="B25" s="16" t="str">
        <f aca="false">COUNTIFS(Verificacion!$C$4:$C$47,A25,Verificacion!$N$4:$N$47,"Pendiente")&amp;" / "&amp;COUNTIF(Verificacion!$C$4:$C$47,A25)</f>
        <v>6 / 6</v>
      </c>
    </row>
    <row r="26" customFormat="false" ht="15" hidden="false" customHeight="false" outlineLevel="0" collapsed="false">
      <c r="A26" s="12" t="s">
        <v>76</v>
      </c>
      <c r="B26" s="16" t="str">
        <f aca="false">COUNTIFS(Verificacion!$C$4:$C$47,A26,Verificacion!$N$4:$N$47,"Pendiente")&amp;" / "&amp;COUNTIF(Verificacion!$C$4:$C$47,A26)</f>
        <v>4 / 6</v>
      </c>
    </row>
    <row r="27" customFormat="false" ht="15" hidden="false" customHeight="false" outlineLevel="0" collapsed="false">
      <c r="A27" s="12" t="s">
        <v>109</v>
      </c>
      <c r="B27" s="16" t="str">
        <f aca="false">COUNTIFS(Verificacion!$C$4:$C$47,A27,Verificacion!$N$4:$N$47,"Pendiente")&amp;" / "&amp;COUNTIF(Verificacion!$C$4:$C$47,A27)</f>
        <v>3 / 5</v>
      </c>
    </row>
    <row r="28" customFormat="false" ht="15" hidden="false" customHeight="false" outlineLevel="0" collapsed="false">
      <c r="A28" s="12" t="s">
        <v>138</v>
      </c>
      <c r="B28" s="16" t="str">
        <f aca="false">COUNTIFS(Verificacion!$C$4:$C$47,A28,Verificacion!$N$4:$N$47,"Pendiente")&amp;" / "&amp;COUNTIF(Verificacion!$C$4:$C$47,A28)</f>
        <v>4 / 5</v>
      </c>
    </row>
    <row r="29" customFormat="false" ht="15" hidden="false" customHeight="false" outlineLevel="0" collapsed="false">
      <c r="A29" s="12" t="s">
        <v>168</v>
      </c>
      <c r="B29" s="16" t="str">
        <f aca="false">COUNTIFS(Verificacion!$C$4:$C$47,A29,Verificacion!$N$4:$N$47,"Pendiente")&amp;" / "&amp;COUNTIF(Verificacion!$C$4:$C$47,A29)</f>
        <v>5 / 5</v>
      </c>
    </row>
    <row r="30" customFormat="false" ht="15" hidden="false" customHeight="false" outlineLevel="0" collapsed="false">
      <c r="A30" s="12" t="s">
        <v>184</v>
      </c>
      <c r="B30" s="16" t="str">
        <f aca="false">COUNTIFS(Verificacion!$C$4:$C$47,A30,Verificacion!$N$4:$N$47,"Pendiente")&amp;" / "&amp;COUNTIF(Verificacion!$C$4:$C$47,A30)</f>
        <v>4 / 5</v>
      </c>
    </row>
    <row r="31" customFormat="false" ht="15" hidden="false" customHeight="false" outlineLevel="0" collapsed="false">
      <c r="A31" s="12" t="s">
        <v>204</v>
      </c>
      <c r="B31" s="16" t="str">
        <f aca="false">COUNTIFS(Verificacion!$C$4:$C$47,A31,Verificacion!$N$4:$N$47,"Pendiente")&amp;" / "&amp;COUNTIF(Verificacion!$C$4:$C$47,A31)</f>
        <v>2 / 6</v>
      </c>
    </row>
  </sheetData>
  <conditionalFormatting sqref="B21">
    <cfRule type="cellIs" priority="2" operator="equal" aboveAverage="0" equalAverage="0" bottom="0" percent="0" rank="0" text="" dxfId="6">
      <formula>"Listo para actualizar domain.yml"</formula>
    </cfRule>
    <cfRule type="cellIs" priority="3" operator="equal" aboveAverage="0" equalAverage="0" bottom="0" percent="0" rank="0" text="" dxfId="7">
      <formula>"Aún no"</formula>
    </cfRule>
  </conditionalFormatting>
  <conditionalFormatting sqref="B18">
    <cfRule type="cellIs" priority="4" operator="greaterThan" aboveAverage="0" equalAverage="0" bottom="0" percent="0" rank="0" text="" dxfId="8">
      <formula>0</formula>
    </cfRule>
  </conditionalFormatting>
  <conditionalFormatting sqref="B20">
    <cfRule type="cellIs" priority="5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62"/>
    <col collapsed="false" customWidth="true" hidden="false" outlineLevel="0" max="3" min="3" style="0" width="58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257</v>
      </c>
    </row>
    <row r="2" customFormat="false" ht="30" hidden="false" customHeight="true" outlineLevel="0" collapsed="false">
      <c r="A2" s="2" t="s">
        <v>258</v>
      </c>
      <c r="B2" s="2"/>
      <c r="C2" s="2"/>
      <c r="D2" s="2"/>
    </row>
    <row r="3" customFormat="false" ht="30" hidden="false" customHeight="true" outlineLevel="0" collapsed="false">
      <c r="A3" s="3" t="s">
        <v>259</v>
      </c>
      <c r="B3" s="3" t="s">
        <v>260</v>
      </c>
      <c r="C3" s="3" t="s">
        <v>261</v>
      </c>
      <c r="D3" s="3" t="s">
        <v>262</v>
      </c>
    </row>
    <row r="4" customFormat="false" ht="57.75" hidden="false" customHeight="true" outlineLevel="0" collapsed="false">
      <c r="A4" s="20" t="s">
        <v>263</v>
      </c>
      <c r="B4" s="21" t="s">
        <v>264</v>
      </c>
      <c r="C4" s="8" t="s">
        <v>265</v>
      </c>
      <c r="D4" s="8" t="s">
        <v>266</v>
      </c>
    </row>
    <row r="5" customFormat="false" ht="57.75" hidden="false" customHeight="true" outlineLevel="0" collapsed="false">
      <c r="A5" s="20" t="s">
        <v>267</v>
      </c>
      <c r="B5" s="21" t="s">
        <v>268</v>
      </c>
      <c r="C5" s="8" t="s">
        <v>269</v>
      </c>
      <c r="D5" s="8" t="s">
        <v>270</v>
      </c>
    </row>
    <row r="6" customFormat="false" ht="57.75" hidden="false" customHeight="true" outlineLevel="0" collapsed="false">
      <c r="A6" s="20" t="s">
        <v>271</v>
      </c>
      <c r="B6" s="21" t="s">
        <v>272</v>
      </c>
      <c r="C6" s="8" t="s">
        <v>273</v>
      </c>
      <c r="D6" s="8"/>
    </row>
    <row r="7" customFormat="false" ht="57.75" hidden="false" customHeight="true" outlineLevel="0" collapsed="false">
      <c r="A7" s="20" t="s">
        <v>274</v>
      </c>
      <c r="B7" s="21" t="s">
        <v>275</v>
      </c>
      <c r="C7" s="8" t="s">
        <v>276</v>
      </c>
      <c r="D7" s="8" t="s">
        <v>277</v>
      </c>
    </row>
    <row r="8" customFormat="false" ht="57.75" hidden="false" customHeight="true" outlineLevel="0" collapsed="false">
      <c r="A8" s="20" t="s">
        <v>278</v>
      </c>
      <c r="B8" s="21" t="s">
        <v>279</v>
      </c>
      <c r="C8" s="8" t="s">
        <v>280</v>
      </c>
      <c r="D8" s="8" t="s">
        <v>281</v>
      </c>
    </row>
    <row r="9" customFormat="false" ht="57.75" hidden="false" customHeight="true" outlineLevel="0" collapsed="false">
      <c r="A9" s="20" t="s">
        <v>282</v>
      </c>
      <c r="B9" s="21" t="s">
        <v>283</v>
      </c>
      <c r="C9" s="8" t="s">
        <v>284</v>
      </c>
      <c r="D9" s="8" t="s">
        <v>285</v>
      </c>
    </row>
    <row r="10" customFormat="false" ht="57.75" hidden="false" customHeight="true" outlineLevel="0" collapsed="false">
      <c r="A10" s="20" t="s">
        <v>286</v>
      </c>
      <c r="B10" s="21" t="s">
        <v>287</v>
      </c>
      <c r="C10" s="8" t="s">
        <v>288</v>
      </c>
      <c r="D10" s="8" t="s">
        <v>289</v>
      </c>
    </row>
    <row r="11" customFormat="false" ht="57.75" hidden="false" customHeight="true" outlineLevel="0" collapsed="false">
      <c r="A11" s="20" t="s">
        <v>290</v>
      </c>
      <c r="B11" s="21" t="s">
        <v>291</v>
      </c>
      <c r="C11" s="8" t="s">
        <v>292</v>
      </c>
      <c r="D11" s="8" t="s">
        <v>293</v>
      </c>
    </row>
    <row r="12" customFormat="false" ht="57.75" hidden="false" customHeight="true" outlineLevel="0" collapsed="false">
      <c r="A12" s="20" t="s">
        <v>294</v>
      </c>
      <c r="B12" s="21" t="s">
        <v>295</v>
      </c>
      <c r="C12" s="8" t="s">
        <v>296</v>
      </c>
      <c r="D12" s="8" t="s">
        <v>297</v>
      </c>
    </row>
    <row r="13" customFormat="false" ht="57.75" hidden="false" customHeight="true" outlineLevel="0" collapsed="false">
      <c r="A13" s="20" t="s">
        <v>298</v>
      </c>
      <c r="B13" s="21" t="s">
        <v>299</v>
      </c>
      <c r="C13" s="8" t="s">
        <v>300</v>
      </c>
      <c r="D13" s="8" t="s">
        <v>301</v>
      </c>
    </row>
    <row r="14" customFormat="false" ht="57.75" hidden="false" customHeight="true" outlineLevel="0" collapsed="false">
      <c r="A14" s="20" t="s">
        <v>302</v>
      </c>
      <c r="B14" s="21" t="s">
        <v>303</v>
      </c>
      <c r="C14" s="8" t="s">
        <v>304</v>
      </c>
      <c r="D14" s="8" t="s">
        <v>305</v>
      </c>
    </row>
    <row r="15" customFormat="false" ht="57.75" hidden="false" customHeight="true" outlineLevel="0" collapsed="false">
      <c r="A15" s="20" t="s">
        <v>306</v>
      </c>
      <c r="B15" s="21" t="s">
        <v>307</v>
      </c>
      <c r="C15" s="8" t="s">
        <v>308</v>
      </c>
      <c r="D15" s="8" t="s">
        <v>309</v>
      </c>
    </row>
    <row r="16" customFormat="false" ht="57.75" hidden="false" customHeight="true" outlineLevel="0" collapsed="false">
      <c r="A16" s="20" t="s">
        <v>310</v>
      </c>
      <c r="B16" s="21" t="s">
        <v>311</v>
      </c>
      <c r="C16" s="8" t="s">
        <v>312</v>
      </c>
      <c r="D16" s="8" t="s">
        <v>313</v>
      </c>
    </row>
    <row r="17" customFormat="false" ht="57.75" hidden="false" customHeight="true" outlineLevel="0" collapsed="false">
      <c r="A17" s="20" t="s">
        <v>314</v>
      </c>
      <c r="B17" s="21" t="s">
        <v>315</v>
      </c>
      <c r="C17" s="8" t="s">
        <v>316</v>
      </c>
      <c r="D17" s="8" t="s">
        <v>317</v>
      </c>
    </row>
  </sheetData>
  <mergeCells count="1">
    <mergeCell ref="A2:D2"/>
  </mergeCells>
  <hyperlinks>
    <hyperlink ref="B4" r:id="rId1" display="https://www.gob.pe/institucion/munisanroman/informes-publicaciones/7272473"/>
    <hyperlink ref="B5" r:id="rId2" display="https://www.gob.pe/institucion/munisanroman/normas-legales/7495467-011-2025-mpsr-j-a"/>
    <hyperlink ref="B6" r:id="rId3" display="https://cdn.www.gob.pe/uploads/document/file/9134774/7495467-decreto-de-alcaldia-n-011-2025-mpsr-j-a.PDF"/>
    <hyperlink ref="B7" r:id="rId4" display="https://www.gob.pe/institucion/munisanroman/normas-legales"/>
    <hyperlink ref="B8" r:id="rId5" display="https://www.gob.pe/munisanroman"/>
    <hyperlink ref="B9" r:id="rId6" display="https://www.gob.pe/institucion/munisanroman/informes-publicaciones/4275606-texto-unico-de-procedimientos-administrativos-tupa-2023-con-procedimientos-estandarizados"/>
    <hyperlink ref="B10" r:id="rId7" display="https://www.gob.pe/institucion/munisanroman/sedes"/>
    <hyperlink ref="B11" r:id="rId8" display="https://munisanroman.gob.pe/web/contactos/"/>
    <hyperlink ref="B12" r:id="rId9" display="https://www.gob.pe/17146-solicitar-partida-de-nacimiento-en-san-roman-juliaca"/>
    <hyperlink ref="B13" r:id="rId10" display="https://www.gob.pe/51225-solicitar-una-partida-de-nacimiento-en-la-municipalidad?child=80860"/>
    <hyperlink ref="B14" r:id="rId11" display="https://www.gob.pe/21525-obtener-acta-de-defuncion?child=17256"/>
    <hyperlink ref="B15" r:id="rId12" display="https://pachamamaradio.org/san-roman-implementa-licencias-de-funcionamiento-digitales-a-partir-del-20-de-agosto/"/>
    <hyperlink ref="B16" r:id="rId13" display="https://cdn.www.gob.pe/uploads/document/file/5763090/5119677-resolucion-gerencial-n-013-2024-mpsr-j-gemu.PDF"/>
    <hyperlink ref="B17" r:id="rId14" display="https://www.mpv.mpsr.p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318</v>
      </c>
    </row>
    <row r="3" customFormat="false" ht="24" hidden="false" customHeight="true" outlineLevel="0" collapsed="false">
      <c r="A3" s="3" t="s">
        <v>15</v>
      </c>
      <c r="B3" s="3" t="s">
        <v>319</v>
      </c>
    </row>
    <row r="4" customFormat="false" ht="15" hidden="false" customHeight="false" outlineLevel="0" collapsed="false">
      <c r="A4" s="22" t="s">
        <v>31</v>
      </c>
      <c r="B4" s="6" t="s">
        <v>320</v>
      </c>
    </row>
    <row r="5" customFormat="false" ht="15" hidden="false" customHeight="false" outlineLevel="0" collapsed="false">
      <c r="A5" s="22" t="s">
        <v>240</v>
      </c>
      <c r="B5" s="6" t="s">
        <v>321</v>
      </c>
    </row>
    <row r="6" customFormat="false" ht="15" hidden="false" customHeight="false" outlineLevel="0" collapsed="false">
      <c r="A6" s="22" t="s">
        <v>89</v>
      </c>
      <c r="B6" s="6" t="s">
        <v>322</v>
      </c>
    </row>
    <row r="7" customFormat="false" ht="15" hidden="false" customHeight="false" outlineLevel="0" collapsed="false">
      <c r="A7" s="22" t="s">
        <v>241</v>
      </c>
      <c r="B7" s="6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23" t="s">
        <v>324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325</v>
      </c>
    </row>
    <row r="4" customFormat="false" ht="15" hidden="false" customHeight="false" outlineLevel="0" collapsed="false">
      <c r="A4" s="24" t="s">
        <v>326</v>
      </c>
    </row>
    <row r="5" customFormat="false" ht="23.85" hidden="false" customHeight="false" outlineLevel="0" collapsed="false">
      <c r="A5" s="24" t="s">
        <v>327</v>
      </c>
    </row>
    <row r="6" customFormat="false" ht="23.85" hidden="false" customHeight="false" outlineLevel="0" collapsed="false">
      <c r="A6" s="24" t="s">
        <v>328</v>
      </c>
    </row>
    <row r="7" customFormat="false" ht="15" hidden="false" customHeight="false" outlineLevel="0" collapsed="false">
      <c r="A7" s="24" t="s">
        <v>329</v>
      </c>
    </row>
    <row r="8" customFormat="false" ht="23.85" hidden="false" customHeight="false" outlineLevel="0" collapsed="false">
      <c r="A8" s="24" t="s">
        <v>330</v>
      </c>
    </row>
    <row r="9" customFormat="false" ht="23.85" hidden="false" customHeight="false" outlineLevel="0" collapsed="false">
      <c r="A9" s="24" t="s">
        <v>331</v>
      </c>
    </row>
    <row r="10" customFormat="false" ht="15" hidden="false" customHeight="false" outlineLevel="0" collapsed="false">
      <c r="A10" s="24"/>
    </row>
    <row r="11" customFormat="false" ht="15" hidden="false" customHeight="false" outlineLevel="0" collapsed="false">
      <c r="A11" s="25" t="s">
        <v>332</v>
      </c>
    </row>
    <row r="12" customFormat="false" ht="23.85" hidden="false" customHeight="false" outlineLevel="0" collapsed="false">
      <c r="A12" s="24" t="s">
        <v>333</v>
      </c>
    </row>
    <row r="13" customFormat="false" ht="15" hidden="false" customHeight="false" outlineLevel="0" collapsed="false">
      <c r="A13" s="24" t="s">
        <v>334</v>
      </c>
    </row>
    <row r="14" customFormat="false" ht="15" hidden="false" customHeight="false" outlineLevel="0" collapsed="false">
      <c r="A14" s="24" t="s">
        <v>335</v>
      </c>
    </row>
    <row r="15" customFormat="false" ht="23.85" hidden="false" customHeight="false" outlineLevel="0" collapsed="false">
      <c r="A15" s="24" t="s">
        <v>336</v>
      </c>
    </row>
    <row r="16" customFormat="false" ht="23.85" hidden="false" customHeight="false" outlineLevel="0" collapsed="false">
      <c r="A16" s="24" t="s">
        <v>337</v>
      </c>
    </row>
    <row r="17" customFormat="false" ht="15" hidden="false" customHeight="false" outlineLevel="0" collapsed="false">
      <c r="A17" s="24"/>
    </row>
    <row r="18" customFormat="false" ht="15" hidden="false" customHeight="false" outlineLevel="0" collapsed="false">
      <c r="A18" s="25" t="s">
        <v>338</v>
      </c>
    </row>
    <row r="19" customFormat="false" ht="23.85" hidden="false" customHeight="false" outlineLevel="0" collapsed="false">
      <c r="A19" s="24" t="s">
        <v>339</v>
      </c>
    </row>
    <row r="20" customFormat="false" ht="23.85" hidden="false" customHeight="false" outlineLevel="0" collapsed="false">
      <c r="A20" s="24" t="s">
        <v>340</v>
      </c>
    </row>
    <row r="21" customFormat="false" ht="15" hidden="false" customHeight="false" outlineLevel="0" collapsed="false">
      <c r="A21" s="24" t="s">
        <v>341</v>
      </c>
    </row>
    <row r="22" customFormat="false" ht="23.85" hidden="false" customHeight="false" outlineLevel="0" collapsed="false">
      <c r="A22" s="24" t="s">
        <v>342</v>
      </c>
    </row>
    <row r="23" customFormat="false" ht="15" hidden="false" customHeight="false" outlineLevel="0" collapsed="false">
      <c r="A23" s="24" t="s">
        <v>343</v>
      </c>
    </row>
    <row r="24" customFormat="false" ht="15" hidden="false" customHeight="false" outlineLevel="0" collapsed="false">
      <c r="A24" s="24"/>
    </row>
    <row r="25" customFormat="false" ht="15" hidden="false" customHeight="false" outlineLevel="0" collapsed="false">
      <c r="A25" s="25" t="s">
        <v>344</v>
      </c>
    </row>
    <row r="26" customFormat="false" ht="23.85" hidden="false" customHeight="false" outlineLevel="0" collapsed="false">
      <c r="A26" s="24" t="s">
        <v>345</v>
      </c>
    </row>
    <row r="27" customFormat="false" ht="23.85" hidden="false" customHeight="false" outlineLevel="0" collapsed="false">
      <c r="A27" s="24" t="s">
        <v>346</v>
      </c>
    </row>
    <row r="28" customFormat="false" ht="15" hidden="false" customHeight="false" outlineLevel="0" collapsed="false">
      <c r="A28" s="24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2026-10-05T10:52:43Z</dcterms:created>
  <dc:creator>openpyxl</dc:creator>
  <dc:description/>
  <dc:language>en-US</dc:language>
  <cp:lastModifiedBy/>
  <dcterms:modified xsi:type="dcterms:W3CDTF">2026-10-05T10:52:43Z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