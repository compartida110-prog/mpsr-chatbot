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543bc73aa7a4b26" /></Relationships>
</file>

<file path=xl/workbook.xml><?xml version="1.0" encoding="utf-8"?>
<x:workbook xmlns:x="http://schemas.openxmlformats.org/spreadsheetml/2006/main">
  <x:sheets>
    <x:sheet xmlns:r="http://schemas.openxmlformats.org/officeDocument/2006/relationships" name="Verificacion" sheetId="1" r:id="R124f57f126f6417d"/>
    <x:sheet xmlns:r="http://schemas.openxmlformats.org/officeDocument/2006/relationships" name="Resumen" sheetId="2" r:id="R26da7a92df6640d2"/>
    <x:sheet xmlns:r="http://schemas.openxmlformats.org/officeDocument/2006/relationships" name="Fuentes" sheetId="3" r:id="R76cc8bba380541c2"/>
    <x:sheet xmlns:r="http://schemas.openxmlformats.org/officeDocument/2006/relationships" name="Parametros" sheetId="4" r:id="R2096140e88734618"/>
    <x:sheet xmlns:r="http://schemas.openxmlformats.org/officeDocument/2006/relationships" name="Notas" sheetId="5" r:id="R4d47639193ad415f"/>
  </x:sheets>
</x:workbook>
</file>

<file path=xl/sharedStrings.xml><?xml version="1.0" encoding="utf-8"?>
<x:sst xmlns:x="http://schemas.openxmlformats.org/spreadsheetml/2006/main">
  <x:si>
    <x:t xml:space="preserve">Verificación de las respuestas del chatbot contra el TUPA y otras fuentes oficiales</x:t>
  </x:si>
  <x:si>
    <x:t xml:space="preserve">Una fila por respuesta de trámite (44). Compara la respuesta actual con la fuente oficial y llena las celdas amarillas. Si no encuentras el dato, marca «No figura en la fuente» y explica dónde buscaste. No escribas datos de memoria: cada dato lleva su fuente.</x:t>
  </x:si>
  <x:si>
    <x:t xml:space="preserve">#</x:t>
  </x:si>
  <x:si>
    <x:t xml:space="preserve">Intención</x:t>
  </x:si>
  <x:si>
    <x:t xml:space="preserve">Categoría</x:t>
  </x:si>
  <x:si>
    <x:t xml:space="preserve">Prioridad</x:t>
  </x:si>
  <x:si>
    <x:t xml:space="preserve">Fuente probable</x:t>
  </x:si>
  <x:si>
    <x:t xml:space="preserve">Marcada [Verificar] en el repositorio</x:t>
  </x:si>
  <x:si>
    <x:t xml:space="preserve">Respuesta actual (texto base, sin la marca)</x:t>
  </x:si>
  <x:si>
    <x:t xml:space="preserve">Datos a comprobar</x:t>
  </x:si>
  <x:si>
    <x:t xml:space="preserve">Procedimiento o documento en la fuente (nombre, código y página)</x:t>
  </x:si>
  <x:si>
    <x:t xml:space="preserve">Requisitos según la fuente</x:t>
  </x:si>
  <x:si>
    <x:t xml:space="preserve">Costo según la fuente</x:t>
  </x:si>
  <x:si>
    <x:t xml:space="preserve">Plazo según la fuente</x:t>
  </x:si>
  <x:si>
    <x:t xml:space="preserve">Oficina y canal según la fuente</x:t>
  </x:si>
  <x:si>
    <x:t xml:space="preserve">Resultado</x:t>
  </x:si>
  <x:si>
    <x:t xml:space="preserve">Texto corregido para domain.yml</x:t>
  </x:si>
  <x:si>
    <x:t xml:space="preserve">Fecha de verificación</x:t>
  </x:si>
  <x:si>
    <x:t xml:space="preserve">Observaciones</x:t>
  </x:si>
  <x:si>
    <x:t xml:space="preserve">Alerta</x:t>
  </x:si>
  <x:si>
    <x:t xml:space="preserve">Confirmado por el tesista</x:t>
  </x:si>
  <x:si>
    <x:t xml:space="preserve">Marco general orientativo (no verificado; confirmar)</x:t>
  </x:si>
  <x:si>
    <x:t xml:space="preserve">licencia_funcionamiento_requisitos</x:t>
  </x:si>
  <x:si>
    <x:t xml:space="preserve">Licencias y autorizaciones</x:t>
  </x:si>
  <x:si>
    <x:t xml:space="preserve">Alta</x:t>
  </x:si>
  <x:si>
    <x:t xml:space="preserve">TUPA</x:t>
  </x:si>
  <x:si>
    <x:t xml:space="preserve">Sí</x:t>
  </x:si>
  <x:si>
    <x:t xml:space="preserve">Para la licencia de funcionamiento necesitas: copia de tu DNI, el certificado de compatibilidad de uso, el certificado de Defensa Civil (ITSE) y el recibo de pago de la tasa correspondiente.</x:t>
  </x:si>
  <x:si>
    <x:t xml:space="preserve">Lista exacta de requisitos y documentos; si exige certificado de compatibilidad de uso e ITSE; cambia según nivel de riesgo.</x:t>
  </x:si>
  <x:si>
    <x:t xml:space="preserve">Subgerencia de Fomento a la Inversión Privada (según la nota).</x:t>
  </x:si>
  <x:si>
    <x:t xml:space="preserve">Ley N.° 28976 (Ley Marco de Licencia de Funcionamiento): suele pedirse solicitud con carácter de declaración jurada, DNI (o vigencia de poder si es persona jurídica) y la inspección técnica de seguridad según el nivel de riesgo. La lista exacta es la del TUPA.</x:t>
  </x:si>
  <x:si>
    <x:t xml:space="preserve">licencia_funcionamiento_costo</x:t>
  </x:si>
  <x:si>
    <x:t xml:space="preserve">El costo de la licencia de funcionamiento depende del giro del negocio y del área del local. Puedes consultar el monto exacto en el TUPA de la MPSR o acercarte a la Plataforma de Atención.</x:t>
  </x:si>
  <x:si>
    <x:t xml:space="preserve">Derecho de tramitación (en soles o % de la UIT); si varía por giro, área o nivel de riesgo.</x:t>
  </x:si>
  <x:si>
    <x:t xml:space="preserve">El monto es un derecho de tramitación que fija la municipalidad en su TUPA. No se asume ningún valor.</x:t>
  </x:si>
  <x:si>
    <x:t xml:space="preserve">licencia_funcionamiento_plazo</x:t>
  </x:si>
  <x:si>
    <x:t xml:space="preserve">El trámite de licencia de funcionamiento suele atenderse en un plazo de 10 a 15 días hábiles, según la complejidad del giro del negocio.</x:t>
  </x:si>
  <x:si>
    <x:t xml:space="preserve">Plazo en días hábiles; tipo de silencio administrativo.</x:t>
  </x:si>
  <x:si>
    <x:t xml:space="preserve">TUO de la Ley N.° 27444: un procedimiento no puede exceder 30 días hábiles salvo ley especial (la misma regla aparece citada en resoluciones de la MPSR). El plazo propio de este trámite está en el TUPA.</x:t>
  </x:si>
  <x:si>
    <x:t xml:space="preserve">licencia_edificacion_requisitos</x:t>
  </x:si>
  <x:si>
    <x:t xml:space="preserve">Para la licencia de edificación necesitas: título de propiedad o documento que acredite posesión, planos de arquitectura firmados por un profesional colegiado, y el pago de la tasa correspondiente.</x:t>
  </x:si>
  <x:si>
    <x:t xml:space="preserve">Requisitos por modalidad de aprobación (A, B, C, D); documentos técnicos; profesionales que firman.</x:t>
  </x:si>
  <x:si>
    <x:t xml:space="preserve">Ley N.° 29090: modalidades de aprobación A, B, C y D, con documentos técnicos firmados por profesionales. Requisitos y modalidades exactas: TUPA.</x:t>
  </x:si>
  <x:si>
    <x:t xml:space="preserve">licencia_edificacion_costo</x:t>
  </x:si>
  <x:si>
    <x:t xml:space="preserve">El costo de la licencia de edificación varía según el tipo y tamaño de la obra. Puedes consultar el monto exacto en el TUPA de la MPSR.</x:t>
  </x:si>
  <x:si>
    <x:t xml:space="preserve">Derecho de tramitación por modalidad y por metraje o valor de la obra.</x:t>
  </x:si>
  <x:si>
    <x:t xml:space="preserve">Derecho de tramitación fijado por la municipalidad según modalidad y metraje. No se asume ningún valor.</x:t>
  </x:si>
  <x:si>
    <x:t xml:space="preserve">renovacion_licencia</x:t>
  </x:si>
  <x:si>
    <x:t xml:space="preserve">Para renovar tu licencia de funcionamiento debes presentar tu licencia anterior, DNI vigente y el pago de la tasa de renovación. El trámite se realiza en la Plataforma de Atención.</x:t>
  </x:si>
  <x:si>
    <x:t xml:space="preserve">Si el TUPA contempla renovación o solo licencias indefinidas y temporales; requisitos, tasa y plazo.</x:t>
  </x:si>
  <x:si>
    <x:t xml:space="preserve">Ley N.° 28976: verificar en el TUPA si las licencias se emiten con vigencia indeterminada o temporal; de eso depende que exista una «renovación».</x:t>
  </x:si>
  <x:si>
    <x:t xml:space="preserve">consulta_deuda_predial</x:t>
  </x:si>
  <x:si>
    <x:t xml:space="preserve">Tributos y pagos municipales</x:t>
  </x:si>
  <x:si>
    <x:t xml:space="preserve">Media</x:t>
  </x:si>
  <x:si>
    <x:t xml:space="preserve">TUPA o portal</x:t>
  </x:si>
  <x:si>
    <x:t xml:space="preserve">Puedes consultar tu deuda de impuesto predial presentando tu DNI en la Plataforma de Atención, o a través del número de tu autoavalúo si lo tienes a la mano.</x:t>
  </x:si>
  <x:si>
    <x:t xml:space="preserve">Canal para consultar la deuda (ventanilla, web o sistema); documentos o datos que piden.</x:t>
  </x:si>
  <x:si>
    <x:t xml:space="preserve">Pendiente</x:t>
  </x:si>
  <x:si>
    <x:t xml:space="preserve">El impuesto predial lo administra la municipalidad (TUO de la Ley de Tributación Municipal, D.S. N.° 156-2004-EF). La consulta suele hacerse por código de contribuyente o DNI.</x:t>
  </x:si>
  <x:si>
    <x:t xml:space="preserve">pago_predial_como</x:t>
  </x:si>
  <x:si>
    <x:t xml:space="preserve">Norma tributaria u ordenanza</x:t>
  </x:si>
  <x:si>
    <x:t xml:space="preserve">El impuesto predial se puede pagar en caja de la municipalidad o en los bancos autorizados que tengan convenio con la MPSR.</x:t>
  </x:si>
  <x:si>
    <x:t xml:space="preserve">Canales de pago (caja, bancos con convenio, web); fechas de vencimiento de las cuotas.</x:t>
  </x:si>
  <x:si>
    <x:t xml:space="preserve">TUO de la Ley de Tributación Municipal: pago al contado hasta el último día hábil de febrero, o en cuotas trimestrales (febrero, mayo, agosto y noviembre). Confirmar canales y si la MPSR fija otra regla.</x:t>
  </x:si>
  <x:si>
    <x:t xml:space="preserve">pago_arbitrios</x:t>
  </x:si>
  <x:si>
    <x:t xml:space="preserve">Los arbitrios municipales (limpieza pública, parques y jardines, serenazgo) se pagan junto con el impuesto predial o de forma independiente en caja de la municipalidad.</x:t>
  </x:si>
  <x:si>
    <x:t xml:space="preserve">Si se cobran junto con el predial; periodicidad; canales de pago; ordenanza de arbitrios vigente.</x:t>
  </x:si>
  <x:si>
    <x:t xml:space="preserve">Los arbitrios se fijan por ordenanza municipal (limpieza pública, parques y jardines, serenazgo); su periodicidad y forma de pago las define la ordenanza vigente.</x:t>
  </x:si>
  <x:si>
    <x:t xml:space="preserve">impuesto_alcabala</x:t>
  </x:si>
  <x:si>
    <x:t xml:space="preserve">El impuesto de alcabala se paga cuando compras un inmueble, y corresponde al 3% del valor de transferencia (con un tramo inicial inafecto equivalente a 10 UIT). Se cancela dentro del mes siguiente a la compra.</x:t>
  </x:si>
  <x:si>
    <x:t xml:space="preserve">Tasa, monto inafecto (en UIT), plazo de pago y quién paga; documentos que se presentan.</x:t>
  </x:si>
  <x:si>
    <x:t xml:space="preserve">TUO de la Ley de Tributación Municipal: lo paga el comprador; tasa de 3 % sobre el valor que exceda las primeras 10 UIT; se paga hasta el último día hábil del mes siguiente a la transferencia. Confirmar vigencia.</x:t>
  </x:si>
  <x:si>
    <x:t xml:space="preserve">fraccionamiento_deuda</x:t>
  </x:si>
  <x:si>
    <x:t xml:space="preserve">Para fraccionar una deuda tributaria debes presentar una solicitud en mesa de partes, adjuntando tu DNI y el detalle de la deuda. La municipalidad evaluará una cuota inicial y un cronograma de pagos.</x:t>
  </x:si>
  <x:si>
    <x:t xml:space="preserve">Si existe como procedimiento; requisitos, cuota inicial, plazo máximo e intereses.</x:t>
  </x:si>
  <x:si>
    <x:t xml:space="preserve">El Código Tributario permite fraccionar según el reglamento de cada municipalidad. Verificar si la MPSR tiene reglamento y procedimiento en su TUPA.</x:t>
  </x:si>
  <x:si>
    <x:t xml:space="preserve">constancia_no_adeudo</x:t>
  </x:si>
  <x:si>
    <x:t xml:space="preserve">La constancia de no adeudo se tramita presentando tu DNI en la Plataforma de Atención; se emite una vez verificado que no tienes deudas pendientes por impuesto predial o arbitrios.</x:t>
  </x:si>
  <x:si>
    <x:t xml:space="preserve">Requisitos, costo, plazo y área que la emite.</x:t>
  </x:si>
  <x:si>
    <x:t xml:space="preserve">Verificar si figura como procedimiento en el TUPA y qué área certifica (tributos y rentas).</x:t>
  </x:si>
  <x:si>
    <x:t xml:space="preserve">requisitos_mesa_partes</x:t>
  </x:si>
  <x:si>
    <x:t xml:space="preserve">Trámites documentarios</x:t>
  </x:si>
  <x:si>
    <x:t xml:space="preserve">Para presentar un documento en mesa de partes necesitas tu solicitud (puede ser un formato simple), copia de tu DNI, y los anexos que sustenten tu pedido.</x:t>
  </x:si>
  <x:si>
    <x:t xml:space="preserve">Requisitos para presentar documentos; formato de solicitud; si hay mesa de partes virtual.</x:t>
  </x:si>
  <x:si>
    <x:t xml:space="preserve">TUO de la Ley N.° 27444 (art. 124): el escrito lleva datos del administrado, hechos, petitorio y firma. Los requisitos operativos de la mesa de partes están en el TUPA.</x:t>
  </x:si>
  <x:si>
    <x:t xml:space="preserve">estado_tramite</x:t>
  </x:si>
  <x:si>
    <x:t xml:space="preserve">Portal o directorio institucional</x:t>
  </x:si>
  <x:si>
    <x:t xml:space="preserve">Puedes consultar el estado de tu trámite presentando tu número de expediente en mesa de partes o en la Plataforma de Atención.</x:t>
  </x:si>
  <x:si>
    <x:t xml:space="preserve">Cómo se consulta el estado (número de expediente, sistema de seguimiento en línea).</x:t>
  </x:si>
  <x:si>
    <x:t xml:space="preserve">Portal MPSR-J en gob.pe (enlace «Seguimiento de trámites»): https://www.gob.pe/munisanroman</x:t>
  </x:si>
  <x:si>
    <x:t xml:space="preserve">Seguimiento de trámites en línea en gob.pe/munisanroman; mesa de partes.</x:t>
  </x:si>
  <x:si>
    <x:t xml:space="preserve">Corregir</x:t>
  </x:si>
  <x:si>
    <x:t xml:space="preserve">horario_mesa_partes</x:t>
  </x:si>
  <x:si>
    <x:t xml:space="preserve">Mesa de partes atiende de lunes a viernes en el horario de oficina de la municipalidad.</x:t>
  </x:si>
  <x:si>
    <x:t xml:space="preserve">Horario vigente exacto de atención de mesa de partes.</x:t>
  </x:si>
  <x:si>
    <x:t xml:space="preserve">Sedes de la MPSR-J en gob.pe: https://www.gob.pe/institucion/munisanroman/sedes</x:t>
  </x:si>
  <x:si>
    <x:t xml:space="preserve">Horario de mesa de partes: lunes a viernes, 8:00 a. m. a 4:00 p. m. (Sedes en gob.pe). El aviso de mpv.mpsr.pe indica 9:00 a. m.–5:00 p. m. y parece desactualizado (cita el D.S. 044-2020-PCM).</x:t>
  </x:si>
  <x:si>
    <x:t xml:space="preserve">copia_documento</x:t>
  </x:si>
  <x:si>
    <x:t xml:space="preserve">Para obtener una copia certificada de un documento presentado anteriormente, debes solicitarlo en mesa de partes indicando el número de expediente, y abonar la tasa correspondiente.</x:t>
  </x:si>
  <x:si>
    <x:t xml:space="preserve">Procedimiento de copia certificada o fedateada; requisitos, costo por folio y plazo.</x:t>
  </x:si>
  <x:si>
    <x:t xml:space="preserve">TUO de la Ley N.° 27444: el administrado puede obtener copias de lo actuado en su expediente pagando el costo de reproducción que fije el TUPA.</x:t>
  </x:si>
  <x:si>
    <x:t xml:space="preserve">certificado_posesion</x:t>
  </x:si>
  <x:si>
    <x:t xml:space="preserve">El certificado de posesión se tramita presentando una declaración jurada, croquis del predio y documentos que acrediten la posesión pacífica del terreno.</x:t>
  </x:si>
  <x:si>
    <x:t xml:space="preserve">Requisitos, costo, plazo y área responsable.</x:t>
  </x:si>
  <x:si>
    <x:t xml:space="preserve">Verificar el nombre exacto del procedimiento en el TUPA. En otras municipalidades suele pedir declaración jurada, croquis o plano y verificación en campo.</x:t>
  </x:si>
  <x:si>
    <x:t xml:space="preserve">constancia_domiciliaria</x:t>
  </x:si>
  <x:si>
    <x:t xml:space="preserve">La constancia domiciliaria se tramita presentando tu DNI y un recibo de servicio (luz o agua) a tu nombre o de un familiar directo que viva contigo.</x:t>
  </x:si>
  <x:si>
    <x:t xml:space="preserve">Requisitos, costo y plazo; si la emite la MPSR u otra entidad.</x:t>
  </x:si>
  <x:si>
    <x:t xml:space="preserve">Verificar si la MPSR ofrece una «constancia de domicilio» o si la emite otra entidad (policía o juez de paz).</x:t>
  </x:si>
  <x:si>
    <x:t xml:space="preserve">certificado_defensa_civil</x:t>
  </x:si>
  <x:si>
    <x:t xml:space="preserve">Defensa civil y seguridad ciudadana</x:t>
  </x:si>
  <x:si>
    <x:t xml:space="preserve">El certificado de Defensa Civil (ITSE) se tramita presentando el plano de distribución del local, el certificado de medidas de seguridad y el pago de la tasa correspondiente.</x:t>
  </x:si>
  <x:si>
    <x:t xml:space="preserve">Tipos de inspección (básica o detallada), requisitos, costo y plazo.</x:t>
  </x:si>
  <x:si>
    <x:t xml:space="preserve">D.S. N.° 002-2018-PCM (Reglamento de Inspecciones Técnicas de Seguridad en Edificaciones): ITSE básica, de detalle y multidisciplinaria según el riesgo; el certificado tiene vigencia de 2 años.</x:t>
  </x:si>
  <x:si>
    <x:t xml:space="preserve">inspeccion_tecnica</x:t>
  </x:si>
  <x:si>
    <x:t xml:space="preserve">Para solicitar una inspección técnica de seguridad (ITSE) debes presentar tu solicitud en mesa de partes; un inspector de Defensa Civil coordinará una visita al local.</x:t>
  </x:si>
  <x:si>
    <x:t xml:space="preserve">Cómo se solicita la ITSE, quién inspecciona, costo y plazos.</x:t>
  </x:si>
  <x:si>
    <x:t xml:space="preserve">Inspección acreditada por un inspector de INDECI y la Subgerencia de Gestión del Riesgo de Desastres.</x:t>
  </x:si>
  <x:si>
    <x:t xml:space="preserve">D.S. N.° 002-2018-PCM: tipos de ITSE según el nivel de riesgo; certificado con vigencia de 2 años. Requisitos y costos: TUPA.</x:t>
  </x:si>
  <x:si>
    <x:t xml:space="preserve">requisitos_defensa_civil</x:t>
  </x:si>
  <x:si>
    <x:t xml:space="preserve">Los requisitos de Defensa Civil incluyen: plano de distribución, certificado de medición eléctrica, extintores vigentes y señalización de seguridad, entre otros, según el tipo de establecimiento.</x:t>
  </x:si>
  <x:si>
    <x:t xml:space="preserve">Lista de requisitos según el nivel de riesgo.</x:t>
  </x:si>
  <x:si>
    <x:t xml:space="preserve">Los requisitos dependen del nivel de riesgo (bajo, medio, alto, muy alto) y del tipo de ITSE (D.S. N.° 002-2018-PCM y TUPA).</x:t>
  </x:si>
  <x:si>
    <x:t xml:space="preserve">denuncia_seguridad_ciudadana</x:t>
  </x:si>
  <x:si>
    <x:t xml:space="preserve">No</x:t>
  </x:si>
  <x:si>
    <x:t xml:space="preserve">Para reportar un problema de seguridad ciudadana puedes comunicarte con serenazgo o acudir a la comisaría más cercana si se trata de una emergencia.</x:t>
  </x:si>
  <x:si>
    <x:t xml:space="preserve">Canal de denuncia (serenazgo, teléfono, aplicación) y número vigente.</x:t>
  </x:si>
  <x:si>
    <x:t xml:space="preserve">Para reportar un problema de seguridad ciudadana puedes comunicarte con serenazgo de la MPSR al (051) 329001, (051) 329002 o (051) 329003, o acudir a la comisaría más cercana si se trata de una emergencia.</x:t>
  </x:si>
  <x:si>
    <x:t xml:space="preserve">serenazgo_contacto</x:t>
  </x:si>
  <x:si>
    <x:t xml:space="preserve">Puedes comunicarte con serenazgo de la MPSR a través de su línea de atención.</x:t>
  </x:si>
  <x:si>
    <x:t xml:space="preserve">Número telefónico vigente de serenazgo y horario.</x:t>
  </x:si>
  <x:si>
    <x:t xml:space="preserve">Puedes comunicarte con serenazgo de la MPSR a los teléfonos (051) 329001, (051) 329002 o (051) 329003.</x:t>
  </x:si>
  <x:si>
    <x:t xml:space="preserve">partida_nacimiento</x:t>
  </x:si>
  <x:si>
    <x:t xml:space="preserve">Registro civil</x:t>
  </x:si>
  <x:si>
    <x:t xml:space="preserve">Puedes solicitar una copia de tu partida de nacimiento en la oficina de Registro Civil, presentando tu DNI y abonando la tasa correspondiente.</x:t>
  </x:si>
  <x:si>
    <x:t xml:space="preserve">Requisitos, costo de la copia certificada y plazo; si se emite en la MPSR.</x:t>
  </x:si>
  <x:si>
    <x:t xml:space="preserve">La primera inscripción de nacimiento es gratuita (según una página genérica de gob.pe); las copias certificadas tienen un derecho de trámite que fija el TUPA.</x:t>
  </x:si>
  <x:si>
    <x:t xml:space="preserve">partida_matrimonio</x:t>
  </x:si>
  <x:si>
    <x:t xml:space="preserve">La partida de matrimonio se solicita en la oficina de Registro Civil, indicando los datos del matrimonio (fecha, nombres de los contrayentes) y presentando tu DNI.</x:t>
  </x:si>
  <x:si>
    <x:t xml:space="preserve">Requisitos, costo de la copia certificada y plazo.</x:t>
  </x:si>
  <x:si>
    <x:t xml:space="preserve">partida_defuncion</x:t>
  </x:si>
  <x:si>
    <x:t xml:space="preserve">Para inscribir o solicitar una partida de defunción debes presentar el certificado médico de defunción y el DNI del fallecido, en la oficina de Registro Civil.</x:t>
  </x:si>
  <x:si>
    <x:t xml:space="preserve">Diferencia entre inscribir y pedir copia; requisitos, costo y plazo.</x:t>
  </x:si>
  <x:si>
    <x:t xml:space="preserve">rectificacion_partida</x:t>
  </x:si>
  <x:si>
    <x:t xml:space="preserve">Para rectificar un dato en una partida debes presentar una solicitud en Registro Civil junto con los documentos que sustenten la corrección (DNI, partida original, entre otros).</x:t>
  </x:si>
  <x:si>
    <x:t xml:space="preserve">Si es administrativa o judicial; requisitos, costo y plazo.</x:t>
  </x:si>
  <x:si>
    <x:t xml:space="preserve">La rectificación puede ser administrativa o judicial según el error. Verificar qué rectificaciones admite la oficina de Registro Civil de la MPSR.</x:t>
  </x:si>
  <x:si>
    <x:t xml:space="preserve">requisitos_matrimonio_civil</x:t>
  </x:si>
  <x:si>
    <x:t xml:space="preserve">Para matrimonio civil se requiere: DNI de ambos contrayentes, certificados de nacimiento actualizados, y en algunos casos certificado médico prenupcial.</x:t>
  </x:si>
  <x:si>
    <x:t xml:space="preserve">Requisitos, publicación de edictos, costo, plazo y fechas de celebración.</x:t>
  </x:si>
  <x:si>
    <x:t xml:space="preserve">Código Civil: dos testigos mayores de edad y publicación de edictos. Los requisitos operativos (certificados, costo, fechas de celebración) están en el TUPA y en Registro Civil.</x:t>
  </x:si>
  <x:si>
    <x:t xml:space="preserve">horario_recojo_basura</x:t>
  </x:si>
  <x:si>
    <x:t xml:space="preserve">Servicios públicos</x:t>
  </x:si>
  <x:si>
    <x:t xml:space="preserve">El horario de recojo de basura varía según el sector de la ciudad. Puedes consultar el cronograma vigente en la municipalidad o en sus redes sociales.</x:t>
  </x:si>
  <x:si>
    <x:t xml:space="preserve">Cronograma por sector o ruta; canal oficial donde se publica.</x:t>
  </x:si>
  <x:si>
    <x:t xml:space="preserve">El servicio de limpieza pública se financia con arbitrios; el cronograma por sector suele publicarlo la gerencia de servicios públicos o la oficina de limpieza.</x:t>
  </x:si>
  <x:si>
    <x:t xml:space="preserve">reporte_alumbrado_publico</x:t>
  </x:si>
  <x:si>
    <x:t xml:space="preserve">Para reportar una falla de alumbrado público puedes comunicarte con el área de Servicios Públicos de la MPSR, indicando la ubicación exacta del poste o farola.</x:t>
  </x:si>
  <x:si>
    <x:t xml:space="preserve">Canal de reporte (teléfono, WhatsApp o mesa de partes) y área responsable.</x:t>
  </x:si>
  <x:si>
    <x:t xml:space="preserve">Verificar el área responsable (servicios públicos) y el canal (teléfono, mesa de partes o WhatsApp) en el portal.</x:t>
  </x:si>
  <x:si>
    <x:t xml:space="preserve">mantenimiento_parques</x:t>
  </x:si>
  <x:si>
    <x:t xml:space="preserve">Puedes solicitar el mantenimiento de un parque presentando tu pedido en mesa de partes o comunicándote con el área de Servicios Públicos, indicando la ubicación del parque.</x:t>
  </x:si>
  <x:si>
    <x:t xml:space="preserve">Procedimiento para pedirlo (si figura como servicio); área responsable.</x:t>
  </x:si>
  <x:si>
    <x:t xml:space="preserve">Verificar si figura como servicio en el TUPA o solo como solicitud por mesa de partes, y qué subgerencia lo atiende.</x:t>
  </x:si>
  <x:si>
    <x:t xml:space="preserve">poda_arboles</x:t>
  </x:si>
  <x:si>
    <x:t xml:space="preserve">La poda de árboles públicos se solicita ante el área de Servicios Públicos de la MPSR, indicando la ubicación exacta del árbol.</x:t>
  </x:si>
  <x:si>
    <x:t xml:space="preserve">Procedimiento, requisitos y costo si aplica; área responsable.</x:t>
  </x:si>
  <x:si>
    <x:t xml:space="preserve">La poda en espacios públicos suele pedirse ante la subgerencia de parques y jardines o de medio ambiente; verificar si está en el TUPA.</x:t>
  </x:si>
  <x:si>
    <x:t xml:space="preserve">limpieza_via_publica</x:t>
  </x:si>
  <x:si>
    <x:t xml:space="preserve">Para solicitar limpieza de una vía pública puedes comunicarte con el área de limpieza pública de la MPSR, indicando la calle y cuadra exacta.</x:t>
  </x:si>
  <x:si>
    <x:t xml:space="preserve">Canal y área responsable de limpieza pública.</x:t>
  </x:si>
  <x:si>
    <x:t xml:space="preserve">Verificar el área responsable de limpieza pública y el canal de pedido.</x:t>
  </x:si>
  <x:si>
    <x:t xml:space="preserve">presentar_reclamo</x:t>
  </x:si>
  <x:si>
    <x:t xml:space="preserve">Reclamos y quejas</x:t>
  </x:si>
  <x:si>
    <x:t xml:space="preserve">Puedes presentar un reclamo en mesa de partes, mediante un escrito simple indicando los hechos y adjuntando tu DNI, o a través del libro de reclamaciones si corresponde.</x:t>
  </x:si>
  <x:si>
    <x:t xml:space="preserve">Procedimiento, formato, plazo de respuesta y canal virtual si existe.</x:t>
  </x:si>
  <x:si>
    <x:t xml:space="preserve">D.S. N.° 007-2020-PCM: las entidades públicas deben contar con libro de reclamaciones virtual (citado en la Resolución de Gerencia N.° 008-2023-MPSR-J/GSG). Plazo de respuesta: TUPA.</x:t>
  </x:si>
  <x:si>
    <x:t xml:space="preserve">estado_reclamo</x:t>
  </x:si>
  <x:si>
    <x:t xml:space="preserve">El estado de tu reclamo puede consultarse en mesa de partes indicando tu número de expediente.</x:t>
  </x:si>
  <x:si>
    <x:t xml:space="preserve">Cómo consultar el estado de un reclamo.</x:t>
  </x:si>
  <x:si>
    <x:t xml:space="preserve">libro_reclamaciones</x:t>
  </x:si>
  <x:si>
    <x:t xml:space="preserve">El libro de reclamaciones está disponible en la Plataforma de Atención; también puede existir una versión virtual.</x:t>
  </x:si>
  <x:si>
    <x:t xml:space="preserve">Si existe libro de reclamaciones virtual, su enlace, y dónde está el físico.</x:t>
  </x:si>
  <x:si>
    <x:t xml:space="preserve">Portal MPSR-J en gob.pe (enlace «Libro de reclamaciones»): https://www.gob.pe/munisanroman ; portal https://munisanroman.gob.pe/web/ ; Resolución de Gerencia N.° 008-2023-MPSR-J/GSG, que menciona el Libro de Reclamaciones Digital: https://cdn.www.gob.pe/uploads/document/file/6752782/5855545-resolucion-de-gerencia-n-008-2023-mpsr-j-gsg.PDF</x:t>
  </x:si>
  <x:si>
    <x:t xml:space="preserve">Libro de reclamaciones digital, accesible desde el portal.</x:t>
  </x:si>
  <x:si>
    <x:t xml:space="preserve">La Municipalidad Provincial de San Román cuenta con un Libro de Reclamaciones virtual, al que puedes entrar desde su portal institucional o desde su página en gob.pe (gob.pe/munisanroman).</x:t>
  </x:si>
  <x:si>
    <x:t xml:space="preserve">queja_atencion</x:t>
  </x:si>
  <x:si>
    <x:t xml:space="preserve">Si tuviste un problema con la atención recibida, puedes presentar tu queja en mesa de partes o directamente en el libro de reclamaciones, detallando lo ocurrido.</x:t>
  </x:si>
  <x:si>
    <x:t xml:space="preserve">Procedimiento de queja y plazo de respuesta.</x:t>
  </x:si>
  <x:si>
    <x:t xml:space="preserve">TUO de la Ley N.° 27444 (art. 169): queja por defectos de tramitación (citado en la Resolución Gerencial N.° 513-2024-MPSR-J/GEMU).</x:t>
  </x:si>
  <x:si>
    <x:t xml:space="preserve">sugerencia</x:t>
  </x:si>
  <x:si>
    <x:t xml:space="preserve">Puedes dejar tu sugerencia en mesa de partes mediante un documento simple, o a través de los canales de atención ciudadana de la MPSR.</x:t>
  </x:si>
  <x:si>
    <x:t xml:space="preserve">Canales para dejar sugerencias.</x:t>
  </x:si>
  <x:si>
    <x:t xml:space="preserve">horario_atencion_general</x:t>
  </x:si>
  <x:si>
    <x:t xml:space="preserve">Información general</x:t>
  </x:si>
  <x:si>
    <x:t xml:space="preserve">La Municipalidad Provincial de San Román atiende de lunes a viernes en horario de oficina.</x:t>
  </x:si>
  <x:si>
    <x:t xml:space="preserve">Horario vigente exacto de la municipalidad.</x:t>
  </x:si>
  <x:si>
    <x:t xml:space="preserve">Sedes de la MPSR-J en gob.pe: https://www.gob.pe/institucion/munisanroman/sedes y Página «Contactos» del portal: https://munisanroman.gob.pe/web/contactos/</x:t>
  </x:si>
  <x:si>
    <x:t xml:space="preserve">Sede Central: lunes a viernes, 8:00 a. m. a 4:00 p. m. (Sedes en gob.pe). La página «Contactos» indica 8:00 a. m.–1:00 p. m. y 2:00–4:00 p. m.</x:t>
  </x:si>
  <x:si>
    <x:t xml:space="preserve">ubicacion_oficinas</x:t>
  </x:si>
  <x:si>
    <x:t xml:space="preserve">La Municipalidad Provincial de San Román se encuentra en la Plaza de Armas de Juliaca.</x:t>
  </x:si>
  <x:si>
    <x:t xml:space="preserve">Dirección exacta de la sede y de los anexos.</x:t>
  </x:si>
  <x:si>
    <x:t xml:space="preserve">Sede Central: Jr. Jáuregui 321, Plaza de Armas S/N, Juliaca.</x:t>
  </x:si>
  <x:si>
    <x:t xml:space="preserve">requisitos_generales</x:t>
  </x:si>
  <x:si>
    <x:t xml:space="preserve">Para la mayoría de trámites municipales necesitarás presentar tu DNI vigente; algunos trámites piden además documentos adicionales según el caso.</x:t>
  </x:si>
  <x:si>
    <x:t xml:space="preserve">Si basta el DNI y cuándo se pide representación (carta poder u otros documentos).</x:t>
  </x:si>
  <x:si>
    <x:t xml:space="preserve">El DNI identifica al administrado; si actúa un representante, se pide poder o carta poder según el trámite (TUO de la Ley N.° 27444 y TUPA).</x:t>
  </x:si>
  <x:si>
    <x:t xml:space="preserve">costos_generales</x:t>
  </x:si>
  <x:si>
    <x:t xml:space="preserve">Los costos de los trámites municipales están establecidos en el TUPA (Texto Único de Procedimientos Administrativos), disponible en la municipalidad.</x:t>
  </x:si>
  <x:si>
    <x:t xml:space="preserve">Cómo se expresan los derechos en el TUPA (soles o % de la UIT) y dónde se consultan.</x:t>
  </x:si>
  <x:si>
    <x:t xml:space="preserve">Solo pueden cobrarse los derechos que figuran en el TUPA vigente (TUO de la Ley N.° 27444); los montos se expresan en soles o como porcentaje de la UIT.</x:t>
  </x:si>
  <x:si>
    <x:t xml:space="preserve">contacto_telefonico</x:t>
  </x:si>
  <x:si>
    <x:t xml:space="preserve">Puedes comunicarte con la Municipalidad Provincial de San Román a través de su central telefónica.</x:t>
  </x:si>
  <x:si>
    <x:t xml:space="preserve">Central telefónica vigente, correo y WhatsApp si existen.</x:t>
  </x:si>
  <x:si>
    <x:t xml:space="preserve">Central telefónica (051) 321201. Sede Central: Jr. Jáuregui 321, Plaza de Armas.</x:t>
  </x:si>
  <x:si>
    <x:t xml:space="preserve">redes_sociales_mpsr</x:t>
  </x:si>
  <x:si>
    <x:t xml:space="preserve">La Municipalidad Provincial de San Román publica información e trámites en su página web institucional y en sus redes sociales oficiales.</x:t>
  </x:si>
  <x:si>
    <x:t xml:space="preserve">Nombre y enlace de la página web y de las redes oficiales.</x:t>
  </x:si>
  <x:si>
    <x:t xml:space="preserve">Portal institucional https://munisanroman.gob.pe/web/ ; página en gob.pe https://www.gob.pe/munisanroman ; Facebook «Municipalidad Provincial de San Román - Juliaca»</x:t>
  </x:si>
  <x:si>
    <x:t xml:space="preserve">Portal, gob.pe y Facebook.</x:t>
  </x:si>
  <x:si>
    <x:t xml:space="preserve">La Municipalidad Provincial de San Román publica información sobre trámites en su portal institucional (munisanroman.gob.pe), en su página de gob.pe (gob.pe/munisanroman) y en su página de Facebook «Municipalidad Provincial de San Román - Juliaca».</x:t>
  </x:si>
  <x:si>
    <x:t xml:space="preserve">Búsqueda asistida (5/10/2026). Se corrigió también la redacción original («información e trámites»). Confirmar que son las cuentas oficiales vigentes. Un resultado menciona «muni_san_roman» (posible Instagram), sin confirmar.</x:t>
  </x:si>
  <x:si>
    <x:t xml:space="preserve">Resumen de la verificación</x:t>
  </x:si>
  <x:si>
    <x:t xml:space="preserve">Todo son fórmulas sobre la pestaña Verificacion.</x:t>
  </x:si>
  <x:si>
    <x:t xml:space="preserve">Avance</x:t>
  </x:si>
  <x:si>
    <x:t xml:space="preserve">Respuestas a verificar</x:t>
  </x:si>
  <x:si>
    <x:t xml:space="preserve">Coincide</x:t>
  </x:si>
  <x:si>
    <x:t xml:space="preserve">No figura en la fuente</x:t>
  </x:si>
  <x:si>
    <x:t xml:space="preserve">Con resultado (propuesto o confirmado)</x:t>
  </x:si>
  <x:si>
    <x:t xml:space="preserve">Incluye las propuestas de búsqueda asistida: no son verificaciones hasta que las confirmes.</x:t>
  </x:si>
  <x:si>
    <x:t xml:space="preserve">Avance con resultado</x:t>
  </x:si>
  <x:si>
    <x:t xml:space="preserve">Confirmadas por el tesista</x:t>
  </x:si>
  <x:si>
    <x:t xml:space="preserve">Solo estas cuentan como verificadas y solo estas se aplican a domain.yml.</x:t>
  </x:si>
  <x:si>
    <x:t xml:space="preserve">Pendientes por prioridad</x:t>
  </x:si>
  <x:si>
    <x:t xml:space="preserve">Prioridad Alta pendientes</x:t>
  </x:si>
  <x:si>
    <x:t xml:space="preserve">Costos, plazos, requisitos y tasas: lo que más daño hace si está mal.</x:t>
  </x:si>
  <x:si>
    <x:t xml:space="preserve">Prioridad Media pendientes</x:t>
  </x:si>
  <x:si>
    <x:t xml:space="preserve">Canales, horarios, teléfonos y cronogramas.</x:t>
  </x:si>
  <x:si>
    <x:t xml:space="preserve">Calidad del llenado</x:t>
  </x:si>
  <x:si>
    <x:t xml:space="preserve">Filas con alerta</x:t>
  </x:si>
  <x:si>
    <x:t xml:space="preserve">Debe ser 0 antes de entregar el archivo.</x:t>
  </x:si>
  <x:si>
    <x:t xml:space="preserve">Marcadas [Verificar] en el repositorio</x:t>
  </x:si>
  <x:si>
    <x:t xml:space="preserve">Según el reporte de Claude Code: 40 de 44.</x:t>
  </x:si>
  <x:si>
    <x:t xml:space="preserve">Corregir o Coincide sin confirmar por el tesista</x:t>
  </x:si>
  <x:si>
    <x:t xml:space="preserve">Claude Code solo aplica las filas con «Confirmado por el tesista = Sí». Las filas llenadas por búsqueda asistida llegan sin confirmar.</x:t>
  </x:si>
  <x:si>
    <x:t xml:space="preserve">Estado general</x:t>
  </x:si>
  <x:si>
    <x:t xml:space="preserve">Por categoría (pendientes / total)</x:t>
  </x:si>
  <x:si>
    <x:t xml:space="preserve">Fuentes oficiales para verificar</x:t>
  </x:si>
  <x:si>
    <x:t xml:space="preserve">Fuente</x:t>
  </x:si>
  <x:si>
    <x:t xml:space="preserve">Enlace</x:t>
  </x:si>
  <x:si>
    <x:t xml:space="preserve">Qué contiene o para qué sirve</x:t>
  </x:si>
  <x:si>
    <x:t xml:space="preserve">Nota</x:t>
  </x:si>
  <x:si>
    <x:t xml:space="preserve">TUPA vigente de la MPSR-J (Ordenanza Municipal N.° 022-2025-CMPSR-J, 29/09/2025)</x:t>
  </x:si>
  <x:si>
    <x:t xml:space="preserve">Fuente principal. Usa el reporte SUT más reciente.</x:t>
  </x:si>
  <x:si>
    <x:t xml:space="preserve">Decreto de Alcaldía N.° 011-2025-MPSR-J/A (03/12/2025)</x:t>
  </x:si>
  <x:si>
    <x:t xml:space="preserve">https://www.gob.pe/institucion/munisanroman/normas-legales/7495467-011-2025-mpsr-j-a</x:t>
  </x:si>
  <x:si>
    <x:t xml:space="preserve">Modifica el TUPA reduciendo derechos de tramitación en 7 procedimientos.</x:t>
  </x:si>
  <x:si>
    <x:t xml:space="preserve">Por lo que se alcanza a leer, es en materia de transporte; confirma si alguno de los 7 es de los tuyos.</x:t>
  </x:si>
  <x:si>
    <x:t xml:space="preserve">Decreto de Alcaldía N.° 011-2025 (PDF)</x:t>
  </x:si>
  <x:si>
    <x:t xml:space="preserve">https://cdn.www.gob.pe/uploads/document/file/9134774/7495467-decreto-de-alcaldia-n-011-2025-mpsr-j-a.PDF</x:t>
  </x:si>
  <x:si>
    <x:t xml:space="preserve">Texto completo del decreto y su anexo.</x:t>
  </x:si>
  <x:si>
    <x:t xml:space="preserve">Normas y documentos legales de la MPSR-J</x:t>
  </x:si>
  <x:si>
    <x:t xml:space="preserve">https://www.gob.pe/institucion/munisanroman/normas-legales</x:t>
  </x:si>
  <x:si>
    <x:t xml:space="preserve">Para buscar modificaciones del TUPA posteriores a diciembre de 2025 y las ordenanzas tributarias (arbitrios, predial).</x:t>
  </x:si>
  <x:si>
    <x:t xml:space="preserve">Revisa si hay decretos u ordenanzas de 2026.</x:t>
  </x:si>
  <x:si>
    <x:t xml:space="preserve">Portal de la MPSR-J en gob.pe</x:t>
  </x:si>
  <x:si>
    <x:t xml:space="preserve">https://www.gob.pe/munisanroman</x:t>
  </x:si>
  <x:si>
    <x:t xml:space="preserve">Mesa de partes, seguimiento de trámites, libro de reclamaciones y enlaces del TUPA.</x:t>
  </x:si>
  <x:si>
    <x:t xml:space="preserve">Sirve para canales, horarios y direcciones.</x:t>
  </x:si>
  <x:si>
    <x:t xml:space="preserve">TUPA 2023 con procedimientos estandarizados (histórico)</x:t>
  </x:si>
  <x:si>
    <x:t xml:space="preserve">https://www.gob.pe/institucion/munisanroman/informes-publicaciones/4275606-texto-unico-de-procedimientos-administrativos-tupa-2023-con-procedimientos-estandarizados</x:t>
  </x:si>
  <x:si>
    <x:t xml:space="preserve">Versión anterior del TUPA (Ordenanza Municipal N.° 009-2023-CMPSRJ).</x:t>
  </x:si>
  <x:si>
    <x:t xml:space="preserve">NO usar como vigente; solo para comparar.</x:t>
  </x:si>
  <x:si>
    <x:t xml:space="preserve">Sedes de la MPSR-J en gob.pe</x:t>
  </x:si>
  <x:si>
    <x:t xml:space="preserve">https://www.gob.pe/institucion/munisanroman/sedes</x:t>
  </x:si>
  <x:si>
    <x:t xml:space="preserve">Dirección, central telefónica y horarios de atención y de mesa de partes (8:00 a. m.–4:00 p. m.).</x:t>
  </x:si>
  <x:si>
    <x:t xml:space="preserve">Oficial.</x:t>
  </x:si>
  <x:si>
    <x:t xml:space="preserve">Contactos del portal institucional</x:t>
  </x:si>
  <x:si>
    <x:t xml:space="preserve">https://munisanroman.gob.pe/web/contactos/</x:t>
  </x:si>
  <x:si>
    <x:t xml:space="preserve">Central (051) 321201, serenazgo (051) 329001/329002/329003 y horario con pausa de 1:00 a 2:00 p. m.</x:t>
  </x:si>
  <x:si>
    <x:t xml:space="preserve">Oficial; sin fecha.</x:t>
  </x:si>
  <x:si>
    <x:t xml:space="preserve">gob.pe — Solicitar partida de nacimiento en San Román - Juliaca</x:t>
  </x:si>
  <x:si>
    <x:t xml:space="preserve">https://www.gob.pe/17146-solicitar-partida-de-nacimiento-en-san-roman-juliaca</x:t>
  </x:si>
  <x:si>
    <x:t xml:space="preserve">Requisitos, pago de S/ 6.66, entrega inmediata y horario 8:30–1:00.</x:t>
  </x:si>
  <x:si>
    <x:t xml:space="preserve">Página con varios años de antigüedad.</x:t>
  </x:si>
  <x:si>
    <x:t xml:space="preserve">gob.pe — Solicitar una partida de nacimiento (variante)</x:t>
  </x:si>
  <x:si>
    <x:t xml:space="preserve">https://www.gob.pe/51225-solicitar-una-partida-de-nacimiento-en-la-municipalidad?child=80860</x:t>
  </x:si>
  <x:si>
    <x:t xml:space="preserve">Misma oficina y horario, pero con S/ 6.84 por copia certificada.</x:t>
  </x:si>
  <x:si>
    <x:t xml:space="preserve">Los dos montos difieren.</x:t>
  </x:si>
  <x:si>
    <x:t xml:space="preserve">gob.pe — Registrar una defunción en la municipalidad</x:t>
  </x:si>
  <x:si>
    <x:t xml:space="preserve">https://www.gob.pe/21525-obtener-acta-de-defuncion?child=17256</x:t>
  </x:si>
  <x:si>
    <x:t xml:space="preserve">Requisitos, gratuidad de la primera inscripción, dirección y horario de Registro Civil.</x:t>
  </x:si>
  <x:si>
    <x:t xml:space="preserve">Página genérica con datos de la MPSR.</x:t>
  </x:si>
  <x:si>
    <x:t xml:space="preserve">Nota de prensa sobre licencias de funcionamiento digitales</x:t>
  </x:si>
  <x:si>
    <x:t xml:space="preserve">https://pachamamaradio.org/san-roman-implementa-licencias-de-funcionamiento-digitales-a-partir-del-20-de-agosto/</x:t>
  </x:si>
  <x:si>
    <x:t xml:space="preserve">Licencias digitales con QR y firma electrónica desde el 20 de agosto (2025); costos y requisitos sin cambios.</x:t>
  </x:si>
  <x:si>
    <x:t xml:space="preserve">NO oficial.</x:t>
  </x:si>
  <x:si>
    <x:t xml:space="preserve">Resolución Gerencial N.° 013-2024-MPSR-J/GEMU</x:t>
  </x:si>
  <x:si>
    <x:t xml:space="preserve">https://cdn.www.gob.pe/uploads/document/file/5763090/5119677-resolucion-gerencial-n-013-2024-mpsr-j-gemu.PDF</x:t>
  </x:si>
  <x:si>
    <x:t xml:space="preserve">Caso concreto de ITSE previa a la licencia: vigencia de 2 años; inspección con INDECI y la Subgerencia de Gestión del Riesgo de Desastres.</x:t>
  </x:si>
  <x:si>
    <x:t xml:space="preserve">Oficial; caso particular.</x:t>
  </x:si>
  <x:si>
    <x:t xml:space="preserve">Mesa de partes virtual</x:t>
  </x:si>
  <x:si>
    <x:t xml:space="preserve">https://www.mpv.mpsr.pe/</x:t>
  </x:si>
  <x:si>
    <x:t xml:space="preserve">Aviso de recepción de documentos escaneados y lista de trámites que no atiende.</x:t>
  </x:si>
  <x:si>
    <x:t xml:space="preserve">Posiblemente desactualizado (cita el D.S. 044-2020-PCM).</x:t>
  </x:si>
  <x:si>
    <x:t xml:space="preserve">Listas</x:t>
  </x:si>
  <x:si>
    <x:t xml:space="preserve">Significado</x:t>
  </x:si>
  <x:si>
    <x:t xml:space="preserve">Aún no se comparó con la fuente.</x:t>
  </x:si>
  <x:si>
    <x:t xml:space="preserve">La respuesta actual es correcta según la fuente.</x:t>
  </x:si>
  <x:si>
    <x:t xml:space="preserve">Hay que cambiar algo: escribe el texto corregido.</x:t>
  </x:si>
  <x:si>
    <x:t xml:space="preserve">No encontraste el dato en la fuente: explica dónde buscaste.</x:t>
  </x:si>
  <x:si>
    <x:t xml:space="preserve">Notas de uso</x:t>
  </x:si>
  <x:si>
    <x:t xml:space="preserve">Cómo usar</x:t>
  </x:si>
  <x:si>
    <x:t xml:space="preserve">1. Abre el TUPA vigente (pestaña Fuentes) y busca cada trámite por su nombre. Empieza por las filas de prioridad Alta.</x:t>
  </x:si>
  <x:si>
    <x:t xml:space="preserve">2. Anota en las celdas amarillas lo que dice la fuente: nombre y página del procedimiento, requisitos, costo, plazo, y oficina o canal. Copia los datos tal cual; no los completes de memoria.</x:t>
  </x:si>
  <x:si>
    <x:t xml:space="preserve">3. Elige el Resultado: «Coincide» si la respuesta actual es correcta; «Corregir» si algo difiere (escribe el texto corregido); «No figura en la fuente» si no lo encuentras (explica dónde buscaste en Observaciones).</x:t>
  </x:si>
  <x:si>
    <x:t xml:space="preserve">4. El texto corregido va en lenguaje claro, como si se lo dijeras a un ciudadano, y sin la marca [Verificar]. Indica la fecha de la verificación.</x:t>
  </x:si>
  <x:si>
    <x:t xml:space="preserve">5. Marca «Confirmado por el tesista = Sí» solo en las filas que comprobaste tú contra la fuente. Claude Code aplicará a domain.yml únicamente las confirmadas; las filas llenadas por búsqueda asistida llegan sin confirmar.</x:t>
  </x:si>
  <x:si>
    <x:t xml:space="preserve">6. Cuando el Resumen diga «Listo para actualizar domain.yml» (sin pendientes, alertas ni filas sin confirmar), guarda el archivo desde Excel y entrégaselo a Claude Code.</x:t>
  </x:si>
  <x:si>
    <x:t xml:space="preserve">Cosas a tener en cuenta</x:t>
  </x:si>
  <x:si>
    <x:t xml:space="preserve">• No todo está en el TUPA: impuestos y arbitrios se rigen por ordenanzas tributarias y la ley de tributación municipal; horarios, teléfonos y cronogramas están en el portal institucional. La columna «Fuente probable» orienta dónde mirar.</x:t>
  </x:si>
  <x:si>
    <x:t xml:space="preserve">• Los derechos de tramitación pueden venir en soles o como porcentaje de la UIT. Anota la unidad tal cual y, si es en UIT, el valor de la UIT que uses.</x:t>
  </x:si>
  <x:si>
    <x:t xml:space="preserve">• El TUPA se modifica por decreto de alcaldía u ordenanza. Revisa que tu fuente sea la versión más reciente.</x:t>
  </x:si>
  <x:si>
    <x:t xml:space="preserve">• La columna «Respuesta actual» es el texto base de domain_v2.yml (3 de octubre de 2026). Si el domain.yml del repositorio cambió, la fila F indica si lleva marca [Verificar]; el texto vigente es el del repositorio.</x:t>
  </x:si>
  <x:si>
    <x:t xml:space="preserve">• Las 4 respuestas sin marca en el repositorio (denuncia_seguridad_ciudadana, horario_recojo_basura, requisitos_generales y costos_generales) también están en la lista: revísalas igual.</x:t>
  </x:si>
  <x:si>
    <x:t xml:space="preserve">Qué se llenó y cómo (5 de octubre de 2026)</x:t>
  </x:si>
  <x:si>
    <x:t xml:space="preserve">• Se llenaron las filas que tenían una fuente oficial legible: 10 con propuesta de corrección (contactos, horarios, dirección, libro de reclamaciones, seguimiento de trámites y defunción) y 8 con datos parciales y resultado Pendiente.</x:t>
  </x:si>
  <x:si>
    <x:t xml:space="preserve">• Todo salió de búsquedas en páginas oficiales (gob.pe y el portal de la MPSR) y de dos fuentes no oficiales marcadas como tales. No pude abrir el PDF del TUPA: los derechos de tramitación y plazos siguen pendientes de confirmar.</x:t>
  </x:si>
  <x:si>
    <x:t xml:space="preserve">• La columna «Marco general orientativo» (T) da el contexto legal nacional de cada trámite para ubicar rápido el procedimiento en el TUPA. No es un dato del TUPA de la MPSR, no se aplica a domain.yml y no cuenta como verificación: los montos y plazos locales siguen sin asumirse.</x:t>
  </x:si>
  <x:si>
    <x:t xml:space="preserve">• Ninguna fila viene confirmada: la columna «Confirmado por el tesista» está vacía.</x:t>
  </x:si>
  <x:si>
    <x:t xml:space="preserve">• Las propuestas de corrección son candidatas: confirma cada una antes de pasarla al chatbot. Dos casos importantes: el monto de la partida de nacimiento (dos páginas dan S/ 6.66 y S/ 6.84) y la vigencia de la licencia de funcionamiento (¿un año o permanente?).</x:t>
  </x:si>
  <x:si>
    <x:t xml:space="preserve">• Varias respuestas hablan de la «Plataforma de Atención»; no aparece en ninguna fuente oficial vista. Confirma si la MPSR usa ese nombre.</x:t>
  </x:si>
  <x:si>
    <x:t xml:space="preserve">Fuentes y supuestos</x:t>
  </x:si>
  <x:si>
    <x:t xml:space="preserve">• Las 44 intenciones de trámites y sus categorías salen del catálogo situaciones_lote1_v1.csv; los textos, de domain_v2.yml. La columna «Datos a comprobar» y la prioridad son orientaciones mías, no datos del TUPA.</x:t>
  </x:si>
  <x:si>
    <x:t xml:space="preserve">• Que 40 de las 44 respuestas llevan marca [Verificar] en el repositorio viene del reporte de Claude Code; la columna F lo refleja y debe confirmarse contra domain.yml.</x:t>
  </x:si>
  <x:si>
    <x:t xml:space="preserve">• Colores: azul = valor escrito a mano o dato fijo; negro = fórmula; verde = vínculo a otra hoja.</x:t>
  </x:si>
</x:sst>
</file>

<file path=xl/styles.xml><?xml version="1.0" encoding="utf-8"?>
<x:styleSheet xmlns:x="http://schemas.openxmlformats.org/spreadsheetml/2006/main">
  <x:fonts count="10">
    <x:font>
      <x:sz val="10"/>
      <x:name val="Arial"/>
    </x:font>
    <x:font>
      <x:b/>
      <x:sz val="14"/>
      <x:name val="Arial"/>
    </x:font>
    <x:font>
      <x:i/>
      <x:sz val="9"/>
      <x:color rgb="FF595959"/>
      <x:name val="Arial"/>
    </x:font>
    <x:font>
      <x:b/>
      <x:sz val="10"/>
      <x:color rgb="FFFFFFFF"/>
      <x:name val="Arial"/>
    </x:font>
    <x:font>
      <x:b/>
      <x:sz val="10"/>
      <x:name val="Arial"/>
    </x:font>
    <x:font>
      <x:sz val="9"/>
      <x:color rgb="FF404040"/>
      <x:name val="Arial"/>
    </x:font>
    <x:font>
      <x:sz val="10"/>
      <x:color rgb="FF0000FF"/>
      <x:name val="Arial"/>
    </x:font>
    <x:font>
      <x:sz val="11"/>
      <x:color theme="1"/>
      <x:name val="Calibri"/>
      <x:family val="2"/>
    </x:font>
    <x:font>
      <x:sz val="10"/>
      <x:color rgb="FF008000"/>
      <x:name val="Arial"/>
    </x:font>
    <x:font>
      <x:u val="single"/>
      <x:sz val="9"/>
      <x:color rgb="FF0563C1"/>
      <x:name val="Arial"/>
    </x:font>
  </x:fonts>
  <x:fills count="5">
    <x:fill>
      <x:patternFill patternType="none"/>
    </x:fill>
    <x:fill>
      <x:patternFill patternType="gray125"/>
    </x:fill>
    <x:fill>
      <x:patternFill patternType="solid">
        <x:fgColor rgb="FF404040"/>
      </x:patternFill>
    </x:fill>
    <x:fill>
      <x:patternFill patternType="solid">
        <x:fgColor rgb="FFFFF2CC"/>
      </x:patternFill>
    </x:fill>
    <x:fill>
      <x:patternFill patternType="solid">
        <x:fgColor rgb="FFD9D9D9"/>
      </x:patternFill>
    </x:fill>
  </x:fills>
  <x:borders count="2">
    <x:border>
      <x:left/>
      <x:right/>
      <x:top/>
      <x:bottom/>
      <x:diagonal/>
    </x:border>
    <x:border>
      <x:left style="thin">
        <x:color rgb="FFBFBFBF"/>
      </x:left>
      <x:right style="thin">
        <x:color rgb="FFBFBFBF"/>
      </x:right>
      <x:top style="thin">
        <x:color rgb="FFBFBFBF"/>
      </x:top>
      <x:bottom style="thin">
        <x:color rgb="FFBFBFBF"/>
      </x:bottom>
      <x:diagonal/>
    </x:border>
  </x:borders>
  <x:cellStyleXfs count="1">
    <x:xf numFmtId="0" fontId="0" fillId="0" borderId="0"/>
  </x:cellStyleXfs>
  <x:cellXfs count="29">
    <x:xf numFmtId="0" fontId="0" fillId="0" borderId="0" xfId="0"/>
    <x:xf numFmtId="0" fontId="2" fillId="0" borderId="0" xfId="0" applyFont="1" applyBorder="1" applyAlignment="1">
      <x:alignment vertical="top" wrapText="1"/>
    </x:xf>
    <x:xf numFmtId="0" fontId="0" fillId="0" borderId="0" xfId="0" applyAlignment="1"/>
    <x:xf numFmtId="0" fontId="1" fillId="0" borderId="0" xfId="0" applyFont="1" applyAlignment="1"/>
    <x:xf numFmtId="0" fontId="3" fillId="2" borderId="1" xfId="0" applyFont="1" applyFill="1" applyBorder="1" applyAlignment="1">
      <x:alignment horizontal="center" vertical="center" wrapText="1"/>
    </x:xf>
    <x:xf numFmtId="0" fontId="0" fillId="0" borderId="1" xfId="0" applyBorder="1" applyAlignment="1">
      <x:alignment horizontal="center" vertical="center"/>
    </x:xf>
    <x:xf numFmtId="0" fontId="4" fillId="0" borderId="1" xfId="0" applyFont="1" applyBorder="1" applyAlignment="1">
      <x:alignment horizontal="left" vertical="center" wrapText="1"/>
    </x:xf>
    <x:xf numFmtId="0" fontId="5" fillId="0" borderId="1" xfId="0" applyFont="1" applyBorder="1" applyAlignment="1">
      <x:alignment horizontal="left" vertical="center" wrapText="1"/>
    </x:xf>
    <x:xf numFmtId="0" fontId="6" fillId="0" borderId="1" xfId="0" applyFont="1" applyBorder="1" applyAlignment="1">
      <x:alignment horizontal="center" vertical="center"/>
    </x:xf>
    <x:xf numFmtId="0" fontId="5" fillId="0" borderId="1" xfId="0" applyFont="1" applyBorder="1" applyAlignment="1">
      <x:alignment horizontal="left" vertical="top" wrapText="1"/>
    </x:xf>
    <x:xf numFmtId="0" fontId="6" fillId="3" borderId="1" xfId="0" applyFont="1" applyFill="1" applyBorder="1" applyAlignment="1">
      <x:alignment horizontal="left" vertical="top" wrapText="1"/>
    </x:xf>
    <x:xf numFmtId="0" fontId="6" fillId="3" borderId="1" xfId="0" applyFont="1" applyFill="1" applyBorder="1" applyAlignment="1">
      <x:alignment horizontal="center" vertical="center"/>
    </x:xf>
    <x:xf numFmtId="14" fontId="6" fillId="3" borderId="1" xfId="0" applyNumberFormat="1" applyFont="1" applyFill="1" applyBorder="1" applyAlignment="1">
      <x:alignment horizontal="center" vertical="center"/>
    </x:xf>
    <x:xf numFmtId="0" fontId="0" fillId="0" borderId="1" xfId="0" applyBorder="1" applyAlignment="1">
      <x:alignment horizontal="left" vertical="center" wrapText="1"/>
    </x:xf>
    <x:xf numFmtId="0" fontId="5" fillId="3" borderId="1" xfId="0" applyFont="1" applyFill="1" applyBorder="1" applyAlignment="1">
      <x:alignment horizontal="left" vertical="top" wrapText="1"/>
    </x:xf>
    <x:xf numFmtId="0" fontId="2" fillId="0" borderId="0" xfId="0" applyFont="1" applyAlignment="1"/>
    <x:xf numFmtId="0" fontId="4" fillId="4" borderId="0" xfId="0" applyFont="1" applyFill="1" applyAlignment="1"/>
    <x:xf numFmtId="0" fontId="7" fillId="4" borderId="0" xfId="0" applyFont="1" applyFill="1" applyAlignment="1"/>
    <x:xf numFmtId="0" fontId="0" fillId="0" borderId="1" xfId="0" applyFont="1" applyBorder="1" applyAlignment="1">
      <x:alignment horizontal="left" vertical="center" wrapText="1"/>
    </x:xf>
    <x:xf numFmtId="0" fontId="8" fillId="0" borderId="1" xfId="0" applyFont="1" applyBorder="1" applyAlignment="1">
      <x:alignment horizontal="center" vertical="center"/>
    </x:xf>
    <x:xf numFmtId="0" fontId="2" fillId="0" borderId="0" xfId="0" applyFont="1" applyAlignment="1">
      <x:alignment horizontal="left" vertical="center" wrapText="1"/>
    </x:xf>
    <x:xf numFmtId="9" fontId="0" fillId="0" borderId="1" xfId="0" applyNumberFormat="1" applyBorder="1" applyAlignment="1">
      <x:alignment horizontal="center" vertical="center"/>
    </x:xf>
    <x:xf numFmtId="0" fontId="4" fillId="0" borderId="1" xfId="0" applyFont="1" applyBorder="1" applyAlignment="1">
      <x:alignment horizontal="center" vertical="center" wrapText="1"/>
    </x:xf>
    <x:xf numFmtId="0" fontId="0" fillId="0" borderId="1" xfId="0" applyFont="1" applyBorder="1" applyAlignment="1">
      <x:alignment horizontal="left" vertical="top" wrapText="1"/>
    </x:xf>
    <x:xf numFmtId="0" fontId="9" fillId="0" borderId="1" xfId="0" applyFont="1" applyBorder="1" applyAlignment="1">
      <x:alignment horizontal="left" vertical="top" wrapText="1"/>
    </x:xf>
    <x:xf numFmtId="0" fontId="6" fillId="0" borderId="1" xfId="0" applyFont="1" applyBorder="1" applyAlignment="1">
      <x:alignment horizontal="left" vertical="center" wrapText="1"/>
    </x:xf>
    <x:xf numFmtId="0" fontId="1" fillId="0" borderId="0" xfId="0" applyFont="1" applyAlignment="1">
      <x:alignment vertical="top" wrapText="1"/>
    </x:xf>
    <x:xf numFmtId="0" fontId="0" fillId="0" borderId="0" xfId="0" applyAlignment="1">
      <x:alignment vertical="top" wrapText="1"/>
    </x:xf>
    <x:xf numFmtId="0" fontId="4" fillId="0" borderId="0" xfId="0" applyFont="1" applyAlignment="1">
      <x:alignment vertical="top" wrapText="1"/>
    </x:xf>
  </x:cellXfs>
  <x:cellStyles count="1">
    <x:cellStyle name="Normal" xfId="0"/>
  </x:cellStyles>
  <x:dxfs count="8">
    <x:dxf>
      <x:fill>
        <x:patternFill>
          <x:bgColor rgb="FFFFEB9C"/>
        </x:patternFill>
      </x:fill>
    </x:dxf>
    <x:dxf>
      <x:fill>
        <x:patternFill>
          <x:bgColor rgb="FFFFC7CE"/>
        </x:patternFill>
      </x:fill>
    </x:dxf>
    <x:dxf>
      <x:fill>
        <x:patternFill>
          <x:bgColor rgb="FFFFEB9C"/>
        </x:patternFill>
      </x:fill>
    </x:dxf>
    <x:dxf>
      <x:fill>
        <x:patternFill>
          <x:bgColor rgb="FFC6EFCE"/>
        </x:patternFill>
      </x:fill>
    </x:dxf>
    <x:dxf>
      <x:fill>
        <x:patternFill>
          <x:bgColor rgb="FFFFC7CE"/>
        </x:patternFill>
      </x:fill>
    </x:dxf>
    <x:dxf>
      <x:fill>
        <x:patternFill>
          <x:bgColor rgb="FFFFC7CE"/>
        </x:patternFill>
      </x:fill>
    </x:dxf>
    <x:dxf>
      <x:fill>
        <x:patternFill>
          <x:bgColor rgb="FFFFEB9C"/>
        </x:patternFill>
      </x:fill>
    </x:dxf>
    <x:dxf>
      <x:fill>
        <x:patternFill>
          <x:bgColor rgb="FFC6EFCE"/>
        </x:patternFill>
      </x:fill>
    </x:dxf>
  </x:dxf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808000"/>
      <x:rgbColor rgb="FF800080"/>
      <x:rgbColor rgb="FF008080"/>
      <x:rgbColor rgb="FFBFBFBF"/>
      <x:rgbColor rgb="FF808080"/>
      <x:rgbColor rgb="FF9999FF"/>
      <x:rgbColor rgb="FF993366"/>
      <x:rgbColor rgb="FFFFF2CC"/>
      <x:rgbColor rgb="FFCCFFFF"/>
      <x:rgbColor rgb="FF660066"/>
      <x:rgbColor rgb="FFFF8080"/>
      <x:rgbColor rgb="FF0563C1"/>
      <x:rgbColor rgb="FFD9D9D9"/>
      <x:rgbColor rgb="FF000080"/>
      <x:rgbColor rgb="FFFF00FF"/>
      <x:rgbColor rgb="FFFFFF00"/>
      <x:rgbColor rgb="FF00FFFF"/>
      <x:rgbColor rgb="FF800080"/>
      <x:rgbColor rgb="FF800000"/>
      <x:rgbColor rgb="FF008080"/>
      <x:rgbColor rgb="FF0000FF"/>
      <x:rgbColor rgb="FF00CCFF"/>
      <x:rgbColor rgb="FFCCFFFF"/>
      <x:rgbColor rgb="FFC6EFCE"/>
      <x:rgbColor rgb="FFFFEB9C"/>
      <x:rgbColor rgb="FF99CCFF"/>
      <x:rgbColor rgb="FFFF99CC"/>
      <x:rgbColor rgb="FFCC99FF"/>
      <x:rgbColor rgb="FFFFC7CE"/>
      <x:rgbColor rgb="FF3366FF"/>
      <x:rgbColor rgb="FF33CCCC"/>
      <x:rgbColor rgb="FF99CC00"/>
      <x:rgbColor rgb="FFFFCC00"/>
      <x:rgbColor rgb="FFFF9900"/>
      <x:rgbColor rgb="FFFF6600"/>
      <x:rgbColor rgb="FF595959"/>
      <x:rgbColor rgb="FF969696"/>
      <x:rgbColor rgb="FF003366"/>
      <x:rgbColor rgb="FF339966"/>
      <x:rgbColor rgb="FF003300"/>
      <x:rgbColor rgb="FF333300"/>
      <x:rgbColor rgb="FF993300"/>
      <x:rgbColor rgb="FF993366"/>
      <x:rgbColor rgb="FF333399"/>
      <x:rgbColor rgb="FF404040"/>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d581e53a99da43ac" /><Relationship Type="http://schemas.openxmlformats.org/officeDocument/2006/relationships/theme" Target="/xl/theme/theme1.xml" Id="R0f35d5e2a8ea442d" /><Relationship Type="http://schemas.openxmlformats.org/officeDocument/2006/relationships/sharedStrings" Target="/xl/sharedStrings.xml" Id="Rea427fd426b543fe" /><Relationship Type="http://schemas.openxmlformats.org/officeDocument/2006/relationships/worksheet" Target="/xl/worksheets/sheet1.xml" Id="R124f57f126f6417d" /><Relationship Type="http://schemas.openxmlformats.org/officeDocument/2006/relationships/worksheet" Target="/xl/worksheets/sheet2.xml" Id="R26da7a92df6640d2" /><Relationship Type="http://schemas.openxmlformats.org/officeDocument/2006/relationships/worksheet" Target="/xl/worksheets/sheet3.xml" Id="R76cc8bba380541c2" /><Relationship Type="http://schemas.openxmlformats.org/officeDocument/2006/relationships/worksheet" Target="/xl/worksheets/sheet4.xml" Id="R2096140e88734618" /><Relationship Type="http://schemas.openxmlformats.org/officeDocument/2006/relationships/worksheet" Target="/xl/worksheets/sheet5.xml" Id="R4d47639193ad415f"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hyperlink" Target="https://www.gob.pe/institucion/munisanroman/informes-publicaciones/7272473" TargetMode="External" Id="Rca77b30b06d043f3" /><Relationship Type="http://schemas.openxmlformats.org/officeDocument/2006/relationships/hyperlink" Target="https://www.gob.pe/institucion/munisanroman/normas-legales/7495467-011-2025-mpsr-j-a" TargetMode="External" Id="R860eb97ee2d34e26" /><Relationship Type="http://schemas.openxmlformats.org/officeDocument/2006/relationships/hyperlink" Target="https://cdn.www.gob.pe/uploads/document/file/9134774/7495467-decreto-de-alcaldia-n-011-2025-mpsr-j-a.PDF" TargetMode="External" Id="Ra57eab8e4e9d43ed" /><Relationship Type="http://schemas.openxmlformats.org/officeDocument/2006/relationships/hyperlink" Target="https://www.gob.pe/institucion/munisanroman/normas-legales" TargetMode="External" Id="Rcdc762ceb0de49f3" /><Relationship Type="http://schemas.openxmlformats.org/officeDocument/2006/relationships/hyperlink" Target="https://www.gob.pe/munisanroman" TargetMode="External" Id="Redfa0a4855de411f" /><Relationship Type="http://schemas.openxmlformats.org/officeDocument/2006/relationships/hyperlink" Target="https://www.gob.pe/institucion/munisanroman/informes-publicaciones/4275606-texto-unico-de-procedimientos-administrativos-tupa-2023-con-procedimientos-estandarizados" TargetMode="External" Id="Re2e735ee27d644cf" /><Relationship Type="http://schemas.openxmlformats.org/officeDocument/2006/relationships/hyperlink" Target="https://www.gob.pe/institucion/munisanroman/sedes" TargetMode="External" Id="Ra575bd49728c4213" /><Relationship Type="http://schemas.openxmlformats.org/officeDocument/2006/relationships/hyperlink" Target="https://munisanroman.gob.pe/web/contactos/" TargetMode="External" Id="R5eda79689c134eb1" /><Relationship Type="http://schemas.openxmlformats.org/officeDocument/2006/relationships/hyperlink" Target="https://www.gob.pe/17146-solicitar-partida-de-nacimiento-en-san-roman-juliaca" TargetMode="External" Id="R79de6ff8f97a4e0c" /><Relationship Type="http://schemas.openxmlformats.org/officeDocument/2006/relationships/hyperlink" Target="https://www.gob.pe/51225-solicitar-una-partida-de-nacimiento-en-la-municipalidad?child=80860" TargetMode="External" Id="R4805d481b252475f" /><Relationship Type="http://schemas.openxmlformats.org/officeDocument/2006/relationships/hyperlink" Target="https://www.gob.pe/21525-obtener-acta-de-defuncion?child=17256" TargetMode="External" Id="R334a21d03d6d4662" /><Relationship Type="http://schemas.openxmlformats.org/officeDocument/2006/relationships/hyperlink" Target="https://pachamamaradio.org/san-roman-implementa-licencias-de-funcionamiento-digitales-a-partir-del-20-de-agosto/" TargetMode="External" Id="Rf117b5b7decd410c" /><Relationship Type="http://schemas.openxmlformats.org/officeDocument/2006/relationships/hyperlink" Target="https://cdn.www.gob.pe/uploads/document/file/5763090/5119677-resolucion-gerencial-n-013-2024-mpsr-j-gemu.PDF" TargetMode="External" Id="Raf19ea37e3a047d8" /><Relationship Type="http://schemas.openxmlformats.org/officeDocument/2006/relationships/hyperlink" Target="https://www.mpv.mpsr.pe/" TargetMode="External" Id="R38ad96945e714d19" /></Relationships>
</file>

<file path=xl/worksheets/sheet1.xml><?xml version="1.0" encoding="utf-8"?>
<x:worksheet xmlns:x="http://schemas.openxmlformats.org/spreadsheetml/2006/main">
  <x:sheetViews>
    <x:sheetView workbookViewId="0">
      <x:pane xSplit="2" ySplit="3" topLeftCell="C4" activePane="bottomRight" state="frozen"/>
    </x:sheetView>
  </x:sheetViews>
  <x:sheetFormatPr baseColWidth="10" defaultColWidth="8.7109375" defaultRowHeight="12.75"/>
  <x:cols>
    <x:col min="1" max="1" width="4" style="2" customWidth="1"/>
    <x:col min="2" max="2" width="26" style="2" customWidth="1"/>
    <x:col min="3" max="3" width="20" style="2" customWidth="1"/>
    <x:col min="4" max="4" width="10" style="2" customWidth="1"/>
    <x:col min="5" max="5" width="18" style="2" customWidth="1"/>
    <x:col min="6" max="6" width="12" style="2" customWidth="1"/>
    <x:col min="7" max="7" width="52" style="2" customWidth="1"/>
    <x:col min="8" max="8" width="44" style="2" customWidth="1"/>
    <x:col min="9" max="10" width="34" style="2" customWidth="1"/>
    <x:col min="11" max="11" width="22" style="2" customWidth="1"/>
    <x:col min="12" max="12" width="20" style="2" customWidth="1"/>
    <x:col min="13" max="13" width="28" style="2" customWidth="1"/>
    <x:col min="14" max="14" width="16" style="2" customWidth="1"/>
    <x:col min="15" max="15" width="52" style="2" customWidth="1"/>
    <x:col min="16" max="16" width="13" style="2" customWidth="1"/>
    <x:col min="17" max="17" width="30" style="2" customWidth="1"/>
    <x:col min="18" max="18" width="20" style="2" customWidth="1"/>
    <x:col min="19" max="19" width="16" style="2" customWidth="1"/>
    <x:col min="20" max="20" width="52" style="2" customWidth="1"/>
  </x:cols>
  <x:sheetData>
    <x:row r="1" ht="17.25" customHeight="1">
      <x:c r="A1" s="3" t="s">
        <x:v>0</x:v>
      </x:c>
    </x:row>
    <x:row r="2" ht="30" customHeight="1">
      <x:c r="A2" s="1" t="s">
        <x:v>1</x:v>
      </x:c>
      <x:c r="B2" s="1"/>
      <x:c r="C2" s="1"/>
      <x:c r="D2" s="1"/>
      <x:c r="E2" s="1"/>
      <x:c r="F2" s="1"/>
      <x:c r="G2" s="1"/>
      <x:c r="H2" s="1"/>
      <x:c r="I2" s="1"/>
      <x:c r="J2" s="1"/>
      <x:c r="K2" s="1"/>
      <x:c r="L2" s="1"/>
      <x:c r="M2" s="1"/>
      <x:c r="N2" s="1"/>
      <x:c r="O2" s="1"/>
      <x:c r="P2" s="1"/>
      <x:c r="Q2" s="1"/>
      <x:c r="R2" s="1"/>
      <x:c r="S2" s="1"/>
      <x:c r="T2" s="1"/>
    </x:row>
    <x:row r="3" ht="60" customHeight="1">
      <x:c r="A3" s="4" t="s">
        <x:v>2</x:v>
      </x:c>
      <x:c r="B3" s="4" t="s">
        <x:v>3</x:v>
      </x:c>
      <x:c r="C3" s="4" t="s">
        <x:v>4</x:v>
      </x:c>
      <x:c r="D3" s="4" t="s">
        <x:v>5</x:v>
      </x:c>
      <x:c r="E3" s="4" t="s">
        <x:v>6</x:v>
      </x:c>
      <x:c r="F3" s="4" t="s">
        <x:v>7</x:v>
      </x:c>
      <x:c r="G3" s="4" t="s">
        <x:v>8</x:v>
      </x:c>
      <x:c r="H3" s="4" t="s">
        <x:v>9</x:v>
      </x:c>
      <x:c r="I3" s="4" t="s">
        <x:v>10</x:v>
      </x:c>
      <x:c r="J3" s="4" t="s">
        <x:v>11</x:v>
      </x:c>
      <x:c r="K3" s="4" t="s">
        <x:v>12</x:v>
      </x:c>
      <x:c r="L3" s="4" t="s">
        <x:v>13</x:v>
      </x:c>
      <x:c r="M3" s="4" t="s">
        <x:v>14</x:v>
      </x:c>
      <x:c r="N3" s="4" t="s">
        <x:v>15</x:v>
      </x:c>
      <x:c r="O3" s="4" t="s">
        <x:v>16</x:v>
      </x:c>
      <x:c r="P3" s="4" t="s">
        <x:v>17</x:v>
      </x:c>
      <x:c r="Q3" s="4" t="s">
        <x:v>18</x:v>
      </x:c>
      <x:c r="R3" s="4" t="s">
        <x:v>19</x:v>
      </x:c>
      <x:c r="S3" s="4" t="s">
        <x:v>20</x:v>
      </x:c>
      <x:c r="T3" s="4" t="s">
        <x:v>21</x:v>
      </x:c>
    </x:row>
    <x:row r="4" ht="91.5" customHeight="1">
      <x:c r="A4" s="5">
        <x:v>1</x:v>
      </x:c>
      <x:c r="B4" s="6" t="s">
        <x:v>22</x:v>
      </x:c>
      <x:c r="C4" s="7" t="s">
        <x:v>23</x:v>
      </x:c>
      <x:c r="D4" s="8" t="s">
        <x:v>24</x:v>
      </x:c>
      <x:c r="E4" s="7" t="s">
        <x:v>25</x:v>
      </x:c>
      <x:c r="F4" s="8" t="s">
        <x:v>26</x:v>
      </x:c>
      <x:c r="G4" s="9" t="s">
        <x:v>27</x:v>
      </x:c>
      <x:c r="H4" s="9" t="s">
        <x:v>28</x:v>
      </x:c>
      <x:c r="I4" s="10" t="inlineStr">
        <x:is>
          <x:t xml:space="preserve">Licencia de funcionamiento según nivel de riesgo</x:t>
        </x:is>
      </x:c>
      <x:c r="J4" s="10" t="inlineStr">
        <x:is>
          <x:t xml:space="preserve">Riesgo bajo/medio: ITSE posterior. Riesgo alto/muy alto: ITSE previa y documentos técnicos de seguridad. Varían por ficha.</x:t>
        </x:is>
      </x:c>
      <x:c r="K4" s="10" t="inlineStr">
        <x:is>
          <x:t xml:space="preserve">Ver fila siguiente</x:t>
        </x:is>
      </x:c>
      <x:c r="L4" s="10"/>
      <x:c r="M4" s="10" t="s">
        <x:v>29</x:v>
      </x:c>
      <x:c r="N4" s="11" t="inlineStr">
        <x:is>
          <x:t xml:space="preserve">Corregir</x:t>
        </x:is>
      </x:c>
      <x:c r="O4" s="10" t="str">
        <x:v>El TUPA pide una solicitud de licencia con carácter de declaración jurada y una declaración de cumplimiento de las condiciones de seguridad. Para riesgo bajo o medio, la ITSE se realiza después de otorgar la licencia; para riesgo alto o muy alto, se realiza antes y se adjuntan documentos técnicos, como croquis, planos y plan de seguridad. La municipalidad determina el nivel de riesgo y los requisitos exactos.</x:v>
      </x:c>
      <x:c r="P4" s="12">
        <x:v>46302</x:v>
      </x:c>
      <x:c r="Q4" s="10" t="str">
        <x:v>Verificado el 07/10/2026 con el TUPA aprobado por OM 022-2025-CMPSR-J, parte 01, fichas de licencia por riesgo bajo, medio, alto y muy alto (pp. 52–58). Para las fichas de riesgo alto/muy alto se consideró también el DA 011-2025-MPSR-J/A.</x:v>
      </x:c>
      <x:c r="R4" s="13" t="str">
        <x:f t="shared" ref="R4:R47" si="0">IF(AND(N4="Corregir",LEN(TRIM(O4))=0),"Falta el texto corregido",IF(AND(OR(N4="Coincide",N4="Corregir"),LEN(TRIM(I4))=0),"Falta citar la fuente",IF(AND(N4="No figura en la fuente",LEN(TRIM(Q4))=0),"Explica dónde buscaste",IF(AND(N4&lt;&gt;"Pendiente",P4=""),"Falta la fecha",""))))</x:f>
      </x:c>
      <x:c r="S4" s="11" t="str">
        <x:v>Sí</x:v>
      </x:c>
      <x:c r="T4" s="14" t="s">
        <x:v>30</x:v>
      </x:c>
    </x:row>
    <x:row r="5" ht="91.5" customHeight="1">
      <x:c r="A5" s="5">
        <x:v>2</x:v>
      </x:c>
      <x:c r="B5" s="6" t="s">
        <x:v>31</x:v>
      </x:c>
      <x:c r="C5" s="7" t="s">
        <x:v>23</x:v>
      </x:c>
      <x:c r="D5" s="8" t="s">
        <x:v>24</x:v>
      </x:c>
      <x:c r="E5" s="7" t="s">
        <x:v>25</x:v>
      </x:c>
      <x:c r="F5" s="8" t="s">
        <x:v>26</x:v>
      </x:c>
      <x:c r="G5" s="9" t="s">
        <x:v>32</x:v>
      </x:c>
      <x:c r="H5" s="9" t="s">
        <x:v>33</x:v>
      </x:c>
      <x:c r="I5" s="10" t="inlineStr">
        <x:is>
          <x:t xml:space="preserve">Licencia de funcionamiento según nivel de riesgo</x:t>
        </x:is>
      </x:c>
      <x:c r="J5" s="10"/>
      <x:c r="K5" s="10" t="str">
        <x:v>S/ 169,80 (bajo); S/ 175,70 (medio); S/ 525,60 (alto); S/ 893,70 (muy alto)</x:v>
      </x:c>
      <x:c r="L5" s="10"/>
      <x:c r="M5" s="10" t="s">
        <x:v>29</x:v>
      </x:c>
      <x:c r="N5" s="11" t="inlineStr">
        <x:is>
          <x:t xml:space="preserve">Corregir</x:t>
        </x:is>
      </x:c>
      <x:c r="O5" s="10" t="str">
        <x:v>El derecho de trámite depende del nivel de riesgo: S/ 169,80 (bajo), S/ 175,70 (medio), S/ 525,60 (alto) y S/ 893,70 (muy alto).</x:v>
      </x:c>
      <x:c r="P5" s="12">
        <x:v>46302</x:v>
      </x:c>
      <x:c r="Q5" s="10" t="str">
        <x:v>Verificado el 07/10/2026 con el TUPA 2025, parte 01: PE1027344C1 (S/ 169,80, bajo), PE102730761 (S/ 175,70, medio), PE102735B77 (S/ 525,60, alto) y PE102735FC9 (S/ 893,70, muy alto).</x:v>
      </x:c>
      <x:c r="R5" s="13" t="str">
        <x:f t="shared" si="0"/>
      </x:c>
      <x:c r="S5" s="11" t="str">
        <x:v>Sí</x:v>
      </x:c>
      <x:c r="T5" s="14" t="s">
        <x:v>34</x:v>
      </x:c>
    </x:row>
    <x:row r="6" ht="91.5" customHeight="1">
      <x:c r="A6" s="5">
        <x:v>3</x:v>
      </x:c>
      <x:c r="B6" s="6" t="s">
        <x:v>35</x:v>
      </x:c>
      <x:c r="C6" s="7" t="s">
        <x:v>23</x:v>
      </x:c>
      <x:c r="D6" s="8" t="s">
        <x:v>24</x:v>
      </x:c>
      <x:c r="E6" s="7" t="s">
        <x:v>25</x:v>
      </x:c>
      <x:c r="F6" s="8" t="s">
        <x:v>26</x:v>
      </x:c>
      <x:c r="G6" s="9" t="s">
        <x:v>36</x:v>
      </x:c>
      <x:c r="H6" s="9" t="s">
        <x:v>37</x:v>
      </x:c>
      <x:c r="I6" s="10" t="inlineStr">
        <x:is>
          <x:t xml:space="preserve">Licencia de funcionamiento según nivel de riesgo</x:t>
        </x:is>
      </x:c>
      <x:c r="J6" s="10"/>
      <x:c r="K6" s="10"/>
      <x:c r="L6" s="10" t="inlineStr">
        <x:is>
          <x:t xml:space="preserve">Riesgo bajo/medio: 2 días hábiles. Riesgo alto/muy alto: 8 días en total</x:t>
        </x:is>
      </x:c>
      <x:c r="M6" s="10"/>
      <x:c r="N6" s="11" t="inlineStr">
        <x:is>
          <x:t xml:space="preserve">Corregir</x:t>
        </x:is>
      </x:c>
      <x:c r="O6" s="10" t="str">
        <x:v>Para riesgo bajo o medio, la licencia se emite en 2 días hábiles y la ITSE posterior se atiende hasta en 9 días hábiles. Para riesgo alto o muy alto, la ITSE previa puede tomar hasta 7 días y la licencia se emite en 1 día más: 8 días hábiles en total.</x:v>
      </x:c>
      <x:c r="P6" s="12">
        <x:v>46302</x:v>
      </x:c>
      <x:c r="Q6" s="10" t="str">
        <x:v>Verificado el 07/10/2026 con las fichas PE1027344C1, PE102730761, PE102735B77 y PE102735FC9 del TUPA 2025, parte 01. Se revisó también el DA 011-2025-MPSR-J/A para los procedimientos de riesgo alto y muy alto.</x:v>
      </x:c>
      <x:c r="R6" s="13" t="str">
        <x:f t="shared" si="0"/>
      </x:c>
      <x:c r="S6" s="11" t="str">
        <x:v>Sí</x:v>
      </x:c>
      <x:c r="T6" s="14" t="s">
        <x:v>38</x:v>
      </x:c>
    </x:row>
    <x:row r="7" ht="91.5" customHeight="1">
      <x:c r="A7" s="5">
        <x:v>4</x:v>
      </x:c>
      <x:c r="B7" s="6" t="s">
        <x:v>39</x:v>
      </x:c>
      <x:c r="C7" s="7" t="s">
        <x:v>23</x:v>
      </x:c>
      <x:c r="D7" s="8" t="s">
        <x:v>24</x:v>
      </x:c>
      <x:c r="E7" s="7" t="s">
        <x:v>25</x:v>
      </x:c>
      <x:c r="F7" s="8" t="s">
        <x:v>26</x:v>
      </x:c>
      <x:c r="G7" s="9" t="s">
        <x:v>40</x:v>
      </x:c>
      <x:c r="H7" s="9" t="s">
        <x:v>41</x:v>
      </x:c>
      <x:c r="I7" s="10" t="inlineStr">
        <x:is>
          <x:t xml:space="preserve">Licencia de edificación (modalidades A, B, C y D)</x:t>
        </x:is>
      </x:c>
      <x:c r="J7" s="10" t="inlineStr">
        <x:is>
          <x:t xml:space="preserve">Hay modalidades A, B, C y D; requisitos y derechos distintos según tipo, uso, área y características de la obra.</x:t>
        </x:is>
      </x:c>
      <x:c r="K7" s="10"/>
      <x:c r="L7" s="10"/>
      <x:c r="M7" s="10"/>
      <x:c r="N7" s="11" t="inlineStr">
        <x:is>
          <x:t xml:space="preserve">Corregir</x:t>
        </x:is>
      </x:c>
      <x:c r="O7" s="10" t="str">
        <x:v>Los requisitos de licencia de edificación dependen de la modalidad (A, B, C o D), el tipo de obra y sus características. Dime qué proyecto vas a realizar, su uso y área para orientarte sobre la ficha que corresponde.</x:v>
      </x:c>
      <x:c r="P7" s="12">
        <x:v>46302</x:v>
      </x:c>
      <x:c r="Q7" s="10" t="str">
        <x:v>Verificado el 07/10/2026 contra las fichas de licencia de edificación por modalidades del TUPA 2025, partes 03 y 05. Los requisitos varían por procedimiento y características de obra.</x:v>
      </x:c>
      <x:c r="R7" s="13" t="str">
        <x:f t="shared" si="0"/>
      </x:c>
      <x:c r="S7" s="11" t="str">
        <x:v>Sí</x:v>
      </x:c>
      <x:c r="T7" s="14" t="s">
        <x:v>42</x:v>
      </x:c>
    </x:row>
    <x:row r="8" ht="91.5" customHeight="1">
      <x:c r="A8" s="5">
        <x:v>5</x:v>
      </x:c>
      <x:c r="B8" s="6" t="s">
        <x:v>43</x:v>
      </x:c>
      <x:c r="C8" s="7" t="s">
        <x:v>23</x:v>
      </x:c>
      <x:c r="D8" s="8" t="s">
        <x:v>24</x:v>
      </x:c>
      <x:c r="E8" s="7" t="s">
        <x:v>25</x:v>
      </x:c>
      <x:c r="F8" s="8" t="s">
        <x:v>26</x:v>
      </x:c>
      <x:c r="G8" s="9" t="s">
        <x:v>44</x:v>
      </x:c>
      <x:c r="H8" s="9" t="s">
        <x:v>45</x:v>
      </x:c>
      <x:c r="I8" s="10" t="inlineStr">
        <x:is>
          <x:t xml:space="preserve">Licencia de edificación (modalidades A, B, C y D)</x:t>
        </x:is>
      </x:c>
      <x:c r="J8" s="10"/>
      <x:c r="K8" s="10" t="inlineStr">
        <x:is>
          <x:t xml:space="preserve">Hay modalidades A, B, C y D; requisitos y derechos distintos según tipo, uso, área y características de la obra.</x:t>
        </x:is>
      </x:c>
      <x:c r="L8" s="10"/>
      <x:c r="M8" s="10"/>
      <x:c r="N8" s="11" t="inlineStr">
        <x:is>
          <x:t xml:space="preserve">Corregir</x:t>
        </x:is>
      </x:c>
      <x:c r="O8" s="10" t="str">
        <x:v>El derecho de trámite de una licencia de edificación depende del procedimiento y la modalidad aplicable a la obra. Dime qué proyecto vas a realizar para identificar la ficha y su monto en el TUPA.</x:v>
      </x:c>
      <x:c r="P8" s="12">
        <x:v>46302</x:v>
      </x:c>
      <x:c r="Q8" s="10" t="str">
        <x:v>Verificado el 07/10/2026 contra las fichas de licencia de edificación por modalidades del TUPA 2025, partes 03 y 05. No hay un monto único aplicable a todos los proyectos.</x:v>
      </x:c>
      <x:c r="R8" s="13" t="str">
        <x:f t="shared" si="0"/>
      </x:c>
      <x:c r="S8" s="11" t="str">
        <x:v>Sí</x:v>
      </x:c>
      <x:c r="T8" s="14" t="s">
        <x:v>46</x:v>
      </x:c>
    </x:row>
    <x:row r="9" ht="91.5" customHeight="1">
      <x:c r="A9" s="5">
        <x:v>6</x:v>
      </x:c>
      <x:c r="B9" s="6" t="s">
        <x:v>47</x:v>
      </x:c>
      <x:c r="C9" s="7" t="s">
        <x:v>23</x:v>
      </x:c>
      <x:c r="D9" s="8" t="s">
        <x:v>24</x:v>
      </x:c>
      <x:c r="E9" s="7" t="s">
        <x:v>25</x:v>
      </x:c>
      <x:c r="F9" s="8" t="s">
        <x:v>26</x:v>
      </x:c>
      <x:c r="G9" s="9" t="s">
        <x:v>48</x:v>
      </x:c>
      <x:c r="H9" s="9" t="s">
        <x:v>49</x:v>
      </x:c>
      <x:c r="I9" s="10" t="inlineStr">
        <x:is>
          <x:t xml:space="preserve">No figura ficha de renovación de licencia de funcionamiento</x:t>
        </x:is>
      </x:c>
      <x:c r="J9" s="10"/>
      <x:c r="K9" s="10"/>
      <x:c r="L9" s="10" t="str">
        <x:v>Licencia de funcionamiento: vigencia indeterminada. Certificado ITSE: se renueva cada 2 años.</x:v>
      </x:c>
      <x:c r="M9" s="10"/>
      <x:c r="N9" s="11" t="inlineStr">
        <x:is>
          <x:t xml:space="preserve">Corregir</x:t>
        </x:is>
      </x:c>
      <x:c r="O9" s="10" t="str">
        <x:v>La licencia de funcionamiento tiene vigencia indeterminada y no requiere renovación. El certificado ITSE sí debe renovarse cada 2 años.</x:v>
      </x:c>
      <x:c r="P9" s="12">
        <x:v>46302</x:v>
      </x:c>
      <x:c r="Q9" s="10" t="str">
        <x:v>Verificado el 07/10/2026 contra las fichas de licencia de funcionamiento del TUPA 2025, parte 01: licencia de vigencia indeterminada; certificado ITSE renovable cada 2 años.</x:v>
      </x:c>
      <x:c r="R9" s="13" t="str">
        <x:f t="shared" si="0"/>
      </x:c>
      <x:c r="S9" s="11" t="str">
        <x:v>Sí</x:v>
      </x:c>
      <x:c r="T9" s="14" t="s">
        <x:v>50</x:v>
      </x:c>
    </x:row>
    <x:row r="10" ht="91.5" customHeight="1">
      <x:c r="A10" s="5">
        <x:v>7</x:v>
      </x:c>
      <x:c r="B10" s="6" t="s">
        <x:v>51</x:v>
      </x:c>
      <x:c r="C10" s="7" t="s">
        <x:v>52</x:v>
      </x:c>
      <x:c r="D10" s="8" t="s">
        <x:v>53</x:v>
      </x:c>
      <x:c r="E10" s="7" t="s">
        <x:v>54</x:v>
      </x:c>
      <x:c r="F10" s="8" t="s">
        <x:v>26</x:v>
      </x:c>
      <x:c r="G10" s="9" t="s">
        <x:v>55</x:v>
      </x:c>
      <x:c r="H10" s="9" t="s">
        <x:v>56</x:v>
      </x:c>
      <x:c r="I10" s="10"/>
      <x:c r="J10" s="10"/>
      <x:c r="K10" s="10"/>
      <x:c r="L10" s="10"/>
      <x:c r="M10" s="10"/>
      <x:c r="N10" s="11" t="s">
        <x:v>57</x:v>
      </x:c>
      <x:c r="O10" s="10"/>
      <x:c r="P10" s="12"/>
      <x:c r="Q10" s="10"/>
      <x:c r="R10" s="13" t="str">
        <x:f t="shared" si="0"/>
      </x:c>
      <x:c r="S10" s="11"/>
      <x:c r="T10" s="14" t="s">
        <x:v>58</x:v>
      </x:c>
    </x:row>
    <x:row r="11" ht="91.5" customHeight="1">
      <x:c r="A11" s="5">
        <x:v>8</x:v>
      </x:c>
      <x:c r="B11" s="6" t="s">
        <x:v>59</x:v>
      </x:c>
      <x:c r="C11" s="7" t="s">
        <x:v>52</x:v>
      </x:c>
      <x:c r="D11" s="8" t="s">
        <x:v>24</x:v>
      </x:c>
      <x:c r="E11" s="7" t="s">
        <x:v>60</x:v>
      </x:c>
      <x:c r="F11" s="8" t="s">
        <x:v>26</x:v>
      </x:c>
      <x:c r="G11" s="9" t="s">
        <x:v>61</x:v>
      </x:c>
      <x:c r="H11" s="9" t="s">
        <x:v>62</x:v>
      </x:c>
      <x:c r="I11" s="10" t="inlineStr">
        <x:is>
          <x:t xml:space="preserve">No figura ficha de pago de predial</x:t>
        </x:is>
      </x:c>
      <x:c r="J11" s="10"/>
      <x:c r="K11" s="10"/>
      <x:c r="L11" s="10"/>
      <x:c r="M11" s="10"/>
      <x:c r="N11" s="11" t="inlineStr">
        <x:is>
          <x:t xml:space="preserve">No figura en la fuente</x:t>
        </x:is>
      </x:c>
      <x:c r="O11" s="10" t="inlineStr">
        <x:is>
          <x:t xml:space="preserve">El TUPA no detalla los canales ni las fechas de pago del impuesto predial. Consulta en la oficina de Rentas de la municipalidad.</x:t>
        </x:is>
      </x:c>
      <x:c r="P11" s="12">
        <x:v>46302</x:v>
      </x:c>
      <x:c r="Q11" s="10" t="str">
        <x:v>El TUPA 2025 fue consultado; no incluye una ficha con canales ni fechas generales para el pago del impuesto predial. Falta contrastar la ordenanza tributaria y el cronograma de la MPSR. Se deja sin confirmar hasta completar esa verificación.</x:v>
      </x:c>
      <x:c r="R11" s="13" t="str">
        <x:f t="shared" si="0"/>
      </x:c>
      <x:c r="S11" s="11"/>
      <x:c r="T11" s="14" t="s">
        <x:v>63</x:v>
      </x:c>
    </x:row>
    <x:row r="12" ht="91.5" customHeight="1">
      <x:c r="A12" s="5">
        <x:v>9</x:v>
      </x:c>
      <x:c r="B12" s="6" t="s">
        <x:v>64</x:v>
      </x:c>
      <x:c r="C12" s="7" t="s">
        <x:v>52</x:v>
      </x:c>
      <x:c r="D12" s="8" t="s">
        <x:v>24</x:v>
      </x:c>
      <x:c r="E12" s="7" t="s">
        <x:v>60</x:v>
      </x:c>
      <x:c r="F12" s="8" t="s">
        <x:v>26</x:v>
      </x:c>
      <x:c r="G12" s="9" t="s">
        <x:v>65</x:v>
      </x:c>
      <x:c r="H12" s="9" t="s">
        <x:v>66</x:v>
      </x:c>
      <x:c r="I12" s="10" t="inlineStr">
        <x:is>
          <x:t xml:space="preserve">No figura ficha de pago de arbitrios</x:t>
        </x:is>
      </x:c>
      <x:c r="J12" s="10"/>
      <x:c r="K12" s="10"/>
      <x:c r="L12" s="10"/>
      <x:c r="M12" s="10"/>
      <x:c r="N12" s="11" t="inlineStr">
        <x:is>
          <x:t xml:space="preserve">No figura en la fuente</x:t>
        </x:is>
      </x:c>
      <x:c r="O12" s="10" t="inlineStr">
        <x:is>
          <x:t xml:space="preserve">El TUPA no detalla los canales ni las fechas de pago de los arbitrios. Consulta en la oficina de Rentas de la municipalidad.</x:t>
        </x:is>
      </x:c>
      <x:c r="P12" s="12">
        <x:v>46302</x:v>
      </x:c>
      <x:c r="Q12" s="10" t="str">
        <x:v>El TUPA 2025 fue consultado; no incluye una ficha con canales ni fechas generales para el pago de arbitrios. Falta contrastar la ordenanza de arbitrios vigente y su cronograma con la MPSR. Se deja sin confirmar hasta completar esa verificación.</x:v>
      </x:c>
      <x:c r="R12" s="13" t="str">
        <x:f t="shared" si="0"/>
      </x:c>
      <x:c r="S12" s="11"/>
      <x:c r="T12" s="14" t="s">
        <x:v>67</x:v>
      </x:c>
    </x:row>
    <x:row r="13" ht="91.5" customHeight="1">
      <x:c r="A13" s="5">
        <x:v>10</x:v>
      </x:c>
      <x:c r="B13" s="6" t="s">
        <x:v>68</x:v>
      </x:c>
      <x:c r="C13" s="7" t="s">
        <x:v>52</x:v>
      </x:c>
      <x:c r="D13" s="8" t="s">
        <x:v>24</x:v>
      </x:c>
      <x:c r="E13" s="7" t="s">
        <x:v>60</x:v>
      </x:c>
      <x:c r="F13" s="8" t="s">
        <x:v>26</x:v>
      </x:c>
      <x:c r="G13" s="9" t="s">
        <x:v>69</x:v>
      </x:c>
      <x:c r="H13" s="9" t="s">
        <x:v>70</x:v>
      </x:c>
      <x:c r="I13" s="10" t="inlineStr">
        <x:is>
          <x:t xml:space="preserve">No figura ficha específica de pago de alcabala</x:t>
        </x:is>
      </x:c>
      <x:c r="J13" s="10"/>
      <x:c r="K13" s="10"/>
      <x:c r="L13" s="10"/>
      <x:c r="M13" s="10"/>
      <x:c r="N13" s="11" t="inlineStr">
        <x:is>
          <x:t xml:space="preserve">No figura en la fuente</x:t>
        </x:is>
      </x:c>
      <x:c r="O13" s="10"/>
      <x:c r="P13" s="12">
        <x:v>46302</x:v>
      </x:c>
      <x:c r="Q13" s="10" t="inlineStr">
        <x:is>
          <x:t xml:space="preserve">Verificación 7/10/2026: el texto del TUPA 2025 no pudo abrirse (gob.pe devuelve error 418); no se verificó contra el TUPA. Sin dato oficial que cambie la respuesta actual; pendiente de contraste con el TUPA.
Revisión del tesista en navegador (7/10/2026), cargada por él a Claude; Claude no pudo abrir los PDF (403) para contrastar de forma independiente. Propuesta, sin confirmar. </x:t>
        </x:is>
      </x:c>
      <x:c r="R13" s="13" t="str">
        <x:f t="shared" si="0"/>
      </x:c>
      <x:c r="S13" s="11"/>
      <x:c r="T13" s="14" t="s">
        <x:v>71</x:v>
      </x:c>
    </x:row>
    <x:row r="14" ht="91.5" customHeight="1">
      <x:c r="A14" s="5">
        <x:v>11</x:v>
      </x:c>
      <x:c r="B14" s="6" t="s">
        <x:v>72</x:v>
      </x:c>
      <x:c r="C14" s="7" t="s">
        <x:v>52</x:v>
      </x:c>
      <x:c r="D14" s="8" t="s">
        <x:v>24</x:v>
      </x:c>
      <x:c r="E14" s="7" t="s">
        <x:v>54</x:v>
      </x:c>
      <x:c r="F14" s="8" t="s">
        <x:v>26</x:v>
      </x:c>
      <x:c r="G14" s="9" t="s">
        <x:v>73</x:v>
      </x:c>
      <x:c r="H14" s="9" t="s">
        <x:v>74</x:v>
      </x:c>
      <x:c r="I14" s="10" t="inlineStr">
        <x:is>
          <x:t xml:space="preserve">Fraccionamiento de deuda tributaria (PA18930085)</x:t>
        </x:is>
      </x:c>
      <x:c r="J14" s="10" t="inlineStr">
        <x:is>
          <x:t xml:space="preserve">Solicitud indicando la deuda; poder si actúa un representante; declaración jurada de compromiso de pago legalizada</x:t>
        </x:is>
      </x:c>
      <x:c r="K14" s="10" t="inlineStr">
        <x:is>
          <x:t xml:space="preserve">Gratuito</x:t>
        </x:is>
      </x:c>
      <x:c r="L14" s="10"/>
      <x:c r="M14" s="10" t="inlineStr">
        <x:is>
          <x:t xml:space="preserve">Aprobación automática</x:t>
        </x:is>
      </x:c>
      <x:c r="N14" s="11" t="inlineStr">
        <x:is>
          <x:t xml:space="preserve">Corregir</x:t>
        </x:is>
      </x:c>
      <x:c r="O14" s="10" t="str">
        <x:v>El fraccionamiento de deuda tributaria es gratuito y de aprobación automática si presentas la documentación completa. Se requiere una solicitud que indique la deuda; si actúa un representante, un poder específico; y una declaración jurada de compromiso de pago con firma legalizada ante notario.</x:v>
      </x:c>
      <x:c r="P14" s="12">
        <x:v>46302</x:v>
      </x:c>
      <x:c r="Q14" s="10" t="str">
        <x:v>Verificado el 07/10/2026 con el procedimiento PA18930085 del TUPA 2025, parte 01, p. 24.</x:v>
      </x:c>
      <x:c r="R14" s="13" t="str">
        <x:f t="shared" si="0"/>
      </x:c>
      <x:c r="S14" s="11" t="str">
        <x:v>Sí</x:v>
      </x:c>
      <x:c r="T14" s="14" t="s">
        <x:v>75</x:v>
      </x:c>
    </x:row>
    <x:row r="15" ht="91.5" customHeight="1">
      <x:c r="A15" s="5">
        <x:v>12</x:v>
      </x:c>
      <x:c r="B15" s="6" t="s">
        <x:v>76</x:v>
      </x:c>
      <x:c r="C15" s="7" t="s">
        <x:v>52</x:v>
      </x:c>
      <x:c r="D15" s="8" t="s">
        <x:v>24</x:v>
      </x:c>
      <x:c r="E15" s="7" t="s">
        <x:v>25</x:v>
      </x:c>
      <x:c r="F15" s="8" t="s">
        <x:v>26</x:v>
      </x:c>
      <x:c r="G15" s="9" t="s">
        <x:v>77</x:v>
      </x:c>
      <x:c r="H15" s="9" t="s">
        <x:v>78</x:v>
      </x:c>
      <x:c r="I15" s="10" t="inlineStr">
        <x:is>
          <x:t xml:space="preserve">Constancia de no adeudo (servicio exclusivo SE18932422)</x:t>
        </x:is>
      </x:c>
      <x:c r="J15" s="10" t="str">
        <x:v>Solicitud firmada por el titular de la propiedad o su representante legal, indicando el número de pago.</x:v>
      </x:c>
      <x:c r="K15" s="10" t="inlineStr">
        <x:is>
          <x:t xml:space="preserve">S/ 18,40</x:t>
        </x:is>
      </x:c>
      <x:c r="L15" s="10" t="inlineStr">
        <x:is>
          <x:t xml:space="preserve">Máximo 5 días hábiles</x:t>
        </x:is>
      </x:c>
      <x:c r="M15" s="10"/>
      <x:c r="N15" s="11" t="inlineStr">
        <x:is>
          <x:t xml:space="preserve">Corregir</x:t>
        </x:is>
      </x:c>
      <x:c r="O15" s="10" t="str">
        <x:v>La constancia de no adeudo es un servicio exclusivo. Presenta una solicitud firmada por el titular de la propiedad o su representante legal e indica el número de pago. Cuesta S/ 18,40 y el plazo máximo es de 5 días hábiles.</x:v>
      </x:c>
      <x:c r="P15" s="12">
        <x:v>46302</x:v>
      </x:c>
      <x:c r="Q15" s="10" t="str">
        <x:v>Verificado el 07/10/2026 con el servicio exclusivo SE18932422 del TUPA 2025, parte 05.</x:v>
      </x:c>
      <x:c r="R15" s="13" t="str">
        <x:f t="shared" si="0"/>
      </x:c>
      <x:c r="S15" s="11" t="str">
        <x:v>Sí</x:v>
      </x:c>
      <x:c r="T15" s="14" t="s">
        <x:v>79</x:v>
      </x:c>
    </x:row>
    <x:row r="16" ht="91.5" customHeight="1">
      <x:c r="A16" s="5">
        <x:v>13</x:v>
      </x:c>
      <x:c r="B16" s="6" t="s">
        <x:v>80</x:v>
      </x:c>
      <x:c r="C16" s="7" t="s">
        <x:v>81</x:v>
      </x:c>
      <x:c r="D16" s="8" t="s">
        <x:v>24</x:v>
      </x:c>
      <x:c r="E16" s="7" t="s">
        <x:v>54</x:v>
      </x:c>
      <x:c r="F16" s="8" t="s">
        <x:v>26</x:v>
      </x:c>
      <x:c r="G16" s="9" t="s">
        <x:v>82</x:v>
      </x:c>
      <x:c r="H16" s="9" t="s">
        <x:v>83</x:v>
      </x:c>
      <x:c r="I16" s="10" t="inlineStr">
        <x:is>
          <x:t xml:space="preserve">No hay ficha general de requisitos de mesa de partes</x:t>
        </x:is>
      </x:c>
      <x:c r="J16" s="10" t="inlineStr">
        <x:is>
          <x:t xml:space="preserve">Dependen del trámite al que se dirige el documento</x:t>
        </x:is>
      </x:c>
      <x:c r="K16" s="10"/>
      <x:c r="L16" s="10"/>
      <x:c r="M16" s="10" t="inlineStr">
        <x:is>
          <x:t xml:space="preserve">Mesa de partes en Jr. Jáuregui 321 (web oficial); existe Mesa de Partes Virtual. TramiFácil: no ofrecer como canal ciudadano sin confirmar</x:t>
        </x:is>
      </x:c>
      <x:c r="N16" s="11" t="inlineStr">
        <x:is>
          <x:t xml:space="preserve">Corregir</x:t>
        </x:is>
      </x:c>
      <x:c r="O16" s="10" t="str">
        <x:v>Los requisitos para presentar un documento dependen del procedimiento al que va dirigido. El TUPA no establece una lista única para todos los escritos. Dime qué trámite necesitas y reviso su ficha.</x:v>
      </x:c>
      <x:c r="P16" s="12">
        <x:v>46302</x:v>
      </x:c>
      <x:c r="Q16" s="10" t="str">
        <x:v>Verificado el 07/10/2026: el TUPA contiene fichas y requisitos por procedimiento, no una lista única para todo documento presentado en Mesa de Partes.</x:v>
      </x:c>
      <x:c r="R16" s="13" t="str">
        <x:f t="shared" si="0"/>
      </x:c>
      <x:c r="S16" s="11" t="str">
        <x:v>Sí</x:v>
      </x:c>
      <x:c r="T16" s="14" t="s">
        <x:v>84</x:v>
      </x:c>
    </x:row>
    <x:row r="17" ht="91.5" customHeight="1">
      <x:c r="A17" s="5">
        <x:v>14</x:v>
      </x:c>
      <x:c r="B17" s="6" t="s">
        <x:v>85</x:v>
      </x:c>
      <x:c r="C17" s="7" t="s">
        <x:v>81</x:v>
      </x:c>
      <x:c r="D17" s="8" t="s">
        <x:v>53</x:v>
      </x:c>
      <x:c r="E17" s="7" t="s">
        <x:v>86</x:v>
      </x:c>
      <x:c r="F17" s="8" t="s">
        <x:v>26</x:v>
      </x:c>
      <x:c r="G17" s="9" t="s">
        <x:v>87</x:v>
      </x:c>
      <x:c r="H17" s="9" t="s">
        <x:v>88</x:v>
      </x:c>
      <x:c r="I17" s="10" t="s">
        <x:v>89</x:v>
      </x:c>
      <x:c r="J17" s="10"/>
      <x:c r="K17" s="10"/>
      <x:c r="L17" s="10"/>
      <x:c r="M17" s="10" t="s">
        <x:v>90</x:v>
      </x:c>
      <x:c r="N17" s="11" t="s">
        <x:v>91</x:v>
      </x:c>
      <x:c r="O17" s="10" t="str">
        <x:v>El portal oficial de la MPSR en gob.pe tiene un enlace directo llamado «Seguimiento de trámites». Lo encuentras en la sección de enlaces directos de la municipalidad.</x:v>
      </x:c>
      <x:c r="P17" s="12">
        <x:v>46300</x:v>
      </x:c>
      <x:c r="Q17" s="10" t="str">
        <x:v>Verificado el 07/10/2026 en los enlaces directos de la página oficial de la MPSR en gob.pe: aparece «Seguimiento de trámites».</x:v>
      </x:c>
      <x:c r="R17" s="13" t="str">
        <x:f t="shared" si="0"/>
      </x:c>
      <x:c r="S17" s="11" t="str">
        <x:v>Sí</x:v>
      </x:c>
      <x:c r="T17" s="14"/>
    </x:row>
    <x:row r="18" ht="91.5" customHeight="1">
      <x:c r="A18" s="5">
        <x:v>15</x:v>
      </x:c>
      <x:c r="B18" s="6" t="s">
        <x:v>92</x:v>
      </x:c>
      <x:c r="C18" s="7" t="s">
        <x:v>81</x:v>
      </x:c>
      <x:c r="D18" s="8" t="s">
        <x:v>53</x:v>
      </x:c>
      <x:c r="E18" s="7" t="s">
        <x:v>86</x:v>
      </x:c>
      <x:c r="F18" s="8" t="s">
        <x:v>26</x:v>
      </x:c>
      <x:c r="G18" s="9" t="s">
        <x:v>93</x:v>
      </x:c>
      <x:c r="H18" s="9" t="s">
        <x:v>94</x:v>
      </x:c>
      <x:c r="I18" s="10" t="s">
        <x:v>95</x:v>
      </x:c>
      <x:c r="J18" s="10"/>
      <x:c r="K18" s="10"/>
      <x:c r="L18" s="10"/>
      <x:c r="M18" s="10" t="s">
        <x:v>96</x:v>
      </x:c>
      <x:c r="N18" s="11" t="s">
        <x:v>91</x:v>
      </x:c>
      <x:c r="O18" s="10" t="inlineStr">
        <x:is>
          <x:t xml:space="preserve">La sede central atiende de lunes a viernes, de 8:00 a. m. a 1:00 p. m. y de 2:00 p. m. a 4:00 p. m. Confirma con la municipalidad si la Mesa de Partes Virtual tiene un horario distinto.</x:t>
        </x:is>
      </x:c>
      <x:c r="P18" s="12">
        <x:v>46300</x:v>
      </x:c>
      <x:c r="Q18" s="10" t="inlineStr">
        <x:is>
          <x:t xml:space="preserve">Verificado el 07/10/2026 en el horario de atención consignado para la sede central en el TUPA 2025. Se añadió una salvedad para el horario de la Mesa de Partes Virtual. Corrección 07/10/2026: el horario se ajusta a la web oficial de la MPSR (8:00 a 13:00 y 14:00 a 16:00), con pausa al mediodía; el TUPA lo consigna de corrido de 8:00 a 16:00.</x:t>
        </x:is>
      </x:c>
      <x:c r="R18" s="13" t="str">
        <x:f t="shared" si="0"/>
      </x:c>
      <x:c r="S18" s="11" t="str">
        <x:v>Sí</x:v>
      </x:c>
      <x:c r="T18" s="14"/>
    </x:row>
    <x:row r="19" ht="91.5" customHeight="1">
      <x:c r="A19" s="5">
        <x:v>16</x:v>
      </x:c>
      <x:c r="B19" s="6" t="s">
        <x:v>97</x:v>
      </x:c>
      <x:c r="C19" s="7" t="s">
        <x:v>81</x:v>
      </x:c>
      <x:c r="D19" s="8" t="s">
        <x:v>24</x:v>
      </x:c>
      <x:c r="E19" s="7" t="s">
        <x:v>25</x:v>
      </x:c>
      <x:c r="F19" s="8" t="s">
        <x:v>26</x:v>
      </x:c>
      <x:c r="G19" s="9" t="s">
        <x:v>98</x:v>
      </x:c>
      <x:c r="H19" s="9" t="s">
        <x:v>99</x:v>
      </x:c>
      <x:c r="I19" s="10" t="inlineStr">
        <x:is>
          <x:t xml:space="preserve">Expedición de copia certificada (SE18939955)</x:t>
        </x:is>
      </x:c>
      <x:c r="J19" s="10" t="inlineStr">
        <x:is>
          <x:t xml:space="preserve">Solicitud y número/fecha del comprobante de pago</x:t>
        </x:is>
      </x:c>
      <x:c r="K19" s="10" t="inlineStr">
        <x:is>
          <x:t xml:space="preserve">Varía por tamaño de hoja</x:t>
        </x:is>
      </x:c>
      <x:c r="L19" s="10" t="inlineStr">
        <x:is>
          <x:t xml:space="preserve">15 días hábiles</x:t>
        </x:is>
      </x:c>
      <x:c r="M19" s="10"/>
      <x:c r="N19" s="11" t="inlineStr">
        <x:is>
          <x:t xml:space="preserve">Corregir</x:t>
        </x:is>
      </x:c>
      <x:c r="O19" s="10" t="str">
        <x:v>El servicio permite obtener copias certificadas de documentos que están en expedientes o archivos municipales. Presenta una solicitud con la información del documento e indica el número y la fecha del comprobante de pago. El costo varía por tamaño de hoja y el plazo es de hasta 15 días hábiles.</x:v>
      </x:c>
      <x:c r="P19" s="12">
        <x:v>46302</x:v>
      </x:c>
      <x:c r="Q19" s="10" t="str">
        <x:v>Verificado el 07/10/2026 con el servicio SE18939955 del TUPA 2025, parte 05: documentos en expedientes/archivos, solicitud, datos del comprobante de pago, tarifa por tamaño y plazo de 15 días hábiles.</x:v>
      </x:c>
      <x:c r="R19" s="13" t="str">
        <x:f t="shared" si="0"/>
      </x:c>
      <x:c r="S19" s="11" t="str">
        <x:v>Sí</x:v>
      </x:c>
      <x:c r="T19" s="14" t="s">
        <x:v>100</x:v>
      </x:c>
    </x:row>
    <x:row r="20" ht="91.5" customHeight="1">
      <x:c r="A20" s="5">
        <x:v>17</x:v>
      </x:c>
      <x:c r="B20" s="6" t="s">
        <x:v>101</x:v>
      </x:c>
      <x:c r="C20" s="7" t="s">
        <x:v>81</x:v>
      </x:c>
      <x:c r="D20" s="8" t="s">
        <x:v>24</x:v>
      </x:c>
      <x:c r="E20" s="7" t="s">
        <x:v>25</x:v>
      </x:c>
      <x:c r="F20" s="8" t="s">
        <x:v>26</x:v>
      </x:c>
      <x:c r="G20" s="9" t="s">
        <x:v>102</x:v>
      </x:c>
      <x:c r="H20" s="9" t="s">
        <x:v>103</x:v>
      </x:c>
      <x:c r="I20" s="10" t="inlineStr">
        <x:is>
          <x:t xml:space="preserve">Constancia de posesión para servicios básicos (PA18930477)</x:t>
        </x:is>
      </x:c>
      <x:c r="J20" s="10" t="inlineStr">
        <x:is>
          <x:t xml:space="preserve">Planos, declaración jurada notarial, documento de propiedad y verificación del predio</x:t>
        </x:is>
      </x:c>
      <x:c r="K20" s="10" t="inlineStr">
        <x:is>
          <x:t xml:space="preserve">S/ 85,80</x:t>
        </x:is>
      </x:c>
      <x:c r="L20" s="10" t="inlineStr">
        <x:is>
          <x:t xml:space="preserve">10 días hábiles</x:t>
        </x:is>
      </x:c>
      <x:c r="M20" s="10"/>
      <x:c r="N20" s="11" t="inlineStr">
        <x:is>
          <x:t xml:space="preserve">Corregir</x:t>
        </x:is>
      </x:c>
      <x:c r="O20" s="10" t="str">
        <x:v>La constancia de posesión se emite para acceder a agua, desagüe y electricidad. El TUPA pide solicitud, planos de ubicación/perimétrico/localización que cubran un radio de 550 metros, declaración jurada notarial de posesión, documento de propiedad, verificación del predio y visto bueno de la empresa prestadora. Cuesta S/ 85,80 y el plazo es de 10 días hábiles.</x:v>
      </x:c>
      <x:c r="P20" s="12">
        <x:v>46302</x:v>
      </x:c>
      <x:c r="Q20" s="10" t="str">
        <x:v>Verificado el 07/10/2026 con el procedimiento PA18930477 del TUPA 2025, parte 03, p. 277.</x:v>
      </x:c>
      <x:c r="R20" s="13" t="str">
        <x:f t="shared" si="0"/>
      </x:c>
      <x:c r="S20" s="11" t="str">
        <x:v>Sí</x:v>
      </x:c>
      <x:c r="T20" s="14" t="s">
        <x:v>104</x:v>
      </x:c>
    </x:row>
    <x:row r="21" ht="91.5" customHeight="1">
      <x:c r="A21" s="5">
        <x:v>18</x:v>
      </x:c>
      <x:c r="B21" s="6" t="s">
        <x:v>105</x:v>
      </x:c>
      <x:c r="C21" s="7" t="s">
        <x:v>81</x:v>
      </x:c>
      <x:c r="D21" s="8" t="s">
        <x:v>24</x:v>
      </x:c>
      <x:c r="E21" s="7" t="s">
        <x:v>25</x:v>
      </x:c>
      <x:c r="F21" s="8" t="s">
        <x:v>26</x:v>
      </x:c>
      <x:c r="G21" s="9" t="s">
        <x:v>106</x:v>
      </x:c>
      <x:c r="H21" s="9" t="s">
        <x:v>107</x:v>
      </x:c>
      <x:c r="I21" s="10" t="inlineStr">
        <x:is>
          <x:t xml:space="preserve">Certificados y Constancias (SE189389FC); no nombra constancia domiciliaria</x:t>
        </x:is>
      </x:c>
      <x:c r="J21" s="10"/>
      <x:c r="K21" s="10" t="inlineStr">
        <x:is>
          <x:t xml:space="preserve">S/ 34,20 (ficha general)</x:t>
        </x:is>
      </x:c>
      <x:c r="L21" s="10" t="inlineStr">
        <x:is>
          <x:t xml:space="preserve">2 días hábiles (ficha general)</x:t>
        </x:is>
      </x:c>
      <x:c r="M21" s="10"/>
      <x:c r="N21" s="11" t="inlineStr">
        <x:is>
          <x:t xml:space="preserve">No figura en la fuente</x:t>
        </x:is>
      </x:c>
      <x:c r="O21" s="10" t="inlineStr">
        <x:is>
          <x:t xml:space="preserve">El TUPA no menciona expresamente una constancia domiciliaria. Consulta en Registro Civil si la emiten y con qué requisitos.</x:t>
        </x:is>
      </x:c>
      <x:c r="P21" s="12">
        <x:v>46302</x:v>
      </x:c>
      <x:c r="Q21" s="10" t="str">
        <x:v>El TUPA 2025 incluye el servicio general «Certificados y Constancias» (SE189389FC), pero no nombra expresamente una constancia domiciliaria. Falta confirmarlo con Registro Civil; se deja sin confirmar.</x:v>
      </x:c>
      <x:c r="R21" s="13" t="str">
        <x:f t="shared" si="0"/>
      </x:c>
      <x:c r="S21" s="11"/>
      <x:c r="T21" s="14" t="s">
        <x:v>108</x:v>
      </x:c>
    </x:row>
    <x:row r="22" ht="91.5" customHeight="1">
      <x:c r="A22" s="5">
        <x:v>19</x:v>
      </x:c>
      <x:c r="B22" s="6" t="s">
        <x:v>109</x:v>
      </x:c>
      <x:c r="C22" s="7" t="s">
        <x:v>110</x:v>
      </x:c>
      <x:c r="D22" s="8" t="s">
        <x:v>24</x:v>
      </x:c>
      <x:c r="E22" s="7" t="s">
        <x:v>25</x:v>
      </x:c>
      <x:c r="F22" s="8" t="s">
        <x:v>26</x:v>
      </x:c>
      <x:c r="G22" s="9" t="s">
        <x:v>111</x:v>
      </x:c>
      <x:c r="H22" s="9" t="s">
        <x:v>112</x:v>
      </x:c>
      <x:c r="I22" s="10" t="inlineStr">
        <x:is>
          <x:t xml:space="preserve">ITSE (Inspección Técnica de Seguridad en Edificaciones), fichas por riesgo bajo, medio, alto y muy alto</x:t>
        </x:is>
      </x:c>
      <x:c r="J22" s="10" t="inlineStr">
        <x:is>
          <x:t xml:space="preserve">Bajo/medio: solicitud y declaración jurada de seguridad. Alto/muy alto: además documentos técnicos</x:t>
        </x:is>
      </x:c>
      <x:c r="K22" s="10" t="inlineStr">
        <x:is>
          <x:t xml:space="preserve">Varía por riesgo</x:t>
        </x:is>
      </x:c>
      <x:c r="L22" s="10" t="inlineStr">
        <x:is>
          <x:t xml:space="preserve">Varía por riesgo</x:t>
        </x:is>
      </x:c>
      <x:c r="M22" s="10" t="inlineStr">
        <x:is>
          <x:t xml:space="preserve">Certificado ITSE vigente 2 años</x:t>
        </x:is>
      </x:c>
      <x:c r="N22" s="11" t="inlineStr">
        <x:is>
          <x:t xml:space="preserve">Corregir</x:t>
        </x:is>
      </x:c>
      <x:c r="O22" s="10" t="str">
        <x:v>En el TUPA el trámite se denomina ITSE (Inspección Técnica de Seguridad en Edificaciones). El certificado tiene vigencia de 2 años; el procedimiento, los requisitos, el costo y el plazo dependen del nivel de riesgo del establecimiento.</x:v>
      </x:c>
      <x:c r="P22" s="12">
        <x:v>46302</x:v>
      </x:c>
      <x:c r="Q22" s="10" t="str">
        <x:v>Verificado el 07/10/2026 con las fichas ITSE del TUPA 2025, parte 02: el certificado tiene vigencia de 2 años.</x:v>
      </x:c>
      <x:c r="R22" s="13" t="str">
        <x:f t="shared" si="0"/>
      </x:c>
      <x:c r="S22" s="11" t="str">
        <x:v>Sí</x:v>
      </x:c>
      <x:c r="T22" s="14" t="s">
        <x:v>113</x:v>
      </x:c>
    </x:row>
    <x:row r="23" ht="91.5" customHeight="1">
      <x:c r="A23" s="5">
        <x:v>20</x:v>
      </x:c>
      <x:c r="B23" s="6" t="s">
        <x:v>114</x:v>
      </x:c>
      <x:c r="C23" s="7" t="s">
        <x:v>110</x:v>
      </x:c>
      <x:c r="D23" s="8" t="s">
        <x:v>24</x:v>
      </x:c>
      <x:c r="E23" s="7" t="s">
        <x:v>25</x:v>
      </x:c>
      <x:c r="F23" s="8" t="s">
        <x:v>26</x:v>
      </x:c>
      <x:c r="G23" s="9" t="s">
        <x:v>115</x:v>
      </x:c>
      <x:c r="H23" s="9" t="s">
        <x:v>116</x:v>
      </x:c>
      <x:c r="I23" s="10" t="inlineStr">
        <x:is>
          <x:t xml:space="preserve">ITSE (Inspección Técnica de Seguridad en Edificaciones), fichas por riesgo bajo, medio, alto y muy alto</x:t>
        </x:is>
      </x:c>
      <x:c r="J23" s="10" t="inlineStr">
        <x:is>
          <x:t xml:space="preserve">Bajo/medio: solicitud y declaración jurada de seguridad. Alto/muy alto: además documentos técnicos</x:t>
        </x:is>
      </x:c>
      <x:c r="K23" s="10" t="inlineStr">
        <x:is>
          <x:t xml:space="preserve">Varía por riesgo</x:t>
        </x:is>
      </x:c>
      <x:c r="L23" s="10" t="inlineStr">
        <x:is>
          <x:t xml:space="preserve">Varía por riesgo</x:t>
        </x:is>
      </x:c>
      <x:c r="M23" s="10" t="s">
        <x:v>117</x:v>
      </x:c>
      <x:c r="N23" s="11" t="inlineStr">
        <x:is>
          <x:t xml:space="preserve">Corregir</x:t>
        </x:is>
      </x:c>
      <x:c r="O23" s="10" t="str">
        <x:v>La ITSE se solicita con el formato correspondiente y los documentos exigidos para el nivel de riesgo del establecimiento. Para riesgo bajo o medio es posterior al inicio de actividades; para riesgo alto o muy alto es previa. El costo y el plazo varían según la ficha.</x:v>
      </x:c>
      <x:c r="P23" s="12">
        <x:v>46302</x:v>
      </x:c>
      <x:c r="Q23" s="10" t="str">
        <x:v>Verificado el 07/10/2026 con las fichas ITSE por nivel de riesgo del TUPA 2025, parte 02.</x:v>
      </x:c>
      <x:c r="R23" s="13" t="str">
        <x:f t="shared" si="0"/>
      </x:c>
      <x:c r="S23" s="11" t="str">
        <x:v>Sí</x:v>
      </x:c>
      <x:c r="T23" s="14" t="s">
        <x:v>118</x:v>
      </x:c>
    </x:row>
    <x:row r="24" ht="91.5" customHeight="1">
      <x:c r="A24" s="5">
        <x:v>21</x:v>
      </x:c>
      <x:c r="B24" s="6" t="s">
        <x:v>119</x:v>
      </x:c>
      <x:c r="C24" s="7" t="s">
        <x:v>110</x:v>
      </x:c>
      <x:c r="D24" s="8" t="s">
        <x:v>24</x:v>
      </x:c>
      <x:c r="E24" s="7" t="s">
        <x:v>25</x:v>
      </x:c>
      <x:c r="F24" s="8" t="s">
        <x:v>26</x:v>
      </x:c>
      <x:c r="G24" s="9" t="s">
        <x:v>120</x:v>
      </x:c>
      <x:c r="H24" s="9" t="s">
        <x:v>121</x:v>
      </x:c>
      <x:c r="I24" s="10" t="inlineStr">
        <x:is>
          <x:t xml:space="preserve">ITSE (Inspección Técnica de Seguridad en Edificaciones), fichas por riesgo bajo, medio, alto y muy alto</x:t>
        </x:is>
      </x:c>
      <x:c r="J24" s="10" t="inlineStr">
        <x:is>
          <x:t xml:space="preserve">Bajo/medio: solicitud y declaración jurada de seguridad. Alto/muy alto: además documentos técnicos</x:t>
        </x:is>
      </x:c>
      <x:c r="K24" s="10" t="inlineStr">
        <x:is>
          <x:t xml:space="preserve">Varía por riesgo</x:t>
        </x:is>
      </x:c>
      <x:c r="L24" s="10" t="inlineStr">
        <x:is>
          <x:t xml:space="preserve">Varía por riesgo</x:t>
        </x:is>
      </x:c>
      <x:c r="M24" s="10"/>
      <x:c r="N24" s="11" t="inlineStr">
        <x:is>
          <x:t xml:space="preserve">Corregir</x:t>
        </x:is>
      </x:c>
      <x:c r="O24" s="10" t="str">
        <x:v>Los requisitos de ITSE dependen del nivel de riesgo. Para riesgo bajo o medio, el TUPA pide solicitud y declaración jurada de cumplimiento de condiciones de seguridad. Para riesgo alto o muy alto, también exige documentos técnicos, como croquis, planos, certificado de puesta a tierra, plan de seguridad y protocolos de mantenimiento.</x:v>
      </x:c>
      <x:c r="P24" s="12">
        <x:v>46302</x:v>
      </x:c>
      <x:c r="Q24" s="10" t="str">
        <x:v>Verificado el 07/10/2026 con las fichas ITSE por nivel de riesgo del TUPA 2025, parte 02. La documentación técnica adicional corresponde a riesgo alto/muy alto.</x:v>
      </x:c>
      <x:c r="R24" s="13" t="str">
        <x:f t="shared" si="0"/>
      </x:c>
      <x:c r="S24" s="11" t="str">
        <x:v>Sí</x:v>
      </x:c>
      <x:c r="T24" s="14" t="s">
        <x:v>122</x:v>
      </x:c>
    </x:row>
    <x:row r="25" ht="91.5" customHeight="1">
      <x:c r="A25" s="5">
        <x:v>22</x:v>
      </x:c>
      <x:c r="B25" s="6" t="s">
        <x:v>123</x:v>
      </x:c>
      <x:c r="C25" s="7" t="s">
        <x:v>110</x:v>
      </x:c>
      <x:c r="D25" s="8" t="s">
        <x:v>24</x:v>
      </x:c>
      <x:c r="E25" s="7" t="s">
        <x:v>86</x:v>
      </x:c>
      <x:c r="F25" s="8" t="s">
        <x:v>124</x:v>
      </x:c>
      <x:c r="G25" s="9" t="s">
        <x:v>125</x:v>
      </x:c>
      <x:c r="H25" s="9" t="s">
        <x:v>126</x:v>
      </x:c>
      <x:c r="I25" s="10" t="inlineStr">
        <x:is>
          <x:t xml:space="preserve">No es ficha del TUPA</x:t>
        </x:is>
      </x:c>
      <x:c r="J25" s="10"/>
      <x:c r="K25" s="10"/>
      <x:c r="L25" s="10"/>
      <x:c r="M25" s="10" t="inlineStr">
        <x:is>
          <x:t xml:space="preserve">Canal y teléfono: validar con la MPSR</x:t>
        </x:is>
      </x:c>
      <x:c r="N25" s="11" t="inlineStr">
        <x:is>
          <x:t xml:space="preserve">No figura en la fuente</x:t>
        </x:is>
      </x:c>
      <x:c r="O25" s="10" t="s">
        <x:v>127</x:v>
      </x:c>
      <x:c r="P25" s="12">
        <x:v>46302</x:v>
      </x:c>
      <x:c r="Q25" s="10" t="str">
        <x:v>El portal oficial gob.pe muestra los teléfonos de Serenazgo 051 329001, 051 329002 y 051 329003. No se ha probado que las líneas estén activas ni confirmado el canal para una denuncia; se deja sin confirmar según la indicación del tesista.</x:v>
      </x:c>
      <x:c r="R25" s="13" t="str">
        <x:f t="shared" si="0"/>
      </x:c>
      <x:c r="S25" s="11"/>
      <x:c r="T25" s="14"/>
    </x:row>
    <x:row r="26" ht="91.5" customHeight="1">
      <x:c r="A26" s="5">
        <x:v>23</x:v>
      </x:c>
      <x:c r="B26" s="6" t="s">
        <x:v>128</x:v>
      </x:c>
      <x:c r="C26" s="7" t="s">
        <x:v>110</x:v>
      </x:c>
      <x:c r="D26" s="8" t="s">
        <x:v>24</x:v>
      </x:c>
      <x:c r="E26" s="7" t="s">
        <x:v>86</x:v>
      </x:c>
      <x:c r="F26" s="8" t="s">
        <x:v>26</x:v>
      </x:c>
      <x:c r="G26" s="9" t="s">
        <x:v>129</x:v>
      </x:c>
      <x:c r="H26" s="9" t="s">
        <x:v>130</x:v>
      </x:c>
      <x:c r="I26" s="10" t="inlineStr">
        <x:is>
          <x:t xml:space="preserve">No es ficha del TUPA</x:t>
        </x:is>
      </x:c>
      <x:c r="J26" s="10"/>
      <x:c r="K26" s="10"/>
      <x:c r="L26" s="10"/>
      <x:c r="M26" s="10" t="inlineStr">
        <x:is>
          <x:t xml:space="preserve">Número y horario: validar con la MPSR</x:t>
        </x:is>
      </x:c>
      <x:c r="N26" s="11" t="inlineStr">
        <x:is>
          <x:t xml:space="preserve">No figura en la fuente</x:t>
        </x:is>
      </x:c>
      <x:c r="O26" s="10" t="s">
        <x:v>131</x:v>
      </x:c>
      <x:c r="P26" s="12">
        <x:v>46302</x:v>
      </x:c>
      <x:c r="Q26" s="10" t="str">
        <x:v>El portal oficial gob.pe muestra los teléfonos de Serenazgo 051 329001, 051 329002 y 051 329003. Falta comprobar que las líneas sigan activas; se deja sin confirmar según la indicación del tesista.</x:v>
      </x:c>
      <x:c r="R26" s="13" t="str">
        <x:f t="shared" si="0"/>
      </x:c>
      <x:c r="S26" s="11"/>
      <x:c r="T26" s="14"/>
    </x:row>
    <x:row r="27" ht="91.5" customHeight="1">
      <x:c r="A27" s="5">
        <x:v>24</x:v>
      </x:c>
      <x:c r="B27" s="6" t="s">
        <x:v>132</x:v>
      </x:c>
      <x:c r="C27" s="7" t="s">
        <x:v>133</x:v>
      </x:c>
      <x:c r="D27" s="8" t="s">
        <x:v>24</x:v>
      </x:c>
      <x:c r="E27" s="7" t="s">
        <x:v>25</x:v>
      </x:c>
      <x:c r="F27" s="8" t="s">
        <x:v>26</x:v>
      </x:c>
      <x:c r="G27" s="9" t="s">
        <x:v>134</x:v>
      </x:c>
      <x:c r="H27" s="9" t="s">
        <x:v>135</x:v>
      </x:c>
      <x:c r="I27" s="10" t="inlineStr">
        <x:is>
          <x:t xml:space="preserve">Expedición de partidas de nacimiento, defunción y matrimonio (PA1893FB80)</x:t>
        </x:is>
      </x:c>
      <x:c r="J27" s="10" t="str">
        <x:v>Pago por derecho de expedición de partida.</x:v>
      </x:c>
      <x:c r="K27" s="10" t="inlineStr">
        <x:is>
          <x:t xml:space="preserve">S/ 8,50</x:t>
        </x:is>
      </x:c>
      <x:c r="L27" s="10" t="inlineStr">
        <x:is>
          <x:t xml:space="preserve">1 día hábil</x:t>
        </x:is>
      </x:c>
      <x:c r="M27" s="10" t="inlineStr">
        <x:is>
          <x:t xml:space="preserve">Registro Civil</x:t>
        </x:is>
      </x:c>
      <x:c r="N27" s="11" t="inlineStr">
        <x:is>
          <x:t xml:space="preserve">Corregir</x:t>
        </x:is>
      </x:c>
      <x:c r="O27" s="10" t="str">
        <x:v>Para obtener una copia de una partida de nacimiento, paga el derecho de expedición de S/ 8,50. El plazo de atención del TUPA es de 1 día hábil.</x:v>
      </x:c>
      <x:c r="P27" s="12">
        <x:v>46302</x:v>
      </x:c>
      <x:c r="Q27" s="10" t="str">
        <x:v>Verificado el 07/10/2026 con el procedimiento PA1893FB80 del TUPA 2025, parte 01, p. 40: S/ 8,50 y 1 día hábil.</x:v>
      </x:c>
      <x:c r="R27" s="13" t="str">
        <x:f t="shared" si="0"/>
      </x:c>
      <x:c r="S27" s="11" t="str">
        <x:v>Sí</x:v>
      </x:c>
      <x:c r="T27" s="14" t="s">
        <x:v>136</x:v>
      </x:c>
    </x:row>
    <x:row r="28" ht="91.5" customHeight="1">
      <x:c r="A28" s="5">
        <x:v>25</x:v>
      </x:c>
      <x:c r="B28" s="6" t="s">
        <x:v>137</x:v>
      </x:c>
      <x:c r="C28" s="7" t="s">
        <x:v>133</x:v>
      </x:c>
      <x:c r="D28" s="8" t="s">
        <x:v>24</x:v>
      </x:c>
      <x:c r="E28" s="7" t="s">
        <x:v>25</x:v>
      </x:c>
      <x:c r="F28" s="8" t="s">
        <x:v>26</x:v>
      </x:c>
      <x:c r="G28" s="9" t="s">
        <x:v>138</x:v>
      </x:c>
      <x:c r="H28" s="9" t="s">
        <x:v>139</x:v>
      </x:c>
      <x:c r="I28" s="10" t="inlineStr">
        <x:is>
          <x:t xml:space="preserve">Expedición de partidas de nacimiento, defunción y matrimonio (PA1893FB80)</x:t>
        </x:is>
      </x:c>
      <x:c r="J28" s="10" t="str">
        <x:v>Pago por derecho de expedición de partida.</x:v>
      </x:c>
      <x:c r="K28" s="10" t="inlineStr">
        <x:is>
          <x:t xml:space="preserve">S/ 8,50</x:t>
        </x:is>
      </x:c>
      <x:c r="L28" s="10" t="inlineStr">
        <x:is>
          <x:t xml:space="preserve">1 día hábil</x:t>
        </x:is>
      </x:c>
      <x:c r="M28" s="10" t="inlineStr">
        <x:is>
          <x:t xml:space="preserve">Registro Civil</x:t>
        </x:is>
      </x:c>
      <x:c r="N28" s="11" t="inlineStr">
        <x:is>
          <x:t xml:space="preserve">Corregir</x:t>
        </x:is>
      </x:c>
      <x:c r="O28" s="10" t="str">
        <x:v>Para obtener una copia de una partida de matrimonio, paga el derecho de expedición de S/ 8,50. El plazo de atención del TUPA es de 1 día hábil.</x:v>
      </x:c>
      <x:c r="P28" s="12">
        <x:v>46302</x:v>
      </x:c>
      <x:c r="Q28" s="10" t="str">
        <x:v>Verificado el 07/10/2026 con el procedimiento PA1893FB80 del TUPA 2025, parte 01, p. 40: S/ 8,50 y 1 día hábil.</x:v>
      </x:c>
      <x:c r="R28" s="13" t="str">
        <x:f t="shared" si="0"/>
      </x:c>
      <x:c r="S28" s="11" t="str">
        <x:v>Sí</x:v>
      </x:c>
      <x:c r="T28" s="14"/>
    </x:row>
    <x:row r="29" ht="91.5" customHeight="1">
      <x:c r="A29" s="5">
        <x:v>26</x:v>
      </x:c>
      <x:c r="B29" s="6" t="s">
        <x:v>140</x:v>
      </x:c>
      <x:c r="C29" s="7" t="s">
        <x:v>133</x:v>
      </x:c>
      <x:c r="D29" s="8" t="s">
        <x:v>24</x:v>
      </x:c>
      <x:c r="E29" s="7" t="s">
        <x:v>25</x:v>
      </x:c>
      <x:c r="F29" s="8" t="s">
        <x:v>26</x:v>
      </x:c>
      <x:c r="G29" s="9" t="s">
        <x:v>141</x:v>
      </x:c>
      <x:c r="H29" s="9" t="s">
        <x:v>142</x:v>
      </x:c>
      <x:c r="I29" s="10" t="inlineStr">
        <x:is>
          <x:t xml:space="preserve">Copia: Expedición de partidas de nacimiento, defunción y matrimonio (PA1893FB80). Inscripción de defunción: PA1893F37B</x:t>
        </x:is>
      </x:c>
      <x:c r="J29" s="10" t="inlineStr">
        <x:is>
          <x:t xml:space="preserve">Inscripción: requisitos distintos según el caso</x:t>
        </x:is>
      </x:c>
      <x:c r="K29" s="10" t="inlineStr">
        <x:is>
          <x:t xml:space="preserve">Copia S/ 8,50; inscripción gratuita</x:t>
        </x:is>
      </x:c>
      <x:c r="L29" s="10" t="inlineStr">
        <x:is>
          <x:t xml:space="preserve">1 día hábil</x:t>
        </x:is>
      </x:c>
      <x:c r="M29" s="10" t="inlineStr">
        <x:is>
          <x:t xml:space="preserve">Registro Civil</x:t>
        </x:is>
      </x:c>
      <x:c r="N29" s="11" t="inlineStr">
        <x:is>
          <x:t xml:space="preserve">Corregir</x:t>
        </x:is>
      </x:c>
      <x:c r="O29" s="10" t="str">
        <x:v>Inscribir una defunción es distinto de pedir una copia del acta. La inscripción es gratuita, se atiende en 1 día hábil y los requisitos dependen del caso (defunción ordinaria, muerte violenta, mandato judicial o muerte presunta). La copia de una partida cuesta S/ 8,50 y se atiende en 1 día hábil.</x:v>
      </x:c>
      <x:c r="P29" s="12">
        <x:v>46302</x:v>
      </x:c>
      <x:c r="Q29" s="10" t="str">
        <x:v>Verificado el 07/10/2026 con PA1893F37B (inscripción de defunción, TUPA 2025 parte 01, p. 34) y PA1893FB80 (expedición de partidas, p. 40).</x:v>
      </x:c>
      <x:c r="R29" s="13" t="str">
        <x:f t="shared" si="0"/>
      </x:c>
      <x:c r="S29" s="11" t="str">
        <x:v>Sí</x:v>
      </x:c>
      <x:c r="T29" s="14"/>
    </x:row>
    <x:row r="30" ht="91.5" customHeight="1">
      <x:c r="A30" s="5">
        <x:v>27</x:v>
      </x:c>
      <x:c r="B30" s="6" t="s">
        <x:v>143</x:v>
      </x:c>
      <x:c r="C30" s="7" t="s">
        <x:v>133</x:v>
      </x:c>
      <x:c r="D30" s="8" t="s">
        <x:v>24</x:v>
      </x:c>
      <x:c r="E30" s="7" t="s">
        <x:v>25</x:v>
      </x:c>
      <x:c r="F30" s="8" t="s">
        <x:v>26</x:v>
      </x:c>
      <x:c r="G30" s="9" t="s">
        <x:v>144</x:v>
      </x:c>
      <x:c r="H30" s="9" t="s">
        <x:v>145</x:v>
      </x:c>
      <x:c r="I30" s="10" t="inlineStr">
        <x:is>
          <x:t xml:space="preserve">Rectificación administrativa, judicial y notarial (PA1893E001)</x:t>
        </x:is>
      </x:c>
      <x:c r="J30" s="10" t="inlineStr">
        <x:is>
          <x:t xml:space="preserve">Oficio judicial o parte notarial y resolución o escritura correspondiente</x:t>
        </x:is>
      </x:c>
      <x:c r="K30" s="10" t="inlineStr">
        <x:is>
          <x:t xml:space="preserve">S/ 34,80</x:t>
        </x:is>
      </x:c>
      <x:c r="L30" s="10" t="inlineStr">
        <x:is>
          <x:t xml:space="preserve">5 días hábiles</x:t>
        </x:is>
      </x:c>
      <x:c r="M30" s="10" t="inlineStr">
        <x:is>
          <x:t xml:space="preserve">Registro Civil</x:t>
        </x:is>
      </x:c>
      <x:c r="N30" s="11" t="inlineStr">
        <x:is>
          <x:t xml:space="preserve">Corregir</x:t>
        </x:is>
      </x:c>
      <x:c r="O30" s="10" t="str">
        <x:v>El TUPA contempla la rectificación administrativa, judicial y notarial de partidas. La ficha pide el oficio judicial o parte notarial, la sentencia certificada o escritura pública correspondiente y el pago. El derecho es S/ 34,80 y el plazo de atención es de 5 días hábiles. La vía aplicable depende del caso.</x:v>
      </x:c>
      <x:c r="P30" s="12">
        <x:v>46302</x:v>
      </x:c>
      <x:c r="Q30" s="10" t="str">
        <x:v>Verificado el 07/10/2026 con el procedimiento PA1893E001 del TUPA 2025, parte 01, pp. 38–39.</x:v>
      </x:c>
      <x:c r="R30" s="13" t="str">
        <x:f t="shared" si="0"/>
      </x:c>
      <x:c r="S30" s="11" t="str">
        <x:v>Sí</x:v>
      </x:c>
      <x:c r="T30" s="14" t="s">
        <x:v>146</x:v>
      </x:c>
    </x:row>
    <x:row r="31" ht="91.5" customHeight="1">
      <x:c r="A31" s="5">
        <x:v>28</x:v>
      </x:c>
      <x:c r="B31" s="6" t="s">
        <x:v>147</x:v>
      </x:c>
      <x:c r="C31" s="7" t="s">
        <x:v>133</x:v>
      </x:c>
      <x:c r="D31" s="8" t="s">
        <x:v>24</x:v>
      </x:c>
      <x:c r="E31" s="7" t="s">
        <x:v>25</x:v>
      </x:c>
      <x:c r="F31" s="8" t="s">
        <x:v>26</x:v>
      </x:c>
      <x:c r="G31" s="9" t="s">
        <x:v>148</x:v>
      </x:c>
      <x:c r="H31" s="9" t="s">
        <x:v>149</x:v>
      </x:c>
      <x:c r="I31" s="10" t="inlineStr">
        <x:is>
          <x:t xml:space="preserve">Ceremonia Matrimonial (PA1893595F)</x:t>
        </x:is>
      </x:c>
      <x:c r="J31" s="10" t="inlineStr">
        <x:is>
          <x:t xml:space="preserve">Mayores de edad: pliego matrimonial, partidas de nacimiento, certificados de domicilio, documentos de identidad de contrayentes y testigos, edicto y pago. Cambia para divorciados, viudos o extranjeros</x:t>
        </x:is>
      </x:c>
      <x:c r="K31" s="10" t="inlineStr">
        <x:is>
          <x:t xml:space="preserve">Tarifa según lugar y día</x:t>
        </x:is>
      </x:c>
      <x:c r="L31" s="10" t="inlineStr">
        <x:is>
          <x:t xml:space="preserve">15 días hábiles</x:t>
        </x:is>
      </x:c>
      <x:c r="M31" s="10" t="inlineStr">
        <x:is>
          <x:t xml:space="preserve">Registro Civil</x:t>
        </x:is>
      </x:c>
      <x:c r="N31" s="11" t="inlineStr">
        <x:is>
          <x:t xml:space="preserve">Corregir</x:t>
        </x:is>
      </x:c>
      <x:c r="O31" s="10" t="str">
        <x:v>Para mayores de edad, el TUPA pide pliego matrimonial, partidas de nacimiento, certificados de domicilio, documentos de identidad de la pareja y testigos, pago por publicación del edicto y pago del trámite. Hay requisitos adicionales para divorciados, viudos o extranjeros. El plazo es de 15 días hábiles. La tarifa es S/ 125,30 en instalaciones municipales de lunes a viernes, S/ 220,00 en esas instalaciones sábados, domingos y feriados, o S/ 370,00 fuera de la municipalidad.</x:v>
      </x:c>
      <x:c r="P31" s="12">
        <x:v>46302</x:v>
      </x:c>
      <x:c r="Q31" s="10" t="str">
        <x:v>Verificado el 07/10/2026 con el procedimiento PA1893595F del TUPA 2025, parte 01, pp. 42–43.</x:v>
      </x:c>
      <x:c r="R31" s="13" t="str">
        <x:f t="shared" si="0"/>
      </x:c>
      <x:c r="S31" s="11" t="str">
        <x:v>Sí</x:v>
      </x:c>
      <x:c r="T31" s="14" t="s">
        <x:v>150</x:v>
      </x:c>
    </x:row>
    <x:row r="32" ht="91.5" customHeight="1">
      <x:c r="A32" s="5">
        <x:v>29</x:v>
      </x:c>
      <x:c r="B32" s="6" t="s">
        <x:v>151</x:v>
      </x:c>
      <x:c r="C32" s="7" t="s">
        <x:v>152</x:v>
      </x:c>
      <x:c r="D32" s="8" t="s">
        <x:v>53</x:v>
      </x:c>
      <x:c r="E32" s="7" t="s">
        <x:v>86</x:v>
      </x:c>
      <x:c r="F32" s="8" t="s">
        <x:v>124</x:v>
      </x:c>
      <x:c r="G32" s="9" t="s">
        <x:v>153</x:v>
      </x:c>
      <x:c r="H32" s="9" t="s">
        <x:v>154</x:v>
      </x:c>
      <x:c r="I32" s="10"/>
      <x:c r="J32" s="10"/>
      <x:c r="K32" s="10"/>
      <x:c r="L32" s="10"/>
      <x:c r="M32" s="10"/>
      <x:c r="N32" s="11" t="s">
        <x:v>57</x:v>
      </x:c>
      <x:c r="O32" s="10"/>
      <x:c r="P32" s="12"/>
      <x:c r="Q32" s="10"/>
      <x:c r="R32" s="13" t="str">
        <x:f t="shared" si="0"/>
      </x:c>
      <x:c r="S32" s="11"/>
      <x:c r="T32" s="14" t="s">
        <x:v>155</x:v>
      </x:c>
    </x:row>
    <x:row r="33" ht="91.5" customHeight="1">
      <x:c r="A33" s="5">
        <x:v>30</x:v>
      </x:c>
      <x:c r="B33" s="6" t="s">
        <x:v>156</x:v>
      </x:c>
      <x:c r="C33" s="7" t="s">
        <x:v>152</x:v>
      </x:c>
      <x:c r="D33" s="8" t="s">
        <x:v>53</x:v>
      </x:c>
      <x:c r="E33" s="7" t="s">
        <x:v>86</x:v>
      </x:c>
      <x:c r="F33" s="8" t="s">
        <x:v>26</x:v>
      </x:c>
      <x:c r="G33" s="9" t="s">
        <x:v>157</x:v>
      </x:c>
      <x:c r="H33" s="9" t="s">
        <x:v>158</x:v>
      </x:c>
      <x:c r="I33" s="10"/>
      <x:c r="J33" s="10"/>
      <x:c r="K33" s="10"/>
      <x:c r="L33" s="10"/>
      <x:c r="M33" s="10"/>
      <x:c r="N33" s="11" t="s">
        <x:v>57</x:v>
      </x:c>
      <x:c r="O33" s="10"/>
      <x:c r="P33" s="12"/>
      <x:c r="Q33" s="10"/>
      <x:c r="R33" s="13" t="str">
        <x:f t="shared" si="0"/>
      </x:c>
      <x:c r="S33" s="11"/>
      <x:c r="T33" s="14" t="s">
        <x:v>159</x:v>
      </x:c>
    </x:row>
    <x:row r="34" ht="91.5" customHeight="1">
      <x:c r="A34" s="5">
        <x:v>31</x:v>
      </x:c>
      <x:c r="B34" s="6" t="s">
        <x:v>160</x:v>
      </x:c>
      <x:c r="C34" s="7" t="s">
        <x:v>152</x:v>
      </x:c>
      <x:c r="D34" s="8" t="s">
        <x:v>53</x:v>
      </x:c>
      <x:c r="E34" s="7" t="s">
        <x:v>54</x:v>
      </x:c>
      <x:c r="F34" s="8" t="s">
        <x:v>26</x:v>
      </x:c>
      <x:c r="G34" s="9" t="s">
        <x:v>161</x:v>
      </x:c>
      <x:c r="H34" s="9" t="s">
        <x:v>162</x:v>
      </x:c>
      <x:c r="I34" s="10"/>
      <x:c r="J34" s="10"/>
      <x:c r="K34" s="10"/>
      <x:c r="L34" s="10"/>
      <x:c r="M34" s="10"/>
      <x:c r="N34" s="11" t="s">
        <x:v>57</x:v>
      </x:c>
      <x:c r="O34" s="10"/>
      <x:c r="P34" s="12"/>
      <x:c r="Q34" s="10"/>
      <x:c r="R34" s="13" t="str">
        <x:f t="shared" si="0"/>
      </x:c>
      <x:c r="S34" s="11"/>
      <x:c r="T34" s="14" t="s">
        <x:v>163</x:v>
      </x:c>
    </x:row>
    <x:row r="35" ht="91.5" customHeight="1">
      <x:c r="A35" s="5">
        <x:v>32</x:v>
      </x:c>
      <x:c r="B35" s="6" t="s">
        <x:v>164</x:v>
      </x:c>
      <x:c r="C35" s="7" t="s">
        <x:v>152</x:v>
      </x:c>
      <x:c r="D35" s="8" t="s">
        <x:v>53</x:v>
      </x:c>
      <x:c r="E35" s="7" t="s">
        <x:v>54</x:v>
      </x:c>
      <x:c r="F35" s="8" t="s">
        <x:v>26</x:v>
      </x:c>
      <x:c r="G35" s="9" t="s">
        <x:v>165</x:v>
      </x:c>
      <x:c r="H35" s="9" t="s">
        <x:v>166</x:v>
      </x:c>
      <x:c r="I35" s="10"/>
      <x:c r="J35" s="10"/>
      <x:c r="K35" s="10"/>
      <x:c r="L35" s="10"/>
      <x:c r="M35" s="10"/>
      <x:c r="N35" s="11" t="s">
        <x:v>57</x:v>
      </x:c>
      <x:c r="O35" s="10"/>
      <x:c r="P35" s="12"/>
      <x:c r="Q35" s="10"/>
      <x:c r="R35" s="13" t="str">
        <x:f t="shared" si="0"/>
      </x:c>
      <x:c r="S35" s="11"/>
      <x:c r="T35" s="14" t="s">
        <x:v>167</x:v>
      </x:c>
    </x:row>
    <x:row r="36" ht="91.5" customHeight="1">
      <x:c r="A36" s="5">
        <x:v>33</x:v>
      </x:c>
      <x:c r="B36" s="6" t="s">
        <x:v>168</x:v>
      </x:c>
      <x:c r="C36" s="7" t="s">
        <x:v>152</x:v>
      </x:c>
      <x:c r="D36" s="8" t="s">
        <x:v>53</x:v>
      </x:c>
      <x:c r="E36" s="7" t="s">
        <x:v>86</x:v>
      </x:c>
      <x:c r="F36" s="8" t="s">
        <x:v>26</x:v>
      </x:c>
      <x:c r="G36" s="9" t="s">
        <x:v>169</x:v>
      </x:c>
      <x:c r="H36" s="9" t="s">
        <x:v>170</x:v>
      </x:c>
      <x:c r="I36" s="10"/>
      <x:c r="J36" s="10"/>
      <x:c r="K36" s="10"/>
      <x:c r="L36" s="10"/>
      <x:c r="M36" s="10"/>
      <x:c r="N36" s="11" t="s">
        <x:v>57</x:v>
      </x:c>
      <x:c r="O36" s="10"/>
      <x:c r="P36" s="12"/>
      <x:c r="Q36" s="10"/>
      <x:c r="R36" s="13" t="str">
        <x:f t="shared" si="0"/>
      </x:c>
      <x:c r="S36" s="11"/>
      <x:c r="T36" s="14" t="s">
        <x:v>171</x:v>
      </x:c>
    </x:row>
    <x:row r="37" ht="91.5" customHeight="1">
      <x:c r="A37" s="5">
        <x:v>34</x:v>
      </x:c>
      <x:c r="B37" s="6" t="s">
        <x:v>172</x:v>
      </x:c>
      <x:c r="C37" s="7" t="s">
        <x:v>173</x:v>
      </x:c>
      <x:c r="D37" s="8" t="s">
        <x:v>24</x:v>
      </x:c>
      <x:c r="E37" s="7" t="s">
        <x:v>54</x:v>
      </x:c>
      <x:c r="F37" s="8" t="s">
        <x:v>26</x:v>
      </x:c>
      <x:c r="G37" s="9" t="s">
        <x:v>174</x:v>
      </x:c>
      <x:c r="H37" s="9" t="s">
        <x:v>175</x:v>
      </x:c>
      <x:c r="I37" s="10" t="inlineStr">
        <x:is>
          <x:t xml:space="preserve">No hay procedimiento con ese nombre</x:t>
        </x:is>
      </x:c>
      <x:c r="J37" s="10"/>
      <x:c r="K37" s="10"/>
      <x:c r="L37" s="10"/>
      <x:c r="M37" s="10" t="inlineStr">
        <x:is>
          <x:t xml:space="preserve">Distinguir Libro de Reclamaciones de queja administrativa; verificar canal</x:t>
        </x:is>
      </x:c>
      <x:c r="N37" s="11" t="inlineStr">
        <x:is>
          <x:t xml:space="preserve">No figura en la fuente</x:t>
        </x:is>
      </x:c>
      <x:c r="O37" s="10"/>
      <x:c r="P37" s="12">
        <x:v>46302</x:v>
      </x:c>
      <x:c r="Q37" s="10" t="str">
        <x:v>El TUPA 2025 no contiene una ficha llamada «presentar reclamo». La MPSR tiene un Libro de Reclamaciones en sus canales oficiales, pero falta distinguirlo del reclamo administrativo y confirmar el procedimiento aplicable; se deja sin confirmar.</x:v>
      </x:c>
      <x:c r="R37" s="13" t="str">
        <x:f t="shared" si="0"/>
      </x:c>
      <x:c r="S37" s="11"/>
      <x:c r="T37" s="14" t="s">
        <x:v>176</x:v>
      </x:c>
    </x:row>
    <x:row r="38" ht="91.5" customHeight="1">
      <x:c r="A38" s="5">
        <x:v>35</x:v>
      </x:c>
      <x:c r="B38" s="6" t="s">
        <x:v>177</x:v>
      </x:c>
      <x:c r="C38" s="7" t="s">
        <x:v>173</x:v>
      </x:c>
      <x:c r="D38" s="8" t="s">
        <x:v>53</x:v>
      </x:c>
      <x:c r="E38" s="7" t="s">
        <x:v>86</x:v>
      </x:c>
      <x:c r="F38" s="8" t="s">
        <x:v>26</x:v>
      </x:c>
      <x:c r="G38" s="9" t="s">
        <x:v>178</x:v>
      </x:c>
      <x:c r="H38" s="9" t="s">
        <x:v>179</x:v>
      </x:c>
      <x:c r="I38" s="10"/>
      <x:c r="J38" s="10"/>
      <x:c r="K38" s="10"/>
      <x:c r="L38" s="10"/>
      <x:c r="M38" s="10"/>
      <x:c r="N38" s="11" t="s">
        <x:v>57</x:v>
      </x:c>
      <x:c r="O38" s="10"/>
      <x:c r="P38" s="12"/>
      <x:c r="Q38" s="10"/>
      <x:c r="R38" s="13" t="str">
        <x:f t="shared" si="0"/>
      </x:c>
      <x:c r="S38" s="11"/>
      <x:c r="T38" s="14"/>
    </x:row>
    <x:row r="39" ht="91.5" customHeight="1">
      <x:c r="A39" s="5">
        <x:v>36</x:v>
      </x:c>
      <x:c r="B39" s="6" t="s">
        <x:v>180</x:v>
      </x:c>
      <x:c r="C39" s="7" t="s">
        <x:v>173</x:v>
      </x:c>
      <x:c r="D39" s="8" t="s">
        <x:v>53</x:v>
      </x:c>
      <x:c r="E39" s="7" t="s">
        <x:v>86</x:v>
      </x:c>
      <x:c r="F39" s="8" t="s">
        <x:v>26</x:v>
      </x:c>
      <x:c r="G39" s="9" t="s">
        <x:v>181</x:v>
      </x:c>
      <x:c r="H39" s="9" t="s">
        <x:v>182</x:v>
      </x:c>
      <x:c r="I39" s="10" t="s">
        <x:v>183</x:v>
      </x:c>
      <x:c r="J39" s="10"/>
      <x:c r="K39" s="10"/>
      <x:c r="L39" s="10"/>
      <x:c r="M39" s="10" t="s">
        <x:v>184</x:v>
      </x:c>
      <x:c r="N39" s="11" t="s">
        <x:v>91</x:v>
      </x:c>
      <x:c r="O39" s="10" t="s">
        <x:v>185</x:v>
      </x:c>
      <x:c r="P39" s="12">
        <x:v>46300</x:v>
      </x:c>
      <x:c r="Q39" s="10" t="str">
        <x:v>El portal oficial de la MPSR en gob.pe publica un enlace al Libro de Reclamaciones. Se deja sin confirmar según la indicación del tesista para filas de reclamo, hasta validar el canal exacto y alcance de la respuesta.</x:v>
      </x:c>
      <x:c r="R39" s="13" t="str">
        <x:f t="shared" si="0"/>
      </x:c>
      <x:c r="S39" s="11"/>
      <x:c r="T39" s="14"/>
    </x:row>
    <x:row r="40" ht="91.5" customHeight="1">
      <x:c r="A40" s="5">
        <x:v>37</x:v>
      </x:c>
      <x:c r="B40" s="6" t="s">
        <x:v>186</x:v>
      </x:c>
      <x:c r="C40" s="7" t="s">
        <x:v>173</x:v>
      </x:c>
      <x:c r="D40" s="8" t="s">
        <x:v>53</x:v>
      </x:c>
      <x:c r="E40" s="7" t="s">
        <x:v>54</x:v>
      </x:c>
      <x:c r="F40" s="8" t="s">
        <x:v>26</x:v>
      </x:c>
      <x:c r="G40" s="9" t="s">
        <x:v>187</x:v>
      </x:c>
      <x:c r="H40" s="9" t="s">
        <x:v>188</x:v>
      </x:c>
      <x:c r="I40" s="10"/>
      <x:c r="J40" s="10"/>
      <x:c r="K40" s="10"/>
      <x:c r="L40" s="10"/>
      <x:c r="M40" s="10"/>
      <x:c r="N40" s="11" t="s">
        <x:v>57</x:v>
      </x:c>
      <x:c r="O40" s="10"/>
      <x:c r="P40" s="12"/>
      <x:c r="Q40" s="10"/>
      <x:c r="R40" s="13" t="str">
        <x:f t="shared" si="0"/>
      </x:c>
      <x:c r="S40" s="11"/>
      <x:c r="T40" s="14" t="s">
        <x:v>189</x:v>
      </x:c>
    </x:row>
    <x:row r="41" ht="91.5" customHeight="1">
      <x:c r="A41" s="5">
        <x:v>38</x:v>
      </x:c>
      <x:c r="B41" s="6" t="s">
        <x:v>190</x:v>
      </x:c>
      <x:c r="C41" s="7" t="s">
        <x:v>173</x:v>
      </x:c>
      <x:c r="D41" s="8" t="s">
        <x:v>53</x:v>
      </x:c>
      <x:c r="E41" s="7" t="s">
        <x:v>86</x:v>
      </x:c>
      <x:c r="F41" s="8" t="s">
        <x:v>26</x:v>
      </x:c>
      <x:c r="G41" s="9" t="s">
        <x:v>191</x:v>
      </x:c>
      <x:c r="H41" s="9" t="s">
        <x:v>192</x:v>
      </x:c>
      <x:c r="I41" s="10"/>
      <x:c r="J41" s="10"/>
      <x:c r="K41" s="10"/>
      <x:c r="L41" s="10"/>
      <x:c r="M41" s="10"/>
      <x:c r="N41" s="11" t="s">
        <x:v>57</x:v>
      </x:c>
      <x:c r="O41" s="10"/>
      <x:c r="P41" s="12"/>
      <x:c r="Q41" s="10"/>
      <x:c r="R41" s="13" t="str">
        <x:f t="shared" si="0"/>
      </x:c>
      <x:c r="S41" s="11"/>
      <x:c r="T41" s="14"/>
    </x:row>
    <x:row r="42" ht="91.5" customHeight="1">
      <x:c r="A42" s="5">
        <x:v>39</x:v>
      </x:c>
      <x:c r="B42" s="6" t="s">
        <x:v>193</x:v>
      </x:c>
      <x:c r="C42" s="7" t="s">
        <x:v>194</x:v>
      </x:c>
      <x:c r="D42" s="8" t="s">
        <x:v>53</x:v>
      </x:c>
      <x:c r="E42" s="7" t="s">
        <x:v>86</x:v>
      </x:c>
      <x:c r="F42" s="8" t="s">
        <x:v>26</x:v>
      </x:c>
      <x:c r="G42" s="9" t="s">
        <x:v>195</x:v>
      </x:c>
      <x:c r="H42" s="9" t="s">
        <x:v>196</x:v>
      </x:c>
      <x:c r="I42" s="10" t="s">
        <x:v>197</x:v>
      </x:c>
      <x:c r="J42" s="10"/>
      <x:c r="K42" s="10"/>
      <x:c r="L42" s="10"/>
      <x:c r="M42" s="10" t="s">
        <x:v>198</x:v>
      </x:c>
      <x:c r="N42" s="11" t="s">
        <x:v>91</x:v>
      </x:c>
      <x:c r="O42" s="10" t="inlineStr">
        <x:is>
          <x:t xml:space="preserve">La sede central atiende de lunes a viernes, de 8:00 a. m. a 1:00 p. m. y de 2:00 p. m. a 4:00 p. m. Las agencias municipales pueden tener un horario distinto; confirma el horario de la sede que visitarás.</x:t>
        </x:is>
      </x:c>
      <x:c r="P42" s="12">
        <x:v>46300</x:v>
      </x:c>
      <x:c r="Q42" s="10" t="inlineStr">
        <x:is>
          <x:t xml:space="preserve">Verificado el 07/10/2026 en la información institucional oficial de la MPSR en gob.pe. El TUPA también consigna horarios propios para las agencias municipales. Corrección 07/10/2026: el horario se ajusta a la web oficial de la MPSR (8:00 a 13:00 y 14:00 a 16:00), con pausa al mediodía; el TUPA lo consigna de corrido de 8:00 a 16:00.</x:t>
        </x:is>
      </x:c>
      <x:c r="R42" s="13" t="str">
        <x:f t="shared" si="0"/>
      </x:c>
      <x:c r="S42" s="11" t="str">
        <x:v>Sí</x:v>
      </x:c>
      <x:c r="T42" s="14"/>
    </x:row>
    <x:row r="43" ht="91.5" customHeight="1">
      <x:c r="A43" s="5">
        <x:v>40</x:v>
      </x:c>
      <x:c r="B43" s="6" t="s">
        <x:v>199</x:v>
      </x:c>
      <x:c r="C43" s="7" t="s">
        <x:v>194</x:v>
      </x:c>
      <x:c r="D43" s="8" t="s">
        <x:v>53</x:v>
      </x:c>
      <x:c r="E43" s="7" t="s">
        <x:v>86</x:v>
      </x:c>
      <x:c r="F43" s="8" t="s">
        <x:v>26</x:v>
      </x:c>
      <x:c r="G43" s="9" t="s">
        <x:v>200</x:v>
      </x:c>
      <x:c r="H43" s="9" t="s">
        <x:v>201</x:v>
      </x:c>
      <x:c r="I43" s="10" t="s">
        <x:v>197</x:v>
      </x:c>
      <x:c r="J43" s="10"/>
      <x:c r="K43" s="10"/>
      <x:c r="L43" s="10"/>
      <x:c r="M43" s="10" t="s">
        <x:v>202</x:v>
      </x:c>
      <x:c r="N43" s="11" t="s">
        <x:v>91</x:v>
      </x:c>
      <x:c r="O43" s="10" t="str">
        <x:v>La sede central de la Municipalidad Provincial de San Román está en el Jr. Jáuregui N.° 321, Centro Cívico, referencia Plaza de Armas, Juliaca.</x:v>
      </x:c>
      <x:c r="P43" s="12">
        <x:v>46300</x:v>
      </x:c>
      <x:c r="Q43" s="10" t="str">
        <x:v>Verificado el 07/10/2026 en la información institucional oficial de la MPSR en gob.pe: Jr. Jáuregui N.° 321, Centro Cívico, Plaza de Armas.</x:v>
      </x:c>
      <x:c r="R43" s="13" t="str">
        <x:f t="shared" si="0"/>
      </x:c>
      <x:c r="S43" s="11" t="str">
        <x:v>Sí</x:v>
      </x:c>
      <x:c r="T43" s="14"/>
    </x:row>
    <x:row r="44" ht="91.5" customHeight="1">
      <x:c r="A44" s="5">
        <x:v>41</x:v>
      </x:c>
      <x:c r="B44" s="6" t="s">
        <x:v>203</x:v>
      </x:c>
      <x:c r="C44" s="7" t="s">
        <x:v>194</x:v>
      </x:c>
      <x:c r="D44" s="8" t="s">
        <x:v>24</x:v>
      </x:c>
      <x:c r="E44" s="7" t="s">
        <x:v>25</x:v>
      </x:c>
      <x:c r="F44" s="8" t="s">
        <x:v>124</x:v>
      </x:c>
      <x:c r="G44" s="9" t="s">
        <x:v>204</x:v>
      </x:c>
      <x:c r="H44" s="9" t="s">
        <x:v>205</x:v>
      </x:c>
      <x:c r="I44" s="10" t="inlineStr">
        <x:is>
          <x:t xml:space="preserve">No hay lista única</x:t>
        </x:is>
      </x:c>
      <x:c r="J44" s="10" t="inlineStr">
        <x:is>
          <x:t xml:space="preserve">Dependen de cada ficha</x:t>
        </x:is>
      </x:c>
      <x:c r="K44" s="10"/>
      <x:c r="L44" s="10"/>
      <x:c r="M44" s="10"/>
      <x:c r="N44" s="11" t="inlineStr">
        <x:is>
          <x:t xml:space="preserve">Corregir</x:t>
        </x:is>
      </x:c>
      <x:c r="O44" s="10" t="str">
        <x:v>Los requisitos dependen del trámite. Dime cuál necesitas y reviso los documentos que pide su ficha del TUPA.</x:v>
      </x:c>
      <x:c r="P44" s="12">
        <x:v>46302</x:v>
      </x:c>
      <x:c r="Q44" s="10" t="str">
        <x:v>Verificado el 07/10/2026: el TUPA establece requisitos por ficha/procedimiento; no se identificó una lista general única para todos los trámites.</x:v>
      </x:c>
      <x:c r="R44" s="13" t="str">
        <x:f t="shared" si="0"/>
      </x:c>
      <x:c r="S44" s="11" t="str">
        <x:v>Sí</x:v>
      </x:c>
      <x:c r="T44" s="14" t="s">
        <x:v>206</x:v>
      </x:c>
    </x:row>
    <x:row r="45" ht="91.5" customHeight="1">
      <x:c r="A45" s="5">
        <x:v>42</x:v>
      </x:c>
      <x:c r="B45" s="6" t="s">
        <x:v>207</x:v>
      </x:c>
      <x:c r="C45" s="7" t="s">
        <x:v>194</x:v>
      </x:c>
      <x:c r="D45" s="8" t="s">
        <x:v>24</x:v>
      </x:c>
      <x:c r="E45" s="7" t="s">
        <x:v>25</x:v>
      </x:c>
      <x:c r="F45" s="8" t="s">
        <x:v>124</x:v>
      </x:c>
      <x:c r="G45" s="9" t="s">
        <x:v>208</x:v>
      </x:c>
      <x:c r="H45" s="9" t="s">
        <x:v>209</x:v>
      </x:c>
      <x:c r="I45" s="10" t="inlineStr">
        <x:is>
          <x:t xml:space="preserve">No hay costo único</x:t>
        </x:is>
      </x:c>
      <x:c r="J45" s="10"/>
      <x:c r="K45" s="10" t="inlineStr">
        <x:is>
          <x:t xml:space="preserve">Dependen de cada ficha; algunas son gratuitas</x:t>
        </x:is>
      </x:c>
      <x:c r="L45" s="10"/>
      <x:c r="M45" s="10"/>
      <x:c r="N45" s="11" t="inlineStr">
        <x:is>
          <x:t xml:space="preserve">Corregir</x:t>
        </x:is>
      </x:c>
      <x:c r="O45" s="10" t="str">
        <x:v>Los costos dependen de cada trámite: algunos son gratuitos y otros tienen un derecho específico indicado en el TUPA. Dime cuál necesitas y reviso el monto aplicable.</x:v>
      </x:c>
      <x:c r="P45" s="12">
        <x:v>46302</x:v>
      </x:c>
      <x:c r="Q45" s="10" t="str">
        <x:v>Verificado el 07/10/2026: los derechos de trámite varían por ficha del TUPA y hay procedimientos gratuitos.</x:v>
      </x:c>
      <x:c r="R45" s="13" t="str">
        <x:f t="shared" si="0"/>
      </x:c>
      <x:c r="S45" s="11" t="str">
        <x:v>Sí</x:v>
      </x:c>
      <x:c r="T45" s="14" t="s">
        <x:v>210</x:v>
      </x:c>
    </x:row>
    <x:row r="46" ht="91.5" customHeight="1">
      <x:c r="A46" s="5">
        <x:v>43</x:v>
      </x:c>
      <x:c r="B46" s="6" t="s">
        <x:v>211</x:v>
      </x:c>
      <x:c r="C46" s="7" t="s">
        <x:v>194</x:v>
      </x:c>
      <x:c r="D46" s="8" t="s">
        <x:v>53</x:v>
      </x:c>
      <x:c r="E46" s="7" t="s">
        <x:v>86</x:v>
      </x:c>
      <x:c r="F46" s="8" t="s">
        <x:v>26</x:v>
      </x:c>
      <x:c r="G46" s="9" t="s">
        <x:v>212</x:v>
      </x:c>
      <x:c r="H46" s="9" t="s">
        <x:v>213</x:v>
      </x:c>
      <x:c r="I46" s="10" t="s">
        <x:v>197</x:v>
      </x:c>
      <x:c r="J46" s="10"/>
      <x:c r="K46" s="10"/>
      <x:c r="L46" s="10"/>
      <x:c r="M46" s="10" t="s">
        <x:v>214</x:v>
      </x:c>
      <x:c r="N46" s="11" t="s">
        <x:v>91</x:v>
      </x:c>
      <x:c r="O46" s="10" t="str">
        <x:v>La central telefónica de la Municipalidad Provincial de San Román es (051) 321201.</x:v>
      </x:c>
      <x:c r="P46" s="12">
        <x:v>46300</x:v>
      </x:c>
      <x:c r="Q46" s="10" t="str">
        <x:v>Verificado el 07/10/2026 en la información institucional oficial de la MPSR en gob.pe: central telefónica 051 321201.</x:v>
      </x:c>
      <x:c r="R46" s="13" t="str">
        <x:f t="shared" si="0"/>
      </x:c>
      <x:c r="S46" s="11" t="str">
        <x:v>Sí</x:v>
      </x:c>
      <x:c r="T46" s="14"/>
    </x:row>
    <x:row r="47" ht="91.5" customHeight="1">
      <x:c r="A47" s="5">
        <x:v>44</x:v>
      </x:c>
      <x:c r="B47" s="6" t="s">
        <x:v>215</x:v>
      </x:c>
      <x:c r="C47" s="7" t="s">
        <x:v>194</x:v>
      </x:c>
      <x:c r="D47" s="8" t="s">
        <x:v>53</x:v>
      </x:c>
      <x:c r="E47" s="7" t="s">
        <x:v>86</x:v>
      </x:c>
      <x:c r="F47" s="8" t="s">
        <x:v>26</x:v>
      </x:c>
      <x:c r="G47" s="9" t="s">
        <x:v>216</x:v>
      </x:c>
      <x:c r="H47" s="9" t="s">
        <x:v>217</x:v>
      </x:c>
      <x:c r="I47" s="10" t="s">
        <x:v>218</x:v>
      </x:c>
      <x:c r="J47" s="10"/>
      <x:c r="K47" s="10"/>
      <x:c r="L47" s="10"/>
      <x:c r="M47" s="10" t="s">
        <x:v>219</x:v>
      </x:c>
      <x:c r="N47" s="11" t="s">
        <x:v>91</x:v>
      </x:c>
      <x:c r="O47" s="10" t="s">
        <x:v>220</x:v>
      </x:c>
      <x:c r="P47" s="12">
        <x:v>46300</x:v>
      </x:c>
      <x:c r="Q47" s="10" t="s">
        <x:v>221</x:v>
      </x:c>
      <x:c r="R47" s="13" t="str">
        <x:f t="shared" si="0"/>
      </x:c>
      <x:c r="S47" s="11"/>
      <x:c r="T47" s="14"/>
    </x:row>
  </x:sheetData>
  <x:mergeCells>
    <x:mergeCell ref="A2:T2"/>
  </x:mergeCells>
  <x:conditionalFormatting sqref="N4:N47">
    <x:cfRule type="cellIs" dxfId="7" priority="2" operator="equal">
      <x:formula>"Coincide"</x:formula>
    </x:cfRule>
    <x:cfRule type="cellIs" dxfId="6" priority="3" operator="equal">
      <x:formula>"Corregir"</x:formula>
    </x:cfRule>
    <x:cfRule type="cellIs" dxfId="5" priority="4" operator="equal">
      <x:formula>"No figura en la fuente"</x:formula>
    </x:cfRule>
  </x:conditionalFormatting>
  <x:conditionalFormatting sqref="R4:R47">
    <x:cfRule type="expression" dxfId="4" priority="5">
      <x:formula>LEN($R4)&gt;0</x:formula>
    </x:cfRule>
  </x:conditionalFormatting>
  <x:dataValidations count="2">
    <x:dataValidation type="date" operator="greaterThan" allowBlank="1" showErrorMessage="1" errorTitle="Fecha" error="Escribe una fecha válida." sqref="P4:P47">
      <x:formula1>36526</x:formula1>
      <x:formula2>0</x:formula2>
    </x:dataValidation>
    <x:dataValidation type="list" allowBlank="1" showErrorMessage="1" errorTitle="Confirmación" error="Elige Sí o No." sqref="S4:S47">
      <x:formula1>"Sí,No"</x:formula1>
      <x:formula2>0</x:formula2>
    </x:dataValidation>
  </x:dataValidations>
  <x:pageMargins left="0.7" right="0.7" top="0.75" bottom="0.75" header="0.3" footer="0.3"/>
</x:worksheet>
</file>

<file path=xl/worksheets/sheet2.xml><?xml version="1.0" encoding="utf-8"?>
<x:worksheet xmlns:x="http://schemas.openxmlformats.org/spreadsheetml/2006/main">
  <x:sheetFormatPr baseColWidth="10" defaultColWidth="8.7109375" defaultRowHeight="12.75"/>
  <x:cols>
    <x:col min="1" max="1" width="48" style="2" customWidth="1"/>
    <x:col min="2" max="2" width="30" style="2" customWidth="1"/>
    <x:col min="3" max="3" width="62" style="2" customWidth="1"/>
  </x:cols>
  <x:sheetData>
    <x:row r="1" ht="17.25" customHeight="1">
      <x:c r="A1" s="3" t="s">
        <x:v>222</x:v>
      </x:c>
    </x:row>
    <x:row r="2" ht="15" customHeight="1">
      <x:c r="A2" s="15" t="s">
        <x:v>223</x:v>
      </x:c>
    </x:row>
    <x:row r="4" ht="15" customHeight="1">
      <x:c r="A4" s="16" t="s">
        <x:v>224</x:v>
      </x:c>
      <x:c r="B4" s="17"/>
      <x:c r="C4" s="17"/>
    </x:row>
    <x:row r="5" ht="21.75" customHeight="1">
      <x:c r="A5" s="18" t="s">
        <x:v>225</x:v>
      </x:c>
      <x:c r="B5" s="19" t="n">
        <x:f>COUNTA(Verificacion!$B$4:$B$47)</x:f>
        <x:v>44</x:v>
      </x:c>
      <x:c r="C5" s="20"/>
    </x:row>
    <x:row r="6" ht="21.75" customHeight="1">
      <x:c r="A6" s="18" t="s">
        <x:v>57</x:v>
      </x:c>
      <x:c r="B6" s="19" t="n">
        <x:f>COUNTIF(Verificacion!$N$4:$N$47,"Pendiente")</x:f>
        <x:v>9</x:v>
      </x:c>
      <x:c r="C6" s="20"/>
    </x:row>
    <x:row r="7" ht="21.75" customHeight="1">
      <x:c r="A7" s="18" t="s">
        <x:v>226</x:v>
      </x:c>
      <x:c r="B7" s="19" t="n">
        <x:f>COUNTIF(Verificacion!$N$4:$N$47,"Coincide")</x:f>
        <x:v>0</x:v>
      </x:c>
      <x:c r="C7" s="20"/>
    </x:row>
    <x:row r="8" ht="21.75" customHeight="1">
      <x:c r="A8" s="18" t="s">
        <x:v>91</x:v>
      </x:c>
      <x:c r="B8" s="19" t="n">
        <x:f>COUNTIF(Verificacion!$N$4:$N$47,"Corregir")</x:f>
        <x:v>27</x:v>
      </x:c>
      <x:c r="C8" s="20"/>
    </x:row>
    <x:row r="9" ht="21.75" customHeight="1">
      <x:c r="A9" s="18" t="s">
        <x:v>227</x:v>
      </x:c>
      <x:c r="B9" s="19" t="n">
        <x:f>COUNTIF(Verificacion!$N$4:$N$47,"No figura en la fuente")</x:f>
        <x:v>8</x:v>
      </x:c>
      <x:c r="C9" s="20"/>
    </x:row>
    <x:row r="10" ht="21.75" customHeight="1">
      <x:c r="A10" s="18" t="s">
        <x:v>228</x:v>
      </x:c>
      <x:c r="B10" s="5" t="n">
        <x:f>B5-B6</x:f>
        <x:v>35</x:v>
      </x:c>
      <x:c r="C10" s="20" t="s">
        <x:v>229</x:v>
      </x:c>
    </x:row>
    <x:row r="11" ht="21.75" customHeight="1">
      <x:c r="A11" s="18" t="s">
        <x:v>230</x:v>
      </x:c>
      <x:c r="B11" s="21" t="n">
        <x:f>IF(B5=0,"",B10/B5)</x:f>
        <x:v>0.7954545454545454</x:v>
      </x:c>
      <x:c r="C11" s="20"/>
    </x:row>
    <x:row r="12" ht="21.75" customHeight="1">
      <x:c r="A12" s="18" t="s">
        <x:v>231</x:v>
      </x:c>
      <x:c r="B12" s="19" t="n">
        <x:f>COUNTIF(Verificacion!$S$4:$S$47,"Sí")</x:f>
        <x:v>26</x:v>
      </x:c>
      <x:c r="C12" s="20" t="s">
        <x:v>232</x:v>
      </x:c>
    </x:row>
    <x:row r="13" ht="15" customHeight="1">
      <x:c r="A13" s="16" t="s">
        <x:v>233</x:v>
      </x:c>
      <x:c r="B13" s="17"/>
      <x:c r="C13" s="17"/>
    </x:row>
    <x:row r="14" ht="21.75" customHeight="1">
      <x:c r="A14" s="18" t="s">
        <x:v>234</x:v>
      </x:c>
      <x:c r="B14" s="19" t="n">
        <x:f>COUNTIFS(Verificacion!$D$4:$D$47,"Alta",Verificacion!$N$4:$N$47,"Pendiente")</x:f>
        <x:v>0</x:v>
      </x:c>
      <x:c r="C14" s="20" t="s">
        <x:v>235</x:v>
      </x:c>
    </x:row>
    <x:row r="15" ht="21.75" customHeight="1">
      <x:c r="A15" s="18" t="s">
        <x:v>236</x:v>
      </x:c>
      <x:c r="B15" s="19" t="n">
        <x:f>COUNTIFS(Verificacion!$D$4:$D$47,"Media",Verificacion!$N$4:$N$47,"Pendiente")</x:f>
        <x:v>9</x:v>
      </x:c>
      <x:c r="C15" s="20" t="s">
        <x:v>237</x:v>
      </x:c>
    </x:row>
    <x:row r="17" ht="15" customHeight="1">
      <x:c r="A17" s="16" t="s">
        <x:v>238</x:v>
      </x:c>
      <x:c r="B17" s="17"/>
      <x:c r="C17" s="17"/>
    </x:row>
    <x:row r="18" ht="21.75" customHeight="1">
      <x:c r="A18" s="18" t="s">
        <x:v>239</x:v>
      </x:c>
      <x:c r="B18" s="19" t="n">
        <x:f>COUNTIF(Verificacion!$R$4:$R$47,"?*")</x:f>
        <x:v>0</x:v>
      </x:c>
      <x:c r="C18" s="20" t="s">
        <x:v>240</x:v>
      </x:c>
    </x:row>
    <x:row r="19" ht="21.75" customHeight="1">
      <x:c r="A19" s="18" t="s">
        <x:v>241</x:v>
      </x:c>
      <x:c r="B19" s="19" t="n">
        <x:f>COUNTIF(Verificacion!$F$4:$F$47,"Sí")</x:f>
        <x:v>40</x:v>
      </x:c>
      <x:c r="C19" s="20" t="s">
        <x:v>242</x:v>
      </x:c>
    </x:row>
    <x:row r="20" ht="21.75" customHeight="1">
      <x:c r="A20" s="18" t="s">
        <x:v>243</x:v>
      </x:c>
      <x:c r="B20" s="19" t="n">
        <x:f>COUNTIFS(Verificacion!$N$4:$N$47,"Corregir",Verificacion!$S$4:$S$47,"&lt;&gt;Sí")+COUNTIFS(Verificacion!$N$4:$N$47,"Coincide",Verificacion!$S$4:$S$47,"&lt;&gt;Sí")</x:f>
        <x:v>2</x:v>
      </x:c>
      <x:c r="C20" s="20" t="s">
        <x:v>244</x:v>
      </x:c>
    </x:row>
    <x:row r="21" ht="30" customHeight="1">
      <x:c r="A21" s="6" t="s">
        <x:v>245</x:v>
      </x:c>
      <x:c r="B21" s="22" t="str">
        <x:f>IF(AND(B6=0,B18=0,B20=0),"Listo para actualizar domain.yml","Aún no")</x:f>
        <x:v>Aún no</x:v>
      </x:c>
    </x:row>
    <x:row r="23" ht="15" customHeight="1">
      <x:c r="A23" s="16" t="s">
        <x:v>246</x:v>
      </x:c>
      <x:c r="B23" s="17"/>
      <x:c r="C23" s="17"/>
    </x:row>
    <x:row r="24" ht="15" customHeight="1">
      <x:c r="A24" s="18" t="s">
        <x:v>23</x:v>
      </x:c>
      <x:c r="B24" s="19" t="str">
        <x:f>COUNTIFS(Verificacion!$C$4:$C$47,A24,Verificacion!$N$4:$N$47,"Pendiente")&amp;" / "&amp;COUNTIF(Verificacion!$C$4:$C$47,A24)</x:f>
        <x:v>0 / 6</x:v>
      </x:c>
    </x:row>
    <x:row r="25" ht="15" customHeight="1">
      <x:c r="A25" s="18" t="s">
        <x:v>52</x:v>
      </x:c>
      <x:c r="B25" s="19" t="str">
        <x:f>COUNTIFS(Verificacion!$C$4:$C$47,A25,Verificacion!$N$4:$N$47,"Pendiente")&amp;" / "&amp;COUNTIF(Verificacion!$C$4:$C$47,A25)</x:f>
        <x:v>1 / 6</x:v>
      </x:c>
    </x:row>
    <x:row r="26" ht="15" customHeight="1">
      <x:c r="A26" s="18" t="s">
        <x:v>81</x:v>
      </x:c>
      <x:c r="B26" s="19" t="str">
        <x:f>COUNTIFS(Verificacion!$C$4:$C$47,A26,Verificacion!$N$4:$N$47,"Pendiente")&amp;" / "&amp;COUNTIF(Verificacion!$C$4:$C$47,A26)</x:f>
        <x:v>0 / 6</x:v>
      </x:c>
    </x:row>
    <x:row r="27" ht="15" customHeight="1">
      <x:c r="A27" s="18" t="s">
        <x:v>110</x:v>
      </x:c>
      <x:c r="B27" s="19" t="str">
        <x:f>COUNTIFS(Verificacion!$C$4:$C$47,A27,Verificacion!$N$4:$N$47,"Pendiente")&amp;" / "&amp;COUNTIF(Verificacion!$C$4:$C$47,A27)</x:f>
        <x:v>0 / 5</x:v>
      </x:c>
    </x:row>
    <x:row r="28" ht="15" customHeight="1">
      <x:c r="A28" s="18" t="s">
        <x:v>133</x:v>
      </x:c>
      <x:c r="B28" s="19" t="str">
        <x:f>COUNTIFS(Verificacion!$C$4:$C$47,A28,Verificacion!$N$4:$N$47,"Pendiente")&amp;" / "&amp;COUNTIF(Verificacion!$C$4:$C$47,A28)</x:f>
        <x:v>0 / 5</x:v>
      </x:c>
    </x:row>
    <x:row r="29" ht="15" customHeight="1">
      <x:c r="A29" s="18" t="s">
        <x:v>152</x:v>
      </x:c>
      <x:c r="B29" s="19" t="str">
        <x:f>COUNTIFS(Verificacion!$C$4:$C$47,A29,Verificacion!$N$4:$N$47,"Pendiente")&amp;" / "&amp;COUNTIF(Verificacion!$C$4:$C$47,A29)</x:f>
        <x:v>5 / 5</x:v>
      </x:c>
    </x:row>
    <x:row r="30" ht="15" customHeight="1">
      <x:c r="A30" s="18" t="s">
        <x:v>173</x:v>
      </x:c>
      <x:c r="B30" s="19" t="str">
        <x:f>COUNTIFS(Verificacion!$C$4:$C$47,A30,Verificacion!$N$4:$N$47,"Pendiente")&amp;" / "&amp;COUNTIF(Verificacion!$C$4:$C$47,A30)</x:f>
        <x:v>3 / 5</x:v>
      </x:c>
    </x:row>
    <x:row r="31" ht="15" customHeight="1">
      <x:c r="A31" s="18" t="s">
        <x:v>194</x:v>
      </x:c>
      <x:c r="B31" s="19" t="str">
        <x:f>COUNTIFS(Verificacion!$C$4:$C$47,A31,Verificacion!$N$4:$N$47,"Pendiente")&amp;" / "&amp;COUNTIF(Verificacion!$C$4:$C$47,A31)</x:f>
        <x:v>0 / 6</x:v>
      </x:c>
    </x:row>
  </x:sheetData>
  <x:conditionalFormatting sqref="B21:B21">
    <x:cfRule type="cellIs" dxfId="3" priority="2" operator="equal">
      <x:formula>"Listo para actualizar domain.yml"</x:formula>
    </x:cfRule>
    <x:cfRule type="cellIs" dxfId="2" priority="3" operator="equal">
      <x:formula>"Aún no"</x:formula>
    </x:cfRule>
  </x:conditionalFormatting>
  <x:conditionalFormatting sqref="B18:B18">
    <x:cfRule type="cellIs" dxfId="1" priority="4" operator="greaterThan">
      <x:formula>0</x:formula>
    </x:cfRule>
  </x:conditionalFormatting>
  <x:conditionalFormatting sqref="B20:B20">
    <x:cfRule type="cellIs" dxfId="0" priority="5" operator="greaterThan">
      <x:formula>0</x:formula>
    </x:cfRule>
  </x:conditionalFormatting>
  <x:pageMargins left="0.7" right="0.7" top="0.75" bottom="0.75" header="0.3" footer="0.3"/>
</x:worksheet>
</file>

<file path=xl/worksheets/sheet3.xml><?xml version="1.0" encoding="utf-8"?>
<x:worksheet xmlns:x="http://schemas.openxmlformats.org/spreadsheetml/2006/main">
  <x:sheetFormatPr baseColWidth="10" defaultColWidth="8.7109375" defaultRowHeight="12.75"/>
  <x:cols>
    <x:col min="1" max="1" width="48" style="2" customWidth="1"/>
    <x:col min="2" max="2" width="62" style="2" customWidth="1"/>
    <x:col min="3" max="3" width="58" style="2" customWidth="1"/>
    <x:col min="4" max="4" width="44" style="2" customWidth="1"/>
  </x:cols>
  <x:sheetData>
    <x:row r="1" ht="17.25" customHeight="1">
      <x:c r="A1" s="3" t="s">
        <x:v>247</x:v>
      </x:c>
    </x:row>
    <x:row r="2" ht="30" customHeight="1">
      <x:c r="A2" s="1" t="str">
        <x:v>Revisadas el 07/10/2026. Usar el TUPA aprobado por OM 022-2025-CMPSR-J y considerar su modificación por DA 011-2025-MPSR-J/A. Confirma si la municipalidad publica una actualización posterior antes de citarlo.</x:v>
      </x:c>
      <x:c r="B2" s="1"/>
      <x:c r="C2" s="1"/>
      <x:c r="D2" s="1"/>
    </x:row>
    <x:row r="3" ht="30" customHeight="1">
      <x:c r="A3" s="4" t="s">
        <x:v>248</x:v>
      </x:c>
      <x:c r="B3" s="4" t="s">
        <x:v>249</x:v>
      </x:c>
      <x:c r="C3" s="4" t="s">
        <x:v>250</x:v>
      </x:c>
      <x:c r="D3" s="4" t="s">
        <x:v>251</x:v>
      </x:c>
    </x:row>
    <x:row r="4" ht="57.75" customHeight="1">
      <x:c r="A4" s="23" t="s">
        <x:v>252</x:v>
      </x:c>
      <x:c r="B4" s="24" t="str">
        <x:v>https://www.gob.pe/institucion/munisanroman/normas-legales/7268248-022-2025-cmpsr-j</x:v>
      </x:c>
      <x:c r="C4" s="9" t="str">
        <x:v>Ordenanza aprobatoria y partes 01–05 del TUPA 2025, además del Anexo 01 de derechos de tramitación.</x:v>
      </x:c>
      <x:c r="D4" s="9" t="s">
        <x:v>253</x:v>
      </x:c>
    </x:row>
    <x:row r="5" ht="57.75" customHeight="1">
      <x:c r="A5" s="23" t="s">
        <x:v>254</x:v>
      </x:c>
      <x:c r="B5" s="24" t="s">
        <x:v>255</x:v>
      </x:c>
      <x:c r="C5" s="9" t="s">
        <x:v>256</x:v>
      </x:c>
      <x:c r="D5" s="9" t="s">
        <x:v>257</x:v>
      </x:c>
    </x:row>
    <x:row r="6" ht="57.75" customHeight="1">
      <x:c r="A6" s="23" t="s">
        <x:v>258</x:v>
      </x:c>
      <x:c r="B6" s="24" t="s">
        <x:v>259</x:v>
      </x:c>
      <x:c r="C6" s="9" t="s">
        <x:v>260</x:v>
      </x:c>
      <x:c r="D6" s="9"/>
    </x:row>
    <x:row r="7" ht="57.75" customHeight="1">
      <x:c r="A7" s="23" t="s">
        <x:v>261</x:v>
      </x:c>
      <x:c r="B7" s="24" t="s">
        <x:v>262</x:v>
      </x:c>
      <x:c r="C7" s="9" t="s">
        <x:v>263</x:v>
      </x:c>
      <x:c r="D7" s="9" t="s">
        <x:v>264</x:v>
      </x:c>
    </x:row>
    <x:row r="8" ht="57.75" customHeight="1">
      <x:c r="A8" s="23" t="s">
        <x:v>265</x:v>
      </x:c>
      <x:c r="B8" s="24" t="s">
        <x:v>266</x:v>
      </x:c>
      <x:c r="C8" s="9" t="s">
        <x:v>267</x:v>
      </x:c>
      <x:c r="D8" s="9" t="s">
        <x:v>268</x:v>
      </x:c>
    </x:row>
    <x:row r="9" ht="57.75" customHeight="1">
      <x:c r="A9" s="23" t="s">
        <x:v>269</x:v>
      </x:c>
      <x:c r="B9" s="24" t="s">
        <x:v>270</x:v>
      </x:c>
      <x:c r="C9" s="9" t="s">
        <x:v>271</x:v>
      </x:c>
      <x:c r="D9" s="9" t="s">
        <x:v>272</x:v>
      </x:c>
    </x:row>
    <x:row r="10" ht="57.75" customHeight="1">
      <x:c r="A10" s="23" t="s">
        <x:v>273</x:v>
      </x:c>
      <x:c r="B10" s="24" t="s">
        <x:v>274</x:v>
      </x:c>
      <x:c r="C10" s="9" t="s">
        <x:v>275</x:v>
      </x:c>
      <x:c r="D10" s="9" t="s">
        <x:v>276</x:v>
      </x:c>
    </x:row>
    <x:row r="11" ht="57.75" customHeight="1">
      <x:c r="A11" s="23" t="s">
        <x:v>277</x:v>
      </x:c>
      <x:c r="B11" s="24" t="s">
        <x:v>278</x:v>
      </x:c>
      <x:c r="C11" s="9" t="s">
        <x:v>279</x:v>
      </x:c>
      <x:c r="D11" s="9" t="s">
        <x:v>280</x:v>
      </x:c>
    </x:row>
    <x:row r="12" ht="57.75" customHeight="1">
      <x:c r="A12" s="23" t="s">
        <x:v>281</x:v>
      </x:c>
      <x:c r="B12" s="24" t="s">
        <x:v>282</x:v>
      </x:c>
      <x:c r="C12" s="9" t="s">
        <x:v>283</x:v>
      </x:c>
      <x:c r="D12" s="9" t="s">
        <x:v>284</x:v>
      </x:c>
    </x:row>
    <x:row r="13" ht="57.75" customHeight="1">
      <x:c r="A13" s="23" t="s">
        <x:v>285</x:v>
      </x:c>
      <x:c r="B13" s="24" t="s">
        <x:v>286</x:v>
      </x:c>
      <x:c r="C13" s="9" t="s">
        <x:v>287</x:v>
      </x:c>
      <x:c r="D13" s="9" t="s">
        <x:v>288</x:v>
      </x:c>
    </x:row>
    <x:row r="14" ht="57.75" customHeight="1">
      <x:c r="A14" s="23" t="s">
        <x:v>289</x:v>
      </x:c>
      <x:c r="B14" s="24" t="s">
        <x:v>290</x:v>
      </x:c>
      <x:c r="C14" s="9" t="s">
        <x:v>291</x:v>
      </x:c>
      <x:c r="D14" s="9" t="s">
        <x:v>292</x:v>
      </x:c>
    </x:row>
    <x:row r="15" ht="57.75" customHeight="1">
      <x:c r="A15" s="23" t="s">
        <x:v>293</x:v>
      </x:c>
      <x:c r="B15" s="24" t="s">
        <x:v>294</x:v>
      </x:c>
      <x:c r="C15" s="9" t="s">
        <x:v>295</x:v>
      </x:c>
      <x:c r="D15" s="9" t="s">
        <x:v>296</x:v>
      </x:c>
    </x:row>
    <x:row r="16" ht="57.75" customHeight="1">
      <x:c r="A16" s="23" t="s">
        <x:v>297</x:v>
      </x:c>
      <x:c r="B16" s="24" t="s">
        <x:v>298</x:v>
      </x:c>
      <x:c r="C16" s="9" t="s">
        <x:v>299</x:v>
      </x:c>
      <x:c r="D16" s="9" t="s">
        <x:v>300</x:v>
      </x:c>
    </x:row>
    <x:row r="17" ht="57.75" customHeight="1">
      <x:c r="A17" s="23" t="s">
        <x:v>301</x:v>
      </x:c>
      <x:c r="B17" s="24" t="s">
        <x:v>302</x:v>
      </x:c>
      <x:c r="C17" s="9" t="s">
        <x:v>303</x:v>
      </x:c>
      <x:c r="D17" s="9" t="s">
        <x:v>304</x:v>
      </x:c>
    </x:row>
  </x:sheetData>
  <x:mergeCells>
    <x:mergeCell ref="A2:D2"/>
  </x:mergeCells>
  <x:hyperlinks>
    <x:hyperlink xmlns:r="http://schemas.openxmlformats.org/officeDocument/2006/relationships" ref="B4" r:id="Rca77b30b06d043f3"/>
    <x:hyperlink xmlns:r="http://schemas.openxmlformats.org/officeDocument/2006/relationships" ref="B5" r:id="R860eb97ee2d34e26"/>
    <x:hyperlink xmlns:r="http://schemas.openxmlformats.org/officeDocument/2006/relationships" ref="B6" r:id="Ra57eab8e4e9d43ed"/>
    <x:hyperlink xmlns:r="http://schemas.openxmlformats.org/officeDocument/2006/relationships" ref="B7" r:id="Rcdc762ceb0de49f3"/>
    <x:hyperlink xmlns:r="http://schemas.openxmlformats.org/officeDocument/2006/relationships" ref="B8" r:id="Redfa0a4855de411f"/>
    <x:hyperlink xmlns:r="http://schemas.openxmlformats.org/officeDocument/2006/relationships" ref="B9" r:id="Re2e735ee27d644cf"/>
    <x:hyperlink xmlns:r="http://schemas.openxmlformats.org/officeDocument/2006/relationships" ref="B10" r:id="Ra575bd49728c4213"/>
    <x:hyperlink xmlns:r="http://schemas.openxmlformats.org/officeDocument/2006/relationships" ref="B11" r:id="R5eda79689c134eb1"/>
    <x:hyperlink xmlns:r="http://schemas.openxmlformats.org/officeDocument/2006/relationships" ref="B12" r:id="R79de6ff8f97a4e0c"/>
    <x:hyperlink xmlns:r="http://schemas.openxmlformats.org/officeDocument/2006/relationships" ref="B13" r:id="R4805d481b252475f"/>
    <x:hyperlink xmlns:r="http://schemas.openxmlformats.org/officeDocument/2006/relationships" ref="B14" r:id="R334a21d03d6d4662"/>
    <x:hyperlink xmlns:r="http://schemas.openxmlformats.org/officeDocument/2006/relationships" ref="B15" r:id="Rf117b5b7decd410c"/>
    <x:hyperlink xmlns:r="http://schemas.openxmlformats.org/officeDocument/2006/relationships" ref="B16" r:id="Raf19ea37e3a047d8"/>
    <x:hyperlink xmlns:r="http://schemas.openxmlformats.org/officeDocument/2006/relationships" ref="B17" r:id="R38ad96945e714d19"/>
  </x:hyperlinks>
  <x:pageMargins left="0.7" right="0.7" top="0.75" bottom="0.75" header="0.3" footer="0.3"/>
</x:worksheet>
</file>

<file path=xl/worksheets/sheet4.xml><?xml version="1.0" encoding="utf-8"?>
<x:worksheet xmlns:x="http://schemas.openxmlformats.org/spreadsheetml/2006/main">
  <x:sheetFormatPr baseColWidth="10" defaultColWidth="8.7109375" defaultRowHeight="12.75"/>
  <x:cols>
    <x:col min="1" max="1" width="26" style="2" customWidth="1"/>
    <x:col min="2" max="2" width="70" style="2" customWidth="1"/>
  </x:cols>
  <x:sheetData>
    <x:row r="1" ht="17.25" customHeight="1">
      <x:c r="A1" s="3" t="s">
        <x:v>305</x:v>
      </x:c>
    </x:row>
    <x:row r="3" ht="24" customHeight="1">
      <x:c r="A3" s="4" t="s">
        <x:v>15</x:v>
      </x:c>
      <x:c r="B3" s="4" t="s">
        <x:v>306</x:v>
      </x:c>
    </x:row>
    <x:row r="4" ht="15" customHeight="1">
      <x:c r="A4" s="25" t="s">
        <x:v>57</x:v>
      </x:c>
      <x:c r="B4" s="7" t="s">
        <x:v>307</x:v>
      </x:c>
    </x:row>
    <x:row r="5" ht="15" customHeight="1">
      <x:c r="A5" s="25" t="s">
        <x:v>226</x:v>
      </x:c>
      <x:c r="B5" s="7" t="s">
        <x:v>308</x:v>
      </x:c>
    </x:row>
    <x:row r="6" ht="15" customHeight="1">
      <x:c r="A6" s="25" t="s">
        <x:v>91</x:v>
      </x:c>
      <x:c r="B6" s="7" t="s">
        <x:v>309</x:v>
      </x:c>
    </x:row>
    <x:row r="7" ht="15" customHeight="1">
      <x:c r="A7" s="25" t="s">
        <x:v>227</x:v>
      </x:c>
      <x:c r="B7" s="7" t="s">
        <x:v>310</x:v>
      </x:c>
    </x:row>
  </x:sheetData>
  <x:pageMargins left="0.7" right="0.7" top="0.75" bottom="0.75" header="0.3" footer="0.3"/>
</x:worksheet>
</file>

<file path=xl/worksheets/sheet5.xml><?xml version="1.0" encoding="utf-8"?>
<x:worksheet xmlns:x="http://schemas.openxmlformats.org/spreadsheetml/2006/main">
  <x:sheetFormatPr baseColWidth="10" defaultColWidth="8.7109375" defaultRowHeight="12.75"/>
  <x:cols>
    <x:col min="1" max="1" width="125" style="2" customWidth="1"/>
  </x:cols>
  <x:sheetData>
    <x:row r="1" ht="17.25" customHeight="1">
      <x:c r="A1" s="26" t="s">
        <x:v>311</x:v>
      </x:c>
    </x:row>
    <x:row r="2" ht="15" customHeight="1">
      <x:c r="A2" s="27"/>
    </x:row>
    <x:row r="3" ht="15" customHeight="1">
      <x:c r="A3" s="28" t="s">
        <x:v>312</x:v>
      </x:c>
    </x:row>
    <x:row r="4" ht="15" customHeight="1">
      <x:c r="A4" s="27" t="s">
        <x:v>313</x:v>
      </x:c>
    </x:row>
    <x:row r="5" ht="23.25" customHeight="1">
      <x:c r="A5" s="27" t="s">
        <x:v>314</x:v>
      </x:c>
    </x:row>
    <x:row r="6" ht="23.25" customHeight="1">
      <x:c r="A6" s="27" t="s">
        <x:v>315</x:v>
      </x:c>
    </x:row>
    <x:row r="7" ht="15" customHeight="1">
      <x:c r="A7" s="27" t="s">
        <x:v>316</x:v>
      </x:c>
    </x:row>
    <x:row r="8" ht="23.25" customHeight="1">
      <x:c r="A8" s="27" t="s">
        <x:v>317</x:v>
      </x:c>
    </x:row>
    <x:row r="9" ht="23.25" customHeight="1">
      <x:c r="A9" s="27" t="s">
        <x:v>318</x:v>
      </x:c>
    </x:row>
    <x:row r="10" ht="15" customHeight="1">
      <x:c r="A10" s="27"/>
    </x:row>
    <x:row r="11" ht="15" customHeight="1">
      <x:c r="A11" s="28" t="s">
        <x:v>319</x:v>
      </x:c>
    </x:row>
    <x:row r="12" ht="23.25" customHeight="1">
      <x:c r="A12" s="27" t="s">
        <x:v>320</x:v>
      </x:c>
    </x:row>
    <x:row r="13" ht="15" customHeight="1">
      <x:c r="A13" s="27" t="s">
        <x:v>321</x:v>
      </x:c>
    </x:row>
    <x:row r="14" ht="15" customHeight="1">
      <x:c r="A14" s="27" t="s">
        <x:v>322</x:v>
      </x:c>
    </x:row>
    <x:row r="15" ht="23.25" customHeight="1">
      <x:c r="A15" s="27" t="s">
        <x:v>323</x:v>
      </x:c>
    </x:row>
    <x:row r="16" ht="23.25" customHeight="1">
      <x:c r="A16" s="27" t="s">
        <x:v>324</x:v>
      </x:c>
    </x:row>
    <x:row r="17" ht="15" customHeight="1">
      <x:c r="A17" s="27"/>
    </x:row>
    <x:row r="18" ht="15" customHeight="1">
      <x:c r="A18" s="28" t="s">
        <x:v>325</x:v>
      </x:c>
    </x:row>
    <x:row r="19" ht="23.25" customHeight="1">
      <x:c r="A19" s="27" t="s">
        <x:v>326</x:v>
      </x:c>
    </x:row>
    <x:row r="20" ht="23.25" customHeight="1">
      <x:c r="A20" s="27" t="s">
        <x:v>327</x:v>
      </x:c>
    </x:row>
    <x:row r="21" ht="23.25" customHeight="1">
      <x:c r="A21" s="27" t="s">
        <x:v>328</x:v>
      </x:c>
    </x:row>
    <x:row r="22" ht="15" customHeight="1">
      <x:c r="A22" s="27" t="s">
        <x:v>329</x:v>
      </x:c>
    </x:row>
    <x:row r="23" ht="23.25" customHeight="1">
      <x:c r="A23" s="27" t="s">
        <x:v>330</x:v>
      </x:c>
    </x:row>
    <x:row r="24" ht="15" customHeight="1">
      <x:c r="A24" s="27" t="s">
        <x:v>331</x:v>
      </x:c>
    </x:row>
    <x:row r="25" ht="15" customHeight="1">
      <x:c r="A25" s="27"/>
    </x:row>
    <x:row r="26" ht="15" customHeight="1">
      <x:c r="A26" s="28" t="s">
        <x:v>332</x:v>
      </x:c>
    </x:row>
    <x:row r="27" ht="23.25" customHeight="1">
      <x:c r="A27" s="27" t="s">
        <x:v>333</x:v>
      </x:c>
    </x:row>
    <x:row r="28" ht="23.25" customHeight="1">
      <x:c r="A28" s="27" t="s">
        <x:v>334</x:v>
      </x:c>
    </x:row>
    <x:row r="29" ht="15" customHeight="1">
      <x:c r="A29" s="27" t="s">
        <x:v>335</x:v>
      </x:c>
    </x:row>
  </x:sheetData>
  <x:pageMargins left="0.7" right="0.7" top="0.75" bottom="0.75" header="0.3" footer="0.3"/>
</x:worksheet>
</file>